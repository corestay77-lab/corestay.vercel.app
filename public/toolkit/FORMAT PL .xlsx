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YAH\CoreStay_Advisory\Finance\"/>
    </mc:Choice>
  </mc:AlternateContent>
  <xr:revisionPtr revIDLastSave="0" documentId="13_ncr:1_{B61ECB8C-DCDE-4104-907E-3025A37B1915}" xr6:coauthVersionLast="47" xr6:coauthVersionMax="47" xr10:uidLastSave="{00000000-0000-0000-0000-000000000000}"/>
  <bookViews>
    <workbookView xWindow="-110" yWindow="-110" windowWidth="19420" windowHeight="10300" tabRatio="776" firstSheet="8" activeTab="9" xr2:uid="{00000000-000D-0000-FFFF-FFFF00000000}"/>
  </bookViews>
  <sheets>
    <sheet name="COA" sheetId="1" state="hidden" r:id="rId1"/>
    <sheet name="COA (2)" sheetId="21" state="hidden" r:id="rId2"/>
    <sheet name="Prepaid Exp" sheetId="15" state="hidden" r:id="rId3"/>
    <sheet name="Inventory" sheetId="14" state="hidden" r:id="rId4"/>
    <sheet name="FA" sheetId="9" state="hidden" r:id="rId5"/>
    <sheet name="CF WS" sheetId="5" state="hidden" r:id="rId6"/>
    <sheet name="AR" sheetId="13" state="hidden" r:id="rId7"/>
    <sheet name="AP" sheetId="8" state="hidden" r:id="rId8"/>
    <sheet name="PL Summary" sheetId="6" r:id="rId9"/>
    <sheet name="PL Detail" sheetId="17" r:id="rId10"/>
    <sheet name="presentasi COA" sheetId="19" state="hidden" r:id="rId11"/>
    <sheet name="perubahan 11.11.14" sheetId="20" state="hidden" r:id="rId12"/>
  </sheets>
  <externalReferences>
    <externalReference r:id="rId13"/>
    <externalReference r:id="rId14"/>
  </externalReferences>
  <definedNames>
    <definedName name="_xlnm._FilterDatabase" localSheetId="0" hidden="1">COA!$A$3:$K$649</definedName>
    <definedName name="_xlnm._FilterDatabase" localSheetId="1" hidden="1">'COA (2)'!$P$1:$P$649</definedName>
    <definedName name="_xlnm._FilterDatabase" localSheetId="10" hidden="1">'presentasi COA'!$A$3:$F$649</definedName>
    <definedName name="_xlnm.Print_Area" localSheetId="0">COA!$A$1:$N$649</definedName>
    <definedName name="_xlnm.Print_Area" localSheetId="1">'COA (2)'!$A$1:$N$649</definedName>
    <definedName name="_xlnm.Print_Area" localSheetId="9">'PL Detail'!$B$1:$O$20</definedName>
    <definedName name="_xlnm.Print_Area" localSheetId="8">'PL Summary'!$A$1:$F$130</definedName>
    <definedName name="_xlnm.Print_Area" localSheetId="10">'presentasi COA'!$A$2:$F$649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" l="1"/>
  <c r="C17" i="6"/>
  <c r="F12" i="6"/>
  <c r="D12" i="6"/>
  <c r="F11" i="6"/>
  <c r="D11" i="6"/>
  <c r="C11" i="6"/>
  <c r="C10" i="6"/>
  <c r="C8" i="6"/>
  <c r="F8" i="6" l="1"/>
  <c r="F9" i="6" s="1"/>
  <c r="F16" i="6" s="1"/>
  <c r="D8" i="6"/>
  <c r="C9" i="6"/>
  <c r="F21" i="6" l="1"/>
  <c r="D9" i="6"/>
  <c r="F355" i="17" l="1"/>
  <c r="J29" i="17"/>
  <c r="D10" i="17"/>
  <c r="D15" i="17" l="1"/>
  <c r="D13" i="17"/>
  <c r="D11" i="17"/>
  <c r="D8" i="17"/>
  <c r="D7" i="17"/>
  <c r="D16" i="17"/>
  <c r="J42" i="17" l="1"/>
  <c r="J24" i="17"/>
  <c r="L439" i="17" l="1"/>
  <c r="J439" i="17"/>
  <c r="L415" i="17"/>
  <c r="J415" i="17"/>
  <c r="F415" i="17"/>
  <c r="F429" i="17"/>
  <c r="J16" i="17"/>
  <c r="V391" i="17"/>
  <c r="N8" i="17"/>
  <c r="N7" i="17"/>
  <c r="L8" i="17"/>
  <c r="L10" i="17"/>
  <c r="L11" i="17"/>
  <c r="L13" i="17"/>
  <c r="L15" i="17"/>
  <c r="L16" i="17"/>
  <c r="L7" i="17"/>
  <c r="J8" i="17"/>
  <c r="J10" i="17"/>
  <c r="J11" i="17"/>
  <c r="J13" i="17"/>
  <c r="J15" i="17"/>
  <c r="J7" i="17"/>
  <c r="H8" i="17"/>
  <c r="H7" i="17"/>
  <c r="F8" i="17"/>
  <c r="F10" i="17"/>
  <c r="F11" i="17"/>
  <c r="F13" i="17"/>
  <c r="F15" i="17"/>
  <c r="F16" i="17"/>
  <c r="F7" i="17"/>
  <c r="J14" i="17" l="1"/>
  <c r="J12" i="17"/>
  <c r="J9" i="17" l="1"/>
  <c r="D9" i="17"/>
  <c r="F9" i="17" l="1"/>
  <c r="D12" i="17"/>
  <c r="F12" i="17" l="1"/>
  <c r="D24" i="17"/>
  <c r="D29" i="17"/>
  <c r="J288" i="17"/>
  <c r="L18" i="17"/>
  <c r="H26" i="17"/>
  <c r="H27" i="17"/>
  <c r="H25" i="17"/>
  <c r="N26" i="17"/>
  <c r="N27" i="17"/>
  <c r="N25" i="17"/>
  <c r="L9" i="17"/>
  <c r="D14" i="17" l="1"/>
  <c r="L17" i="17"/>
  <c r="C114" i="6"/>
  <c r="C106" i="6"/>
  <c r="C94" i="6"/>
  <c r="L14" i="17" l="1"/>
  <c r="L12" i="17"/>
  <c r="F43" i="6"/>
  <c r="F47" i="6"/>
  <c r="F41" i="6"/>
  <c r="F42" i="6"/>
  <c r="F40" i="6"/>
  <c r="N10" i="17"/>
  <c r="N13" i="17"/>
  <c r="N15" i="17"/>
  <c r="N12" i="17"/>
  <c r="N11" i="17"/>
  <c r="N9" i="17"/>
  <c r="N16" i="17" l="1"/>
  <c r="N14" i="17"/>
  <c r="C66" i="6"/>
  <c r="D399" i="17"/>
  <c r="H419" i="17" l="1"/>
  <c r="E92" i="17"/>
  <c r="F92" i="17"/>
  <c r="G92" i="17"/>
  <c r="I92" i="17"/>
  <c r="J92" i="17"/>
  <c r="K92" i="17"/>
  <c r="M92" i="17"/>
  <c r="L440" i="17"/>
  <c r="N440" i="17" s="1"/>
  <c r="L441" i="17"/>
  <c r="N441" i="17" s="1"/>
  <c r="N439" i="17"/>
  <c r="L435" i="17"/>
  <c r="N435" i="17" s="1"/>
  <c r="N430" i="17"/>
  <c r="N431" i="17"/>
  <c r="N433" i="17"/>
  <c r="L418" i="17"/>
  <c r="N414" i="17"/>
  <c r="N415" i="17"/>
  <c r="L410" i="17"/>
  <c r="N410" i="17" s="1"/>
  <c r="L411" i="17"/>
  <c r="N411" i="17" s="1"/>
  <c r="L409" i="17"/>
  <c r="L401" i="17"/>
  <c r="L402" i="17"/>
  <c r="L403" i="17"/>
  <c r="N403" i="17" s="1"/>
  <c r="L404" i="17"/>
  <c r="N404" i="17" s="1"/>
  <c r="L405" i="17"/>
  <c r="L406" i="17"/>
  <c r="N406" i="17" s="1"/>
  <c r="L407" i="17"/>
  <c r="N407" i="17" s="1"/>
  <c r="N395" i="17"/>
  <c r="N397" i="17"/>
  <c r="N388" i="17"/>
  <c r="N387" i="17" s="1"/>
  <c r="N360" i="17"/>
  <c r="N361" i="17"/>
  <c r="N363" i="17"/>
  <c r="N365" i="17"/>
  <c r="N366" i="17"/>
  <c r="N367" i="17"/>
  <c r="N368" i="17"/>
  <c r="N369" i="17"/>
  <c r="N371" i="17"/>
  <c r="N372" i="17"/>
  <c r="N373" i="17"/>
  <c r="N374" i="17"/>
  <c r="N375" i="17"/>
  <c r="N376" i="17"/>
  <c r="N377" i="17"/>
  <c r="N379" i="17"/>
  <c r="N380" i="17"/>
  <c r="N381" i="17"/>
  <c r="N382" i="17"/>
  <c r="N383" i="17"/>
  <c r="N384" i="17"/>
  <c r="N359" i="17"/>
  <c r="L355" i="17"/>
  <c r="N333" i="17"/>
  <c r="N334" i="17"/>
  <c r="N335" i="17"/>
  <c r="N336" i="17"/>
  <c r="N339" i="17"/>
  <c r="N340" i="17"/>
  <c r="N341" i="17"/>
  <c r="N343" i="17"/>
  <c r="N344" i="17"/>
  <c r="N345" i="17"/>
  <c r="N346" i="17"/>
  <c r="N347" i="17"/>
  <c r="N348" i="17"/>
  <c r="N350" i="17"/>
  <c r="N351" i="17"/>
  <c r="N352" i="17"/>
  <c r="N353" i="17"/>
  <c r="N332" i="17"/>
  <c r="N326" i="17"/>
  <c r="N290" i="17"/>
  <c r="N293" i="17"/>
  <c r="N294" i="17"/>
  <c r="N295" i="17"/>
  <c r="N296" i="17"/>
  <c r="N297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9" i="17"/>
  <c r="N320" i="17"/>
  <c r="N321" i="17"/>
  <c r="N322" i="17"/>
  <c r="N269" i="17"/>
  <c r="N259" i="17"/>
  <c r="N260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3" i="17"/>
  <c r="N254" i="17"/>
  <c r="N255" i="17"/>
  <c r="N256" i="17"/>
  <c r="N233" i="17"/>
  <c r="N229" i="17"/>
  <c r="N230" i="17"/>
  <c r="N228" i="17"/>
  <c r="N204" i="17"/>
  <c r="N206" i="17"/>
  <c r="N207" i="17"/>
  <c r="N209" i="17"/>
  <c r="N210" i="17"/>
  <c r="N211" i="17"/>
  <c r="N212" i="17"/>
  <c r="N213" i="17"/>
  <c r="N214" i="17"/>
  <c r="N215" i="17"/>
  <c r="N216" i="17"/>
  <c r="N217" i="17"/>
  <c r="N219" i="17"/>
  <c r="N220" i="17"/>
  <c r="N221" i="17"/>
  <c r="N222" i="17"/>
  <c r="N223" i="17"/>
  <c r="N224" i="17"/>
  <c r="N225" i="17"/>
  <c r="N226" i="17"/>
  <c r="N203" i="17"/>
  <c r="N188" i="17"/>
  <c r="N189" i="17"/>
  <c r="N190" i="17"/>
  <c r="N192" i="17"/>
  <c r="N194" i="17"/>
  <c r="N195" i="17"/>
  <c r="N178" i="17"/>
  <c r="N179" i="17"/>
  <c r="N180" i="17"/>
  <c r="N181" i="17"/>
  <c r="N182" i="17"/>
  <c r="N183" i="17"/>
  <c r="N185" i="17"/>
  <c r="N174" i="17"/>
  <c r="N162" i="17"/>
  <c r="N164" i="17"/>
  <c r="N169" i="17"/>
  <c r="N171" i="17"/>
  <c r="N172" i="17"/>
  <c r="N161" i="17"/>
  <c r="N121" i="17"/>
  <c r="N122" i="17"/>
  <c r="N123" i="17"/>
  <c r="N125" i="17"/>
  <c r="N127" i="17"/>
  <c r="N128" i="17"/>
  <c r="N130" i="17"/>
  <c r="N131" i="17"/>
  <c r="N120" i="17"/>
  <c r="N108" i="17"/>
  <c r="N109" i="17"/>
  <c r="N112" i="17"/>
  <c r="N113" i="17"/>
  <c r="N114" i="17"/>
  <c r="N117" i="17"/>
  <c r="N106" i="17"/>
  <c r="N95" i="17"/>
  <c r="N97" i="17"/>
  <c r="N99" i="17"/>
  <c r="N100" i="17"/>
  <c r="N101" i="17"/>
  <c r="N103" i="17"/>
  <c r="N104" i="17"/>
  <c r="N93" i="17"/>
  <c r="N85" i="17"/>
  <c r="N86" i="17"/>
  <c r="N88" i="17"/>
  <c r="N77" i="17"/>
  <c r="L71" i="17"/>
  <c r="N71" i="17" s="1"/>
  <c r="N51" i="17"/>
  <c r="N52" i="17"/>
  <c r="N54" i="17"/>
  <c r="N56" i="17"/>
  <c r="N58" i="17"/>
  <c r="N59" i="17"/>
  <c r="N60" i="17"/>
  <c r="N62" i="17"/>
  <c r="N63" i="17"/>
  <c r="N50" i="17"/>
  <c r="N44" i="17"/>
  <c r="N47" i="17"/>
  <c r="N43" i="17"/>
  <c r="N40" i="17"/>
  <c r="N32" i="17"/>
  <c r="N33" i="17"/>
  <c r="N35" i="17"/>
  <c r="N30" i="17"/>
  <c r="N432" i="17"/>
  <c r="N426" i="17"/>
  <c r="N413" i="17"/>
  <c r="N409" i="17"/>
  <c r="N401" i="17"/>
  <c r="N405" i="17"/>
  <c r="N394" i="17"/>
  <c r="N393" i="17"/>
  <c r="N362" i="17"/>
  <c r="N364" i="17"/>
  <c r="N370" i="17"/>
  <c r="N378" i="17"/>
  <c r="N385" i="17"/>
  <c r="N386" i="17"/>
  <c r="N337" i="17"/>
  <c r="N342" i="17"/>
  <c r="N349" i="17"/>
  <c r="N354" i="17"/>
  <c r="N328" i="17"/>
  <c r="N329" i="17"/>
  <c r="N292" i="17"/>
  <c r="N298" i="17"/>
  <c r="N318" i="17"/>
  <c r="N289" i="17"/>
  <c r="N234" i="17"/>
  <c r="N235" i="17"/>
  <c r="N251" i="17"/>
  <c r="N252" i="17"/>
  <c r="N205" i="17"/>
  <c r="N208" i="17"/>
  <c r="N218" i="17"/>
  <c r="N193" i="17"/>
  <c r="N196" i="17"/>
  <c r="N197" i="17"/>
  <c r="N198" i="17"/>
  <c r="N187" i="17"/>
  <c r="N175" i="17"/>
  <c r="N176" i="17"/>
  <c r="N177" i="17"/>
  <c r="N184" i="17"/>
  <c r="N163" i="17"/>
  <c r="N166" i="17"/>
  <c r="N167" i="17"/>
  <c r="N168" i="17"/>
  <c r="N170" i="17"/>
  <c r="N126" i="17"/>
  <c r="N129" i="17"/>
  <c r="N107" i="17"/>
  <c r="N111" i="17"/>
  <c r="N115" i="17"/>
  <c r="N116" i="17"/>
  <c r="N94" i="17"/>
  <c r="N96" i="17"/>
  <c r="N98" i="17"/>
  <c r="N102" i="17"/>
  <c r="N83" i="17"/>
  <c r="N84" i="17"/>
  <c r="N87" i="17"/>
  <c r="N82" i="17"/>
  <c r="N78" i="17"/>
  <c r="N79" i="17"/>
  <c r="N74" i="17"/>
  <c r="N75" i="17"/>
  <c r="N73" i="17"/>
  <c r="N69" i="17"/>
  <c r="N70" i="17"/>
  <c r="N68" i="17"/>
  <c r="N55" i="17"/>
  <c r="N57" i="17"/>
  <c r="N61" i="17"/>
  <c r="N64" i="17"/>
  <c r="N53" i="17"/>
  <c r="N46" i="17"/>
  <c r="N45" i="17"/>
  <c r="N41" i="17"/>
  <c r="N39" i="17"/>
  <c r="N38" i="17"/>
  <c r="N37" i="17"/>
  <c r="N31" i="17"/>
  <c r="H441" i="17"/>
  <c r="H435" i="17"/>
  <c r="H420" i="17"/>
  <c r="H421" i="17"/>
  <c r="H422" i="17"/>
  <c r="H423" i="17"/>
  <c r="H424" i="17"/>
  <c r="H425" i="17"/>
  <c r="H414" i="17"/>
  <c r="H415" i="17"/>
  <c r="H413" i="17"/>
  <c r="H410" i="17"/>
  <c r="H411" i="17"/>
  <c r="H409" i="17"/>
  <c r="H401" i="17"/>
  <c r="H402" i="17"/>
  <c r="H403" i="17"/>
  <c r="H404" i="17"/>
  <c r="H405" i="17"/>
  <c r="H406" i="17"/>
  <c r="H407" i="17"/>
  <c r="H400" i="17"/>
  <c r="H394" i="17"/>
  <c r="H395" i="17"/>
  <c r="H396" i="17"/>
  <c r="H397" i="17"/>
  <c r="H393" i="17"/>
  <c r="H388" i="17"/>
  <c r="H387" i="17" s="1"/>
  <c r="H386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59" i="17"/>
  <c r="H356" i="17"/>
  <c r="H355" i="17" s="1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32" i="17"/>
  <c r="H327" i="17"/>
  <c r="H328" i="17"/>
  <c r="H329" i="17"/>
  <c r="H326" i="17"/>
  <c r="H324" i="17"/>
  <c r="H323" i="17" s="1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289" i="17"/>
  <c r="H269" i="17"/>
  <c r="H259" i="17"/>
  <c r="H260" i="17"/>
  <c r="H258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33" i="17"/>
  <c r="H229" i="17"/>
  <c r="H230" i="17"/>
  <c r="H228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07" i="17"/>
  <c r="H108" i="17"/>
  <c r="H109" i="17"/>
  <c r="H110" i="17"/>
  <c r="H111" i="17"/>
  <c r="H112" i="17"/>
  <c r="H113" i="17"/>
  <c r="H114" i="17"/>
  <c r="H115" i="17"/>
  <c r="H116" i="17"/>
  <c r="H117" i="17"/>
  <c r="H106" i="17"/>
  <c r="H94" i="17"/>
  <c r="H95" i="17"/>
  <c r="H96" i="17"/>
  <c r="H97" i="17"/>
  <c r="H98" i="17"/>
  <c r="H99" i="17"/>
  <c r="H100" i="17"/>
  <c r="H101" i="17"/>
  <c r="H102" i="17"/>
  <c r="H103" i="17"/>
  <c r="H104" i="17"/>
  <c r="H93" i="17"/>
  <c r="H83" i="17"/>
  <c r="H84" i="17"/>
  <c r="H85" i="17"/>
  <c r="H86" i="17"/>
  <c r="H87" i="17"/>
  <c r="H88" i="17"/>
  <c r="H82" i="17"/>
  <c r="H78" i="17"/>
  <c r="H79" i="17"/>
  <c r="H77" i="17"/>
  <c r="H74" i="17"/>
  <c r="H75" i="17"/>
  <c r="H73" i="17"/>
  <c r="H69" i="17"/>
  <c r="H70" i="17"/>
  <c r="H71" i="17"/>
  <c r="H68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50" i="17"/>
  <c r="H44" i="17"/>
  <c r="H45" i="17"/>
  <c r="H46" i="17"/>
  <c r="H47" i="17"/>
  <c r="H43" i="17"/>
  <c r="H38" i="17"/>
  <c r="H39" i="17"/>
  <c r="H40" i="17"/>
  <c r="H41" i="17"/>
  <c r="H37" i="17"/>
  <c r="H31" i="17"/>
  <c r="H32" i="17"/>
  <c r="H33" i="17"/>
  <c r="H34" i="17"/>
  <c r="H35" i="17"/>
  <c r="H30" i="17"/>
  <c r="F29" i="17"/>
  <c r="E438" i="17"/>
  <c r="F438" i="17"/>
  <c r="G438" i="17"/>
  <c r="I438" i="17"/>
  <c r="J438" i="17"/>
  <c r="K438" i="17"/>
  <c r="M438" i="17"/>
  <c r="E428" i="17"/>
  <c r="F428" i="17"/>
  <c r="G428" i="17"/>
  <c r="H428" i="17"/>
  <c r="I428" i="17"/>
  <c r="K428" i="17"/>
  <c r="L428" i="17"/>
  <c r="M428" i="17"/>
  <c r="E418" i="17"/>
  <c r="F418" i="17"/>
  <c r="G418" i="17"/>
  <c r="I418" i="17"/>
  <c r="K418" i="17"/>
  <c r="M418" i="17"/>
  <c r="E412" i="17"/>
  <c r="F412" i="17"/>
  <c r="G412" i="17"/>
  <c r="I412" i="17"/>
  <c r="J412" i="17"/>
  <c r="K412" i="17"/>
  <c r="M412" i="17"/>
  <c r="D412" i="17"/>
  <c r="E399" i="17"/>
  <c r="F399" i="17"/>
  <c r="G399" i="17"/>
  <c r="I399" i="17"/>
  <c r="K399" i="17"/>
  <c r="M399" i="17"/>
  <c r="E392" i="17"/>
  <c r="F392" i="17"/>
  <c r="G392" i="17"/>
  <c r="I392" i="17"/>
  <c r="J392" i="17"/>
  <c r="K392" i="17"/>
  <c r="M392" i="17"/>
  <c r="E387" i="17"/>
  <c r="F387" i="17"/>
  <c r="G387" i="17"/>
  <c r="I387" i="17"/>
  <c r="J387" i="17"/>
  <c r="K387" i="17"/>
  <c r="M387" i="17"/>
  <c r="E358" i="17"/>
  <c r="F358" i="17"/>
  <c r="G358" i="17"/>
  <c r="I358" i="17"/>
  <c r="J358" i="17"/>
  <c r="K358" i="17"/>
  <c r="M358" i="17"/>
  <c r="E355" i="17"/>
  <c r="G355" i="17"/>
  <c r="I355" i="17"/>
  <c r="J355" i="17"/>
  <c r="K355" i="17"/>
  <c r="M355" i="17"/>
  <c r="E331" i="17"/>
  <c r="F331" i="17"/>
  <c r="G331" i="17"/>
  <c r="I331" i="17"/>
  <c r="J331" i="17"/>
  <c r="K331" i="17"/>
  <c r="M331" i="17"/>
  <c r="E325" i="17"/>
  <c r="F325" i="17"/>
  <c r="G325" i="17"/>
  <c r="I325" i="17"/>
  <c r="J325" i="17"/>
  <c r="K325" i="17"/>
  <c r="M325" i="17"/>
  <c r="E323" i="17"/>
  <c r="F323" i="17"/>
  <c r="G323" i="17"/>
  <c r="I323" i="17"/>
  <c r="J323" i="17"/>
  <c r="K323" i="17"/>
  <c r="M323" i="17"/>
  <c r="E288" i="17"/>
  <c r="F288" i="17"/>
  <c r="G288" i="17"/>
  <c r="I288" i="17"/>
  <c r="K288" i="17"/>
  <c r="M288" i="17"/>
  <c r="E257" i="17"/>
  <c r="F257" i="17"/>
  <c r="G257" i="17"/>
  <c r="I257" i="17"/>
  <c r="J257" i="17"/>
  <c r="K257" i="17"/>
  <c r="M257" i="17"/>
  <c r="E232" i="17"/>
  <c r="F232" i="17"/>
  <c r="G232" i="17"/>
  <c r="I232" i="17"/>
  <c r="J232" i="17"/>
  <c r="K232" i="17"/>
  <c r="M232" i="17"/>
  <c r="E227" i="17"/>
  <c r="F227" i="17"/>
  <c r="G227" i="17"/>
  <c r="I227" i="17"/>
  <c r="J227" i="17"/>
  <c r="K227" i="17"/>
  <c r="M227" i="17"/>
  <c r="E202" i="17"/>
  <c r="F202" i="17"/>
  <c r="G202" i="17"/>
  <c r="I202" i="17"/>
  <c r="J202" i="17"/>
  <c r="K202" i="17"/>
  <c r="M202" i="17"/>
  <c r="E186" i="17"/>
  <c r="F186" i="17"/>
  <c r="G186" i="17"/>
  <c r="I186" i="17"/>
  <c r="J186" i="17"/>
  <c r="K186" i="17"/>
  <c r="M186" i="17"/>
  <c r="E173" i="17"/>
  <c r="E90" i="17" s="1"/>
  <c r="F173" i="17"/>
  <c r="G173" i="17"/>
  <c r="I173" i="17"/>
  <c r="J173" i="17"/>
  <c r="K173" i="17"/>
  <c r="M173" i="17"/>
  <c r="E160" i="17"/>
  <c r="F160" i="17"/>
  <c r="G160" i="17"/>
  <c r="I160" i="17"/>
  <c r="J160" i="17"/>
  <c r="K160" i="17"/>
  <c r="M160" i="17"/>
  <c r="O160" i="17"/>
  <c r="E119" i="17"/>
  <c r="F119" i="17"/>
  <c r="G119" i="17"/>
  <c r="I119" i="17"/>
  <c r="J119" i="17"/>
  <c r="K119" i="17"/>
  <c r="M119" i="17"/>
  <c r="E105" i="17"/>
  <c r="E91" i="17" s="1"/>
  <c r="F105" i="17"/>
  <c r="G105" i="17"/>
  <c r="I105" i="17"/>
  <c r="J105" i="17"/>
  <c r="K105" i="17"/>
  <c r="M105" i="17"/>
  <c r="E81" i="17"/>
  <c r="F81" i="17"/>
  <c r="G81" i="17"/>
  <c r="I81" i="17"/>
  <c r="J81" i="17"/>
  <c r="K81" i="17"/>
  <c r="M81" i="17"/>
  <c r="O81" i="17"/>
  <c r="D81" i="17"/>
  <c r="E76" i="17"/>
  <c r="F76" i="17"/>
  <c r="G76" i="17"/>
  <c r="I76" i="17"/>
  <c r="J76" i="17"/>
  <c r="K76" i="17"/>
  <c r="M76" i="17"/>
  <c r="E67" i="17"/>
  <c r="F67" i="17"/>
  <c r="G67" i="17"/>
  <c r="I67" i="17"/>
  <c r="J67" i="17"/>
  <c r="K67" i="17"/>
  <c r="M67" i="17"/>
  <c r="D49" i="17"/>
  <c r="E49" i="17"/>
  <c r="F49" i="17"/>
  <c r="G49" i="17"/>
  <c r="I49" i="17"/>
  <c r="J49" i="17"/>
  <c r="J23" i="17" s="1"/>
  <c r="K49" i="17"/>
  <c r="M49" i="17"/>
  <c r="E42" i="17"/>
  <c r="F42" i="17"/>
  <c r="G42" i="17"/>
  <c r="I42" i="17"/>
  <c r="K42" i="17"/>
  <c r="M42" i="17"/>
  <c r="E36" i="17"/>
  <c r="F36" i="17"/>
  <c r="G36" i="17"/>
  <c r="I36" i="17"/>
  <c r="J36" i="17"/>
  <c r="K36" i="17"/>
  <c r="M36" i="17"/>
  <c r="M29" i="17"/>
  <c r="E24" i="17"/>
  <c r="F24" i="17"/>
  <c r="G24" i="17"/>
  <c r="H24" i="17"/>
  <c r="I24" i="17"/>
  <c r="K24" i="17"/>
  <c r="K23" i="17" s="1"/>
  <c r="L24" i="17"/>
  <c r="M24" i="17"/>
  <c r="M23" i="17" s="1"/>
  <c r="N24" i="17"/>
  <c r="E29" i="17"/>
  <c r="G29" i="17"/>
  <c r="I29" i="17"/>
  <c r="L399" i="17" l="1"/>
  <c r="I90" i="17"/>
  <c r="G90" i="17"/>
  <c r="G91" i="17"/>
  <c r="H36" i="17"/>
  <c r="N42" i="17"/>
  <c r="L392" i="17"/>
  <c r="L387" i="17"/>
  <c r="L325" i="17"/>
  <c r="H325" i="17"/>
  <c r="N324" i="17"/>
  <c r="N323" i="17" s="1"/>
  <c r="L323" i="17"/>
  <c r="H81" i="17"/>
  <c r="L76" i="17"/>
  <c r="H76" i="17"/>
  <c r="L67" i="17"/>
  <c r="H67" i="17"/>
  <c r="H438" i="17"/>
  <c r="H412" i="17"/>
  <c r="N400" i="17"/>
  <c r="H399" i="17"/>
  <c r="N402" i="17"/>
  <c r="J399" i="17"/>
  <c r="H257" i="17"/>
  <c r="H227" i="17"/>
  <c r="L412" i="17"/>
  <c r="N356" i="17"/>
  <c r="N355" i="17" s="1"/>
  <c r="N412" i="17"/>
  <c r="I91" i="17"/>
  <c r="K90" i="17"/>
  <c r="L438" i="17"/>
  <c r="L49" i="17"/>
  <c r="M91" i="17"/>
  <c r="K91" i="17"/>
  <c r="L227" i="17"/>
  <c r="N67" i="17"/>
  <c r="N327" i="17"/>
  <c r="N325" i="17" s="1"/>
  <c r="N396" i="17"/>
  <c r="N392" i="17" s="1"/>
  <c r="L29" i="17"/>
  <c r="L257" i="17"/>
  <c r="L36" i="17"/>
  <c r="N438" i="17"/>
  <c r="H418" i="17"/>
  <c r="H392" i="17"/>
  <c r="H358" i="17"/>
  <c r="N358" i="17"/>
  <c r="L331" i="17"/>
  <c r="N338" i="17"/>
  <c r="N331" i="17" s="1"/>
  <c r="H331" i="17"/>
  <c r="L288" i="17"/>
  <c r="N291" i="17"/>
  <c r="N288" i="17" s="1"/>
  <c r="H288" i="17"/>
  <c r="N258" i="17"/>
  <c r="N257" i="17" s="1"/>
  <c r="H232" i="17"/>
  <c r="N227" i="17"/>
  <c r="H202" i="17"/>
  <c r="H186" i="17"/>
  <c r="L186" i="17"/>
  <c r="H173" i="17"/>
  <c r="H160" i="17"/>
  <c r="L160" i="17"/>
  <c r="H119" i="17"/>
  <c r="L119" i="17"/>
  <c r="H105" i="17"/>
  <c r="L105" i="17"/>
  <c r="F91" i="17"/>
  <c r="H92" i="17"/>
  <c r="N92" i="17"/>
  <c r="L92" i="17"/>
  <c r="N81" i="17"/>
  <c r="N76" i="17"/>
  <c r="H49" i="17"/>
  <c r="L42" i="17"/>
  <c r="H42" i="17"/>
  <c r="H29" i="17"/>
  <c r="L358" i="17"/>
  <c r="N232" i="17"/>
  <c r="L232" i="17"/>
  <c r="L202" i="17"/>
  <c r="N202" i="17"/>
  <c r="N191" i="17"/>
  <c r="N186" i="17" s="1"/>
  <c r="L173" i="17"/>
  <c r="N173" i="17"/>
  <c r="N165" i="17"/>
  <c r="N160" i="17" s="1"/>
  <c r="N124" i="17"/>
  <c r="N119" i="17" s="1"/>
  <c r="N110" i="17"/>
  <c r="N105" i="17" s="1"/>
  <c r="L81" i="17"/>
  <c r="N49" i="17"/>
  <c r="N36" i="17"/>
  <c r="N34" i="17"/>
  <c r="N29" i="17" s="1"/>
  <c r="F23" i="17"/>
  <c r="E23" i="17"/>
  <c r="G23" i="17"/>
  <c r="M90" i="17"/>
  <c r="F90" i="17"/>
  <c r="I23" i="17"/>
  <c r="C60" i="6"/>
  <c r="D106" i="6"/>
  <c r="F80" i="6"/>
  <c r="D39" i="6"/>
  <c r="F118" i="6"/>
  <c r="G118" i="6" s="1"/>
  <c r="D114" i="6"/>
  <c r="J18" i="17"/>
  <c r="J19" i="17"/>
  <c r="H23" i="17" l="1"/>
  <c r="N399" i="17"/>
  <c r="J17" i="17"/>
  <c r="L23" i="17"/>
  <c r="H90" i="17"/>
  <c r="L90" i="17"/>
  <c r="N90" i="17"/>
  <c r="L91" i="17"/>
  <c r="H91" i="17"/>
  <c r="N23" i="17"/>
  <c r="N91" i="17"/>
  <c r="N420" i="17" l="1"/>
  <c r="N421" i="17"/>
  <c r="N422" i="17"/>
  <c r="N423" i="17"/>
  <c r="N424" i="17"/>
  <c r="N425" i="17"/>
  <c r="D428" i="17"/>
  <c r="D418" i="17"/>
  <c r="D387" i="17"/>
  <c r="D355" i="17"/>
  <c r="D323" i="17"/>
  <c r="D257" i="17"/>
  <c r="D227" i="17"/>
  <c r="N429" i="17" l="1"/>
  <c r="N428" i="17" s="1"/>
  <c r="J428" i="17"/>
  <c r="J418" i="17"/>
  <c r="N419" i="17"/>
  <c r="N418" i="17" s="1"/>
  <c r="F111" i="6"/>
  <c r="F112" i="6"/>
  <c r="F113" i="6"/>
  <c r="G112" i="6" l="1"/>
  <c r="G111" i="6"/>
  <c r="G113" i="6"/>
  <c r="J90" i="17" l="1"/>
  <c r="J91" i="17"/>
  <c r="D67" i="17"/>
  <c r="J201" i="17" l="1"/>
  <c r="D76" i="17"/>
  <c r="D92" i="17"/>
  <c r="D105" i="17"/>
  <c r="D119" i="17"/>
  <c r="D160" i="17"/>
  <c r="D173" i="17"/>
  <c r="D186" i="17"/>
  <c r="D202" i="17"/>
  <c r="D232" i="17"/>
  <c r="D288" i="17"/>
  <c r="D325" i="17"/>
  <c r="D331" i="17"/>
  <c r="D358" i="17"/>
  <c r="D392" i="17"/>
  <c r="D438" i="17"/>
  <c r="D90" i="17" l="1"/>
  <c r="D201" i="17"/>
  <c r="D91" i="17"/>
  <c r="F9" i="8"/>
  <c r="F11" i="8"/>
  <c r="F12" i="8"/>
  <c r="F13" i="8"/>
  <c r="F14" i="8"/>
  <c r="F15" i="8"/>
  <c r="F42" i="8"/>
  <c r="F41" i="8"/>
  <c r="F40" i="8"/>
  <c r="F39" i="8"/>
  <c r="F38" i="8"/>
  <c r="F37" i="8"/>
  <c r="E27" i="8"/>
  <c r="F27" i="8" s="1"/>
  <c r="F29" i="8"/>
  <c r="F30" i="8"/>
  <c r="F31" i="8"/>
  <c r="F32" i="8"/>
  <c r="F33" i="8"/>
  <c r="F34" i="8"/>
  <c r="F25" i="8"/>
  <c r="F26" i="8"/>
  <c r="F28" i="8"/>
  <c r="F35" i="8"/>
  <c r="F36" i="8"/>
  <c r="F44" i="8"/>
  <c r="F24" i="8"/>
  <c r="F10" i="8"/>
  <c r="F16" i="8"/>
  <c r="F17" i="8"/>
  <c r="F18" i="8"/>
  <c r="F19" i="8"/>
  <c r="F20" i="8"/>
  <c r="F21" i="8"/>
  <c r="F22" i="8"/>
  <c r="F23" i="8"/>
  <c r="F8" i="8"/>
  <c r="C45" i="8"/>
  <c r="H45" i="8"/>
  <c r="D45" i="8"/>
  <c r="F45" i="8" l="1"/>
  <c r="E45" i="8"/>
  <c r="D25" i="13" l="1"/>
  <c r="E25" i="13"/>
  <c r="E26" i="13" s="1"/>
  <c r="I25" i="13"/>
  <c r="J25" i="13"/>
  <c r="K25" i="13"/>
  <c r="C25" i="13"/>
  <c r="F8" i="13"/>
  <c r="H8" i="13" s="1"/>
  <c r="F10" i="13"/>
  <c r="G10" i="13" s="1"/>
  <c r="F11" i="13"/>
  <c r="G11" i="13" s="1"/>
  <c r="F12" i="13"/>
  <c r="F13" i="13"/>
  <c r="G13" i="13" s="1"/>
  <c r="F14" i="13"/>
  <c r="F15" i="13"/>
  <c r="G15" i="13" s="1"/>
  <c r="F16" i="13"/>
  <c r="G16" i="13" s="1"/>
  <c r="F17" i="13"/>
  <c r="G17" i="13" s="1"/>
  <c r="F18" i="13"/>
  <c r="G18" i="13" s="1"/>
  <c r="F19" i="13"/>
  <c r="G19" i="13" s="1"/>
  <c r="F20" i="13"/>
  <c r="G20" i="13" s="1"/>
  <c r="F21" i="13"/>
  <c r="G21" i="13" s="1"/>
  <c r="F22" i="13"/>
  <c r="G22" i="13" s="1"/>
  <c r="F23" i="13"/>
  <c r="G23" i="13" s="1"/>
  <c r="F7" i="13"/>
  <c r="H7" i="13" s="1"/>
  <c r="D42" i="17"/>
  <c r="D36" i="17"/>
  <c r="D23" i="17" l="1"/>
  <c r="H25" i="13"/>
  <c r="G45" i="8"/>
  <c r="E16" i="17"/>
  <c r="F25" i="13"/>
  <c r="G25" i="13"/>
  <c r="G26" i="13" l="1"/>
  <c r="H26" i="13"/>
  <c r="Q649" i="21" l="1"/>
  <c r="P649" i="21"/>
  <c r="Q645" i="21"/>
  <c r="P645" i="21"/>
  <c r="Q644" i="21"/>
  <c r="P644" i="21"/>
  <c r="Q643" i="21"/>
  <c r="P643" i="21"/>
  <c r="Q639" i="21"/>
  <c r="P639" i="21"/>
  <c r="Q637" i="21"/>
  <c r="P637" i="21"/>
  <c r="Q636" i="21"/>
  <c r="P636" i="21"/>
  <c r="Q635" i="21"/>
  <c r="P635" i="21"/>
  <c r="Q634" i="21"/>
  <c r="P634" i="21"/>
  <c r="Q633" i="21"/>
  <c r="P633" i="21"/>
  <c r="Q630" i="21"/>
  <c r="P630" i="21"/>
  <c r="Q629" i="21"/>
  <c r="P629" i="21"/>
  <c r="Q628" i="21"/>
  <c r="P628" i="21"/>
  <c r="Q627" i="21"/>
  <c r="P627" i="21"/>
  <c r="Q626" i="21"/>
  <c r="P626" i="21"/>
  <c r="Q625" i="21"/>
  <c r="P625" i="21"/>
  <c r="Q621" i="21"/>
  <c r="P621" i="21"/>
  <c r="Q620" i="21"/>
  <c r="P620" i="21"/>
  <c r="Q619" i="21"/>
  <c r="P619" i="21"/>
  <c r="Q617" i="21"/>
  <c r="P617" i="21"/>
  <c r="Q616" i="21"/>
  <c r="P616" i="21"/>
  <c r="Q615" i="21"/>
  <c r="P615" i="21"/>
  <c r="Q613" i="21"/>
  <c r="P613" i="21"/>
  <c r="Q612" i="21"/>
  <c r="P612" i="21"/>
  <c r="Q611" i="21"/>
  <c r="P611" i="21"/>
  <c r="Q610" i="21"/>
  <c r="P610" i="21"/>
  <c r="Q609" i="21"/>
  <c r="P609" i="21"/>
  <c r="Q608" i="21"/>
  <c r="P608" i="21"/>
  <c r="Q607" i="21"/>
  <c r="P607" i="21"/>
  <c r="Q606" i="21"/>
  <c r="P606" i="21"/>
  <c r="Q603" i="21"/>
  <c r="P603" i="21"/>
  <c r="Q602" i="21"/>
  <c r="P602" i="21"/>
  <c r="Q601" i="21"/>
  <c r="P601" i="21"/>
  <c r="Q600" i="21"/>
  <c r="P600" i="21"/>
  <c r="Q599" i="21"/>
  <c r="P599" i="21"/>
  <c r="Q594" i="21"/>
  <c r="P594" i="21"/>
  <c r="Q592" i="21"/>
  <c r="P592" i="21"/>
  <c r="Q591" i="21"/>
  <c r="P591" i="21"/>
  <c r="Q590" i="21"/>
  <c r="P590" i="21"/>
  <c r="Q589" i="21"/>
  <c r="P589" i="21"/>
  <c r="Q588" i="21"/>
  <c r="P588" i="21"/>
  <c r="Q587" i="21"/>
  <c r="P587" i="21"/>
  <c r="Q586" i="21"/>
  <c r="P586" i="21"/>
  <c r="Q585" i="21"/>
  <c r="P585" i="21"/>
  <c r="Q584" i="21"/>
  <c r="P584" i="21"/>
  <c r="Q583" i="21"/>
  <c r="P583" i="21"/>
  <c r="Q582" i="21"/>
  <c r="P582" i="21"/>
  <c r="Q581" i="21"/>
  <c r="P581" i="21"/>
  <c r="Q580" i="21"/>
  <c r="P580" i="21"/>
  <c r="Q579" i="21"/>
  <c r="P579" i="21"/>
  <c r="Q578" i="21"/>
  <c r="P578" i="21"/>
  <c r="Q577" i="21"/>
  <c r="P577" i="21"/>
  <c r="Q576" i="21"/>
  <c r="P576" i="21"/>
  <c r="Q575" i="21"/>
  <c r="P575" i="21"/>
  <c r="Q574" i="21"/>
  <c r="P574" i="21"/>
  <c r="Q573" i="21"/>
  <c r="P573" i="21"/>
  <c r="Q572" i="21"/>
  <c r="P572" i="21"/>
  <c r="Q571" i="21"/>
  <c r="P571" i="21"/>
  <c r="Q570" i="21"/>
  <c r="P570" i="21"/>
  <c r="Q569" i="21"/>
  <c r="P569" i="21"/>
  <c r="Q568" i="21"/>
  <c r="P568" i="21"/>
  <c r="Q567" i="21"/>
  <c r="P567" i="21"/>
  <c r="Q566" i="21"/>
  <c r="P566" i="21"/>
  <c r="Q565" i="21"/>
  <c r="P565" i="21"/>
  <c r="Q562" i="21"/>
  <c r="P562" i="21"/>
  <c r="Q560" i="21"/>
  <c r="P560" i="21"/>
  <c r="Q559" i="21"/>
  <c r="P559" i="21"/>
  <c r="Q558" i="21"/>
  <c r="P558" i="21"/>
  <c r="Q557" i="21"/>
  <c r="P557" i="21"/>
  <c r="Q556" i="21"/>
  <c r="P556" i="21"/>
  <c r="Q555" i="21"/>
  <c r="P555" i="21"/>
  <c r="Q554" i="21"/>
  <c r="P554" i="21"/>
  <c r="Q553" i="21"/>
  <c r="P553" i="21"/>
  <c r="Q552" i="21"/>
  <c r="P552" i="21"/>
  <c r="Q551" i="21"/>
  <c r="P551" i="21"/>
  <c r="Q550" i="21"/>
  <c r="P550" i="21"/>
  <c r="Q549" i="21"/>
  <c r="P549" i="21"/>
  <c r="Q548" i="21"/>
  <c r="P548" i="21"/>
  <c r="Q547" i="21"/>
  <c r="P547" i="21"/>
  <c r="Q546" i="21"/>
  <c r="P546" i="21"/>
  <c r="Q545" i="21"/>
  <c r="P545" i="21"/>
  <c r="Q544" i="21"/>
  <c r="P544" i="21"/>
  <c r="Q543" i="21"/>
  <c r="P543" i="21"/>
  <c r="Q542" i="21"/>
  <c r="P542" i="21"/>
  <c r="Q541" i="21"/>
  <c r="P541" i="21"/>
  <c r="Q540" i="21"/>
  <c r="P540" i="21"/>
  <c r="Q539" i="21"/>
  <c r="P539" i="21"/>
  <c r="Q538" i="21"/>
  <c r="P538" i="21"/>
  <c r="Q535" i="21"/>
  <c r="P535" i="21"/>
  <c r="Q534" i="21"/>
  <c r="P534" i="21"/>
  <c r="Q533" i="21"/>
  <c r="P533" i="21"/>
  <c r="Q532" i="21"/>
  <c r="P532" i="21"/>
  <c r="Q530" i="21"/>
  <c r="P530" i="21"/>
  <c r="Q528" i="21"/>
  <c r="P528" i="21"/>
  <c r="Q527" i="21"/>
  <c r="P527" i="21"/>
  <c r="Q526" i="21"/>
  <c r="P526" i="21"/>
  <c r="Q525" i="21"/>
  <c r="P525" i="21"/>
  <c r="Q524" i="21"/>
  <c r="P524" i="21"/>
  <c r="Q523" i="21"/>
  <c r="P523" i="21"/>
  <c r="Q522" i="21"/>
  <c r="P522" i="21"/>
  <c r="Q521" i="21"/>
  <c r="P521" i="21"/>
  <c r="Q520" i="21"/>
  <c r="P520" i="21"/>
  <c r="Q519" i="21"/>
  <c r="P519" i="21"/>
  <c r="Q518" i="21"/>
  <c r="P518" i="21"/>
  <c r="Q517" i="21"/>
  <c r="P517" i="21"/>
  <c r="Q516" i="21"/>
  <c r="P516" i="21"/>
  <c r="Q515" i="21"/>
  <c r="P515" i="21"/>
  <c r="Q514" i="21"/>
  <c r="P514" i="21"/>
  <c r="Q513" i="21"/>
  <c r="P513" i="21"/>
  <c r="Q512" i="21"/>
  <c r="P512" i="21"/>
  <c r="Q511" i="21"/>
  <c r="P511" i="21"/>
  <c r="Q510" i="21"/>
  <c r="P510" i="21"/>
  <c r="Q509" i="21"/>
  <c r="P509" i="21"/>
  <c r="Q508" i="21"/>
  <c r="P508" i="21"/>
  <c r="Q507" i="21"/>
  <c r="P507" i="21"/>
  <c r="Q506" i="21"/>
  <c r="P506" i="21"/>
  <c r="Q505" i="21"/>
  <c r="P505" i="21"/>
  <c r="Q504" i="21"/>
  <c r="P504" i="21"/>
  <c r="Q503" i="21"/>
  <c r="P503" i="21"/>
  <c r="Q502" i="21"/>
  <c r="P502" i="21"/>
  <c r="Q501" i="21"/>
  <c r="P501" i="21"/>
  <c r="Q500" i="21"/>
  <c r="P500" i="21"/>
  <c r="Q499" i="21"/>
  <c r="P499" i="21"/>
  <c r="Q498" i="21"/>
  <c r="P498" i="21"/>
  <c r="Q497" i="21"/>
  <c r="P497" i="21"/>
  <c r="Q496" i="21"/>
  <c r="P496" i="21"/>
  <c r="Q495" i="21"/>
  <c r="P495" i="21"/>
  <c r="Q492" i="21"/>
  <c r="P492" i="21"/>
  <c r="Q491" i="21"/>
  <c r="P491" i="21"/>
  <c r="Q490" i="21"/>
  <c r="P490" i="21"/>
  <c r="Q488" i="21"/>
  <c r="P488" i="21"/>
  <c r="Q487" i="21"/>
  <c r="P487" i="21"/>
  <c r="Q486" i="21"/>
  <c r="P486" i="21"/>
  <c r="Q485" i="21"/>
  <c r="P485" i="21"/>
  <c r="Q484" i="21"/>
  <c r="P484" i="21"/>
  <c r="Q483" i="21"/>
  <c r="P483" i="21"/>
  <c r="Q482" i="21"/>
  <c r="P482" i="21"/>
  <c r="Q481" i="21"/>
  <c r="P481" i="21"/>
  <c r="Q480" i="21"/>
  <c r="P480" i="21"/>
  <c r="Q479" i="21"/>
  <c r="P479" i="21"/>
  <c r="Q478" i="21"/>
  <c r="P478" i="21"/>
  <c r="Q477" i="21"/>
  <c r="P477" i="21"/>
  <c r="Q476" i="21"/>
  <c r="P476" i="21"/>
  <c r="Q475" i="21"/>
  <c r="P475" i="21"/>
  <c r="Q474" i="21"/>
  <c r="P474" i="21"/>
  <c r="Q473" i="21"/>
  <c r="P473" i="21"/>
  <c r="Q472" i="21"/>
  <c r="P472" i="21"/>
  <c r="Q471" i="21"/>
  <c r="P471" i="21"/>
  <c r="Q470" i="21"/>
  <c r="P470" i="21"/>
  <c r="Q469" i="21"/>
  <c r="P469" i="21"/>
  <c r="Q466" i="21"/>
  <c r="P466" i="21"/>
  <c r="Q465" i="21"/>
  <c r="P465" i="21"/>
  <c r="Q464" i="21"/>
  <c r="P464" i="21"/>
  <c r="Q462" i="21"/>
  <c r="P462" i="21"/>
  <c r="Q461" i="21"/>
  <c r="P461" i="21"/>
  <c r="Q460" i="21"/>
  <c r="P460" i="21"/>
  <c r="Q459" i="21"/>
  <c r="P459" i="21"/>
  <c r="Q458" i="21"/>
  <c r="P458" i="21"/>
  <c r="Q457" i="21"/>
  <c r="P457" i="21"/>
  <c r="Q456" i="21"/>
  <c r="P456" i="21"/>
  <c r="Q455" i="21"/>
  <c r="P455" i="21"/>
  <c r="Q454" i="21"/>
  <c r="P454" i="21"/>
  <c r="Q453" i="21"/>
  <c r="P453" i="21"/>
  <c r="Q452" i="21"/>
  <c r="P452" i="21"/>
  <c r="Q451" i="21"/>
  <c r="P451" i="21"/>
  <c r="Q450" i="21"/>
  <c r="P450" i="21"/>
  <c r="Q449" i="21"/>
  <c r="P449" i="21"/>
  <c r="Q448" i="21"/>
  <c r="P448" i="21"/>
  <c r="Q447" i="21"/>
  <c r="P447" i="21"/>
  <c r="Q446" i="21"/>
  <c r="P446" i="21"/>
  <c r="Q445" i="21"/>
  <c r="P445" i="21"/>
  <c r="Q444" i="21"/>
  <c r="P444" i="21"/>
  <c r="Q443" i="21"/>
  <c r="P443" i="21"/>
  <c r="Q442" i="21"/>
  <c r="P442" i="21"/>
  <c r="Q441" i="21"/>
  <c r="P441" i="21"/>
  <c r="Q440" i="21"/>
  <c r="P440" i="21"/>
  <c r="Q439" i="21"/>
  <c r="P439" i="21"/>
  <c r="Q436" i="21"/>
  <c r="P436" i="21"/>
  <c r="Q435" i="21"/>
  <c r="P435" i="21"/>
  <c r="Q434" i="21"/>
  <c r="P434" i="21"/>
  <c r="Q432" i="21"/>
  <c r="P432" i="21"/>
  <c r="Q431" i="21"/>
  <c r="P431" i="21"/>
  <c r="Q430" i="21"/>
  <c r="P430" i="21"/>
  <c r="Q429" i="21"/>
  <c r="P429" i="21"/>
  <c r="Q428" i="21"/>
  <c r="P428" i="21"/>
  <c r="Q427" i="21"/>
  <c r="P427" i="21"/>
  <c r="Q426" i="21"/>
  <c r="P426" i="21"/>
  <c r="Q425" i="21"/>
  <c r="P425" i="21"/>
  <c r="Q424" i="21"/>
  <c r="P424" i="21"/>
  <c r="Q423" i="21"/>
  <c r="P423" i="21"/>
  <c r="Q422" i="21"/>
  <c r="P422" i="21"/>
  <c r="Q421" i="21"/>
  <c r="P421" i="21"/>
  <c r="Q420" i="21"/>
  <c r="P420" i="21"/>
  <c r="Q419" i="21"/>
  <c r="P419" i="21"/>
  <c r="Q418" i="21"/>
  <c r="P418" i="21"/>
  <c r="Q417" i="21"/>
  <c r="P417" i="21"/>
  <c r="Q416" i="21"/>
  <c r="P416" i="21"/>
  <c r="Q415" i="21"/>
  <c r="P415" i="21"/>
  <c r="Q414" i="21"/>
  <c r="P414" i="21"/>
  <c r="Q413" i="21"/>
  <c r="P413" i="21"/>
  <c r="Q412" i="21"/>
  <c r="P412" i="21"/>
  <c r="Q411" i="21"/>
  <c r="P411" i="21"/>
  <c r="Q410" i="21"/>
  <c r="P410" i="21"/>
  <c r="Q409" i="21"/>
  <c r="P409" i="21"/>
  <c r="Q404" i="21"/>
  <c r="P404" i="21"/>
  <c r="Q403" i="21"/>
  <c r="P403" i="21"/>
  <c r="Q402" i="21"/>
  <c r="P402" i="21"/>
  <c r="Q401" i="21"/>
  <c r="P401" i="21"/>
  <c r="Q400" i="21"/>
  <c r="P400" i="21"/>
  <c r="Q399" i="21"/>
  <c r="P399" i="21"/>
  <c r="Q398" i="21"/>
  <c r="P398" i="21"/>
  <c r="Q397" i="21"/>
  <c r="P397" i="21"/>
  <c r="Q396" i="21"/>
  <c r="P396" i="21"/>
  <c r="Q395" i="21"/>
  <c r="P395" i="21"/>
  <c r="Q394" i="21"/>
  <c r="P394" i="21"/>
  <c r="Q393" i="21"/>
  <c r="P393" i="21"/>
  <c r="Q391" i="21"/>
  <c r="P391" i="21"/>
  <c r="Q390" i="21"/>
  <c r="P390" i="21"/>
  <c r="Q389" i="21"/>
  <c r="P389" i="21"/>
  <c r="Q388" i="21"/>
  <c r="P388" i="21"/>
  <c r="Q387" i="21"/>
  <c r="P387" i="21"/>
  <c r="Q386" i="21"/>
  <c r="P386" i="21"/>
  <c r="Q385" i="21"/>
  <c r="P385" i="21"/>
  <c r="Q384" i="21"/>
  <c r="P384" i="21"/>
  <c r="Q383" i="21"/>
  <c r="P383" i="21"/>
  <c r="Q382" i="21"/>
  <c r="P382" i="21"/>
  <c r="Q381" i="21"/>
  <c r="P381" i="21"/>
  <c r="Q380" i="21"/>
  <c r="P380" i="21"/>
  <c r="Q378" i="21"/>
  <c r="P378" i="21"/>
  <c r="Q377" i="21"/>
  <c r="P377" i="21"/>
  <c r="Q376" i="21"/>
  <c r="P376" i="21"/>
  <c r="Q375" i="21"/>
  <c r="P375" i="21"/>
  <c r="Q374" i="21"/>
  <c r="P374" i="21"/>
  <c r="Q373" i="21"/>
  <c r="P373" i="21"/>
  <c r="Q372" i="21"/>
  <c r="P372" i="21"/>
  <c r="Q371" i="21"/>
  <c r="P371" i="21"/>
  <c r="Q370" i="21"/>
  <c r="P370" i="21"/>
  <c r="Q369" i="21"/>
  <c r="P369" i="21"/>
  <c r="Q368" i="21"/>
  <c r="P368" i="21"/>
  <c r="Q367" i="21"/>
  <c r="P367" i="21"/>
  <c r="Q364" i="21"/>
  <c r="P364" i="21"/>
  <c r="Q363" i="21"/>
  <c r="P363" i="21"/>
  <c r="Q362" i="21"/>
  <c r="P362" i="21"/>
  <c r="Q361" i="21"/>
  <c r="P361" i="21"/>
  <c r="Q360" i="21"/>
  <c r="P360" i="21"/>
  <c r="Q359" i="21"/>
  <c r="P359" i="21"/>
  <c r="Q358" i="21"/>
  <c r="P358" i="21"/>
  <c r="Q357" i="21"/>
  <c r="P357" i="21"/>
  <c r="Q356" i="21"/>
  <c r="P356" i="21"/>
  <c r="Q355" i="21"/>
  <c r="P355" i="21"/>
  <c r="Q354" i="21"/>
  <c r="P354" i="21"/>
  <c r="Q353" i="21"/>
  <c r="P353" i="21"/>
  <c r="Q350" i="21"/>
  <c r="P350" i="21"/>
  <c r="Q349" i="21"/>
  <c r="P349" i="21"/>
  <c r="Q348" i="21"/>
  <c r="P348" i="21"/>
  <c r="Q347" i="21"/>
  <c r="P347" i="21"/>
  <c r="Q346" i="21"/>
  <c r="P346" i="21"/>
  <c r="Q345" i="21"/>
  <c r="P345" i="21"/>
  <c r="Q344" i="21"/>
  <c r="P344" i="21"/>
  <c r="Q343" i="21"/>
  <c r="P343" i="21"/>
  <c r="Q342" i="21"/>
  <c r="P342" i="21"/>
  <c r="Q341" i="21"/>
  <c r="P341" i="21"/>
  <c r="Q340" i="21"/>
  <c r="P340" i="21"/>
  <c r="Q339" i="21"/>
  <c r="P339" i="21"/>
  <c r="Q337" i="21"/>
  <c r="P337" i="21"/>
  <c r="Q336" i="21"/>
  <c r="P336" i="21"/>
  <c r="Q335" i="21"/>
  <c r="P335" i="21"/>
  <c r="Q334" i="21"/>
  <c r="P334" i="21"/>
  <c r="Q333" i="21"/>
  <c r="P333" i="21"/>
  <c r="Q332" i="21"/>
  <c r="P332" i="21"/>
  <c r="Q331" i="21"/>
  <c r="P331" i="21"/>
  <c r="Q330" i="21"/>
  <c r="P330" i="21"/>
  <c r="Q329" i="21"/>
  <c r="P329" i="21"/>
  <c r="Q328" i="21"/>
  <c r="P328" i="21"/>
  <c r="Q327" i="21"/>
  <c r="P327" i="21"/>
  <c r="Q326" i="21"/>
  <c r="P326" i="21"/>
  <c r="Q323" i="21"/>
  <c r="P323" i="21"/>
  <c r="Q322" i="21"/>
  <c r="P322" i="21"/>
  <c r="Q321" i="21"/>
  <c r="P321" i="21"/>
  <c r="Q320" i="21"/>
  <c r="P320" i="21"/>
  <c r="Q319" i="21"/>
  <c r="P319" i="21"/>
  <c r="Q318" i="21"/>
  <c r="P318" i="21"/>
  <c r="Q317" i="21"/>
  <c r="P317" i="21"/>
  <c r="Q316" i="21"/>
  <c r="P316" i="21"/>
  <c r="Q315" i="21"/>
  <c r="P315" i="21"/>
  <c r="Q314" i="21"/>
  <c r="P314" i="21"/>
  <c r="Q313" i="21"/>
  <c r="P313" i="21"/>
  <c r="Q312" i="21"/>
  <c r="P312" i="21"/>
  <c r="Q310" i="21"/>
  <c r="P310" i="21"/>
  <c r="Q309" i="21"/>
  <c r="P309" i="21"/>
  <c r="Q308" i="21"/>
  <c r="P308" i="21"/>
  <c r="Q307" i="21"/>
  <c r="P307" i="21"/>
  <c r="Q306" i="21"/>
  <c r="P306" i="21"/>
  <c r="Q305" i="21"/>
  <c r="P305" i="21"/>
  <c r="Q304" i="21"/>
  <c r="P304" i="21"/>
  <c r="Q303" i="21"/>
  <c r="P303" i="21"/>
  <c r="Q302" i="21"/>
  <c r="P302" i="21"/>
  <c r="Q301" i="21"/>
  <c r="P301" i="21"/>
  <c r="Q300" i="21"/>
  <c r="P300" i="21"/>
  <c r="Q299" i="21"/>
  <c r="P299" i="21"/>
  <c r="Q294" i="21"/>
  <c r="P294" i="21"/>
  <c r="Q293" i="21"/>
  <c r="P293" i="21"/>
  <c r="Q292" i="21"/>
  <c r="P292" i="21"/>
  <c r="Q291" i="21"/>
  <c r="P291" i="21"/>
  <c r="Q290" i="21"/>
  <c r="P290" i="21"/>
  <c r="Q289" i="21"/>
  <c r="P289" i="21"/>
  <c r="Q288" i="21"/>
  <c r="P288" i="21"/>
  <c r="Q285" i="21"/>
  <c r="P285" i="21"/>
  <c r="Q284" i="21"/>
  <c r="P284" i="21"/>
  <c r="Q283" i="21"/>
  <c r="P283" i="21"/>
  <c r="Q282" i="21"/>
  <c r="P282" i="21"/>
  <c r="Q281" i="21"/>
  <c r="P281" i="21"/>
  <c r="Q280" i="21"/>
  <c r="P280" i="21"/>
  <c r="Q279" i="21"/>
  <c r="P279" i="21"/>
  <c r="Q278" i="21"/>
  <c r="P278" i="21"/>
  <c r="Q277" i="21"/>
  <c r="P277" i="21"/>
  <c r="Q276" i="21"/>
  <c r="P276" i="21"/>
  <c r="Q275" i="21"/>
  <c r="P275" i="21"/>
  <c r="Q274" i="21"/>
  <c r="P274" i="21"/>
  <c r="Q269" i="21"/>
  <c r="P269" i="21"/>
  <c r="Q268" i="21"/>
  <c r="P268" i="21"/>
  <c r="Q267" i="21"/>
  <c r="P267" i="21"/>
  <c r="Q266" i="21"/>
  <c r="P266" i="21"/>
  <c r="Q265" i="21"/>
  <c r="P265" i="21"/>
  <c r="Q264" i="21"/>
  <c r="P264" i="21"/>
  <c r="Q263" i="21"/>
  <c r="P263" i="21"/>
  <c r="Q262" i="21"/>
  <c r="P262" i="21"/>
  <c r="Q261" i="21"/>
  <c r="P261" i="21"/>
  <c r="Q260" i="21"/>
  <c r="P260" i="21"/>
  <c r="Q259" i="21"/>
  <c r="P259" i="21"/>
  <c r="Q258" i="21"/>
  <c r="P258" i="21"/>
  <c r="Q257" i="21"/>
  <c r="P257" i="21"/>
  <c r="Q256" i="21"/>
  <c r="P256" i="21"/>
  <c r="Q253" i="21"/>
  <c r="P253" i="21"/>
  <c r="Q252" i="21"/>
  <c r="P252" i="21"/>
  <c r="Q251" i="21"/>
  <c r="P251" i="21"/>
  <c r="Q250" i="21"/>
  <c r="P250" i="21"/>
  <c r="Q249" i="21"/>
  <c r="P249" i="21"/>
  <c r="Q247" i="21"/>
  <c r="P247" i="21"/>
  <c r="Q246" i="21"/>
  <c r="P246" i="21"/>
  <c r="Q245" i="21"/>
  <c r="P245" i="21"/>
  <c r="Q244" i="21"/>
  <c r="P244" i="21"/>
  <c r="Q243" i="21"/>
  <c r="P243" i="21"/>
  <c r="Q241" i="21"/>
  <c r="P241" i="21"/>
  <c r="Q240" i="21"/>
  <c r="P240" i="21"/>
  <c r="Q239" i="21"/>
  <c r="P239" i="21"/>
  <c r="Q238" i="21"/>
  <c r="P238" i="21"/>
  <c r="Q237" i="21"/>
  <c r="P237" i="21"/>
  <c r="Q236" i="21"/>
  <c r="P236" i="21"/>
  <c r="Q233" i="21"/>
  <c r="P233" i="21"/>
  <c r="Q232" i="21"/>
  <c r="P232" i="21"/>
  <c r="Q231" i="21"/>
  <c r="P231" i="21"/>
  <c r="Q226" i="21"/>
  <c r="P226" i="21"/>
  <c r="Q225" i="21"/>
  <c r="P225" i="21"/>
  <c r="Q224" i="21"/>
  <c r="P224" i="21"/>
  <c r="Q223" i="21"/>
  <c r="P223" i="21"/>
  <c r="Q221" i="21"/>
  <c r="P221" i="21"/>
  <c r="Q220" i="21"/>
  <c r="P220" i="21"/>
  <c r="Q219" i="21"/>
  <c r="P219" i="21"/>
  <c r="Q214" i="21"/>
  <c r="P214" i="21"/>
  <c r="Q213" i="21"/>
  <c r="P213" i="21"/>
  <c r="Q210" i="21"/>
  <c r="P210" i="21"/>
  <c r="Q209" i="21"/>
  <c r="P209" i="21"/>
  <c r="Q207" i="21"/>
  <c r="P207" i="21"/>
  <c r="Q206" i="21"/>
  <c r="P206" i="21"/>
  <c r="Q202" i="21"/>
  <c r="P202" i="21"/>
  <c r="Q201" i="21"/>
  <c r="P201" i="21"/>
  <c r="Q200" i="21"/>
  <c r="P200" i="21"/>
  <c r="Q199" i="21"/>
  <c r="P199" i="21"/>
  <c r="Q196" i="21"/>
  <c r="P196" i="21"/>
  <c r="Q195" i="21"/>
  <c r="P195" i="21"/>
  <c r="Q194" i="21"/>
  <c r="P194" i="21"/>
  <c r="Q193" i="21"/>
  <c r="P193" i="21"/>
  <c r="Q191" i="21"/>
  <c r="P191" i="21"/>
  <c r="Q190" i="21"/>
  <c r="P190" i="21"/>
  <c r="Q189" i="21"/>
  <c r="P189" i="21"/>
  <c r="Q188" i="21"/>
  <c r="P188" i="21"/>
  <c r="Q187" i="21"/>
  <c r="P187" i="21"/>
  <c r="Q186" i="21"/>
  <c r="P186" i="21"/>
  <c r="Q185" i="21"/>
  <c r="P185" i="21"/>
  <c r="Q182" i="21"/>
  <c r="P182" i="21"/>
  <c r="Q181" i="21"/>
  <c r="P181" i="21"/>
  <c r="Q180" i="21"/>
  <c r="P180" i="21"/>
  <c r="Q179" i="21"/>
  <c r="P179" i="21"/>
  <c r="Q178" i="21"/>
  <c r="P178" i="21"/>
  <c r="Q176" i="21"/>
  <c r="P176" i="21"/>
  <c r="Q175" i="21"/>
  <c r="P175" i="21"/>
  <c r="Q174" i="21"/>
  <c r="P174" i="21"/>
  <c r="Q173" i="21"/>
  <c r="P173" i="21"/>
  <c r="Q172" i="21"/>
  <c r="P172" i="21"/>
  <c r="Q171" i="21"/>
  <c r="P171" i="21"/>
  <c r="Q170" i="21"/>
  <c r="P170" i="21"/>
  <c r="Q169" i="21"/>
  <c r="P169" i="21"/>
  <c r="Q167" i="21"/>
  <c r="P167" i="21"/>
  <c r="Q166" i="21"/>
  <c r="P166" i="21"/>
  <c r="Q165" i="21"/>
  <c r="P165" i="21"/>
  <c r="Q164" i="21"/>
  <c r="P164" i="21"/>
  <c r="Q163" i="21"/>
  <c r="P163" i="21"/>
  <c r="Q162" i="21"/>
  <c r="P162" i="21"/>
  <c r="Q161" i="21"/>
  <c r="P161" i="21"/>
  <c r="Q158" i="21"/>
  <c r="P158" i="21"/>
  <c r="Q157" i="21"/>
  <c r="P157" i="21"/>
  <c r="Q156" i="21"/>
  <c r="P156" i="21"/>
  <c r="Q155" i="21"/>
  <c r="P155" i="21"/>
  <c r="Q154" i="21"/>
  <c r="P154" i="21"/>
  <c r="Q153" i="21"/>
  <c r="P153" i="21"/>
  <c r="Q151" i="21"/>
  <c r="P151" i="21"/>
  <c r="Q150" i="21"/>
  <c r="P150" i="21"/>
  <c r="Q149" i="21"/>
  <c r="P149" i="21"/>
  <c r="Q148" i="21"/>
  <c r="P148" i="21"/>
  <c r="Q147" i="21"/>
  <c r="P147" i="21"/>
  <c r="Q146" i="21"/>
  <c r="P146" i="21"/>
  <c r="Q145" i="21"/>
  <c r="P145" i="21"/>
  <c r="Q144" i="21"/>
  <c r="P144" i="21"/>
  <c r="Q142" i="21"/>
  <c r="P142" i="21"/>
  <c r="Q141" i="21"/>
  <c r="P141" i="21"/>
  <c r="Q139" i="21"/>
  <c r="P139" i="21"/>
  <c r="Q138" i="21"/>
  <c r="P138" i="21"/>
  <c r="Q137" i="21"/>
  <c r="P137" i="21"/>
  <c r="Q132" i="21"/>
  <c r="P132" i="21"/>
  <c r="Q130" i="21"/>
  <c r="P130" i="21"/>
  <c r="Q129" i="21"/>
  <c r="P129" i="21"/>
  <c r="Q128" i="21"/>
  <c r="P128" i="21"/>
  <c r="Q127" i="21"/>
  <c r="P127" i="21"/>
  <c r="Q126" i="21"/>
  <c r="P126" i="21"/>
  <c r="Q125" i="21"/>
  <c r="P125" i="21"/>
  <c r="Q122" i="21"/>
  <c r="P122" i="21"/>
  <c r="Q121" i="21"/>
  <c r="P121" i="21"/>
  <c r="Q120" i="21"/>
  <c r="P120" i="21"/>
  <c r="Q119" i="21"/>
  <c r="P119" i="21"/>
  <c r="Q118" i="21"/>
  <c r="P118" i="21"/>
  <c r="Q116" i="21"/>
  <c r="P116" i="21"/>
  <c r="Q115" i="21"/>
  <c r="P115" i="21"/>
  <c r="Q114" i="21"/>
  <c r="P114" i="21"/>
  <c r="Q113" i="21"/>
  <c r="P113" i="21"/>
  <c r="Q112" i="21"/>
  <c r="P112" i="21"/>
  <c r="Q109" i="21"/>
  <c r="P109" i="21"/>
  <c r="Q108" i="21"/>
  <c r="P108" i="21"/>
  <c r="Q107" i="21"/>
  <c r="P107" i="21"/>
  <c r="Q106" i="21"/>
  <c r="P106" i="21"/>
  <c r="Q105" i="21"/>
  <c r="P105" i="21"/>
  <c r="Q104" i="21"/>
  <c r="P104" i="21"/>
  <c r="Q102" i="21"/>
  <c r="P102" i="21"/>
  <c r="Q101" i="21"/>
  <c r="P101" i="21"/>
  <c r="Q100" i="21"/>
  <c r="P100" i="21"/>
  <c r="Q99" i="21"/>
  <c r="P99" i="21"/>
  <c r="Q98" i="21"/>
  <c r="P98" i="21"/>
  <c r="Q97" i="21"/>
  <c r="P97" i="21"/>
  <c r="Q96" i="21"/>
  <c r="P96" i="21"/>
  <c r="Q92" i="21"/>
  <c r="P92" i="21"/>
  <c r="Q91" i="21"/>
  <c r="P91" i="21"/>
  <c r="Q90" i="21"/>
  <c r="P90" i="21"/>
  <c r="Q89" i="21"/>
  <c r="P89" i="21"/>
  <c r="Q88" i="21"/>
  <c r="P88" i="21"/>
  <c r="Q87" i="21"/>
  <c r="P87" i="21"/>
  <c r="Q86" i="21"/>
  <c r="P86" i="21"/>
  <c r="Q85" i="21"/>
  <c r="P85" i="21"/>
  <c r="Q84" i="21"/>
  <c r="P84" i="21"/>
  <c r="Q82" i="21"/>
  <c r="P82" i="21"/>
  <c r="Q81" i="21"/>
  <c r="P81" i="21"/>
  <c r="Q79" i="21"/>
  <c r="P79" i="21"/>
  <c r="Q78" i="21"/>
  <c r="P78" i="21"/>
  <c r="Q77" i="21"/>
  <c r="P77" i="21"/>
  <c r="Q76" i="21"/>
  <c r="P76" i="21"/>
  <c r="Q75" i="21"/>
  <c r="P75" i="21"/>
  <c r="Q74" i="21"/>
  <c r="P74" i="21"/>
  <c r="Q71" i="21"/>
  <c r="P71" i="21"/>
  <c r="Q70" i="21"/>
  <c r="P70" i="21"/>
  <c r="Q69" i="21"/>
  <c r="P69" i="21"/>
  <c r="Q68" i="21"/>
  <c r="P68" i="21"/>
  <c r="Q67" i="21"/>
  <c r="P67" i="21"/>
  <c r="Q66" i="21"/>
  <c r="P66" i="21"/>
  <c r="Q65" i="21"/>
  <c r="P65" i="21"/>
  <c r="Q64" i="21"/>
  <c r="P64" i="21"/>
  <c r="Q63" i="21"/>
  <c r="P63" i="21"/>
  <c r="Q61" i="21"/>
  <c r="P61" i="21"/>
  <c r="Q60" i="21"/>
  <c r="P60" i="21"/>
  <c r="Q59" i="21"/>
  <c r="P59" i="21"/>
  <c r="Q58" i="21"/>
  <c r="P58" i="21"/>
  <c r="Q57" i="21"/>
  <c r="P57" i="21"/>
  <c r="Q56" i="21"/>
  <c r="P56" i="21"/>
  <c r="Q55" i="21"/>
  <c r="P55" i="21"/>
  <c r="Q54" i="21"/>
  <c r="P54" i="21"/>
  <c r="Q53" i="21"/>
  <c r="P53" i="21"/>
  <c r="Q52" i="21"/>
  <c r="P52" i="21"/>
  <c r="Q51" i="21"/>
  <c r="P51" i="21"/>
  <c r="Q50" i="21"/>
  <c r="P50" i="21"/>
  <c r="Q49" i="21"/>
  <c r="P49" i="21"/>
  <c r="Q46" i="21"/>
  <c r="P46" i="21"/>
  <c r="Q45" i="21"/>
  <c r="P45" i="21"/>
  <c r="Q44" i="21"/>
  <c r="P44" i="21"/>
  <c r="Q43" i="21"/>
  <c r="P43" i="21"/>
  <c r="Q42" i="21"/>
  <c r="P42" i="21"/>
  <c r="Q41" i="21"/>
  <c r="P41" i="21"/>
  <c r="Q39" i="21"/>
  <c r="P39" i="21"/>
  <c r="Q38" i="21"/>
  <c r="P38" i="21"/>
  <c r="Q36" i="21"/>
  <c r="P36" i="21"/>
  <c r="Q35" i="21"/>
  <c r="P35" i="21"/>
  <c r="Q34" i="21"/>
  <c r="P34" i="21"/>
  <c r="Q33" i="21"/>
  <c r="P33" i="21"/>
  <c r="Q32" i="21"/>
  <c r="P32" i="21"/>
  <c r="Q31" i="21"/>
  <c r="P31" i="21"/>
  <c r="Q30" i="21"/>
  <c r="P30" i="21"/>
  <c r="Q29" i="21"/>
  <c r="P29" i="21"/>
  <c r="Q28" i="21"/>
  <c r="P28" i="21"/>
  <c r="Q27" i="21"/>
  <c r="P27" i="21"/>
  <c r="Q26" i="21"/>
  <c r="P26" i="21"/>
  <c r="Q25" i="21"/>
  <c r="P25" i="21"/>
  <c r="Q24" i="21"/>
  <c r="P24" i="21"/>
  <c r="Q21" i="21"/>
  <c r="P21" i="21"/>
  <c r="Q19" i="21"/>
  <c r="P19" i="21"/>
  <c r="Q18" i="21"/>
  <c r="P18" i="21"/>
  <c r="Q17" i="21"/>
  <c r="P17" i="21"/>
  <c r="Q16" i="21"/>
  <c r="P16" i="21"/>
  <c r="Q15" i="21"/>
  <c r="P15" i="21"/>
  <c r="Q13" i="21"/>
  <c r="P13" i="21"/>
  <c r="Q12" i="21"/>
  <c r="P12" i="21"/>
  <c r="Q11" i="21"/>
  <c r="P11" i="21"/>
  <c r="Q10" i="21"/>
  <c r="P10" i="21"/>
  <c r="Q9" i="21"/>
  <c r="P9" i="21"/>
  <c r="Q8" i="21"/>
  <c r="P8" i="2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8" i="1"/>
  <c r="P642" i="1" l="1"/>
  <c r="P641" i="1"/>
  <c r="P640" i="1"/>
  <c r="P601" i="1" l="1"/>
  <c r="P602" i="1"/>
  <c r="F81" i="6"/>
  <c r="G81" i="6" s="1"/>
  <c r="G80" i="6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43" i="1"/>
  <c r="P644" i="1"/>
  <c r="P645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6" i="1"/>
  <c r="P647" i="1"/>
  <c r="P648" i="1"/>
  <c r="P649" i="1"/>
  <c r="P4" i="1"/>
  <c r="R19" i="17"/>
  <c r="P19" i="17"/>
  <c r="R18" i="17"/>
  <c r="P18" i="17"/>
  <c r="R17" i="17"/>
  <c r="P17" i="17"/>
  <c r="S16" i="17"/>
  <c r="Q16" i="17"/>
  <c r="O16" i="17"/>
  <c r="K16" i="17"/>
  <c r="C121" i="6"/>
  <c r="C99" i="6"/>
  <c r="C84" i="6"/>
  <c r="C77" i="6"/>
  <c r="C55" i="6"/>
  <c r="C45" i="6"/>
  <c r="C39" i="6"/>
  <c r="C31" i="6"/>
  <c r="C25" i="6"/>
  <c r="D121" i="6"/>
  <c r="D99" i="6"/>
  <c r="D94" i="6"/>
  <c r="D84" i="6"/>
  <c r="D77" i="6"/>
  <c r="D66" i="6"/>
  <c r="D60" i="6"/>
  <c r="D55" i="6"/>
  <c r="D45" i="6"/>
  <c r="D31" i="6"/>
  <c r="D25" i="6"/>
  <c r="F128" i="6"/>
  <c r="G128" i="6" s="1"/>
  <c r="F124" i="6"/>
  <c r="G124" i="6" s="1"/>
  <c r="F123" i="6"/>
  <c r="G123" i="6" s="1"/>
  <c r="F117" i="6"/>
  <c r="G117" i="6" s="1"/>
  <c r="F116" i="6"/>
  <c r="F115" i="6"/>
  <c r="G115" i="6" s="1"/>
  <c r="F110" i="6"/>
  <c r="F109" i="6"/>
  <c r="F108" i="6"/>
  <c r="F107" i="6"/>
  <c r="G107" i="6" s="1"/>
  <c r="F102" i="6"/>
  <c r="F101" i="6"/>
  <c r="G101" i="6" s="1"/>
  <c r="F100" i="6"/>
  <c r="G100" i="6" s="1"/>
  <c r="F97" i="6"/>
  <c r="G97" i="6" s="1"/>
  <c r="F96" i="6"/>
  <c r="G96" i="6" s="1"/>
  <c r="F95" i="6"/>
  <c r="G95" i="6" s="1"/>
  <c r="F92" i="6"/>
  <c r="G92" i="6" s="1"/>
  <c r="F91" i="6"/>
  <c r="G91" i="6" s="1"/>
  <c r="F90" i="6"/>
  <c r="G90" i="6" s="1"/>
  <c r="F89" i="6"/>
  <c r="G89" i="6" s="1"/>
  <c r="F88" i="6"/>
  <c r="G88" i="6" s="1"/>
  <c r="F87" i="6"/>
  <c r="G87" i="6" s="1"/>
  <c r="F86" i="6"/>
  <c r="G86" i="6" s="1"/>
  <c r="F79" i="6"/>
  <c r="G79" i="6" s="1"/>
  <c r="F78" i="6"/>
  <c r="G78" i="6" s="1"/>
  <c r="F69" i="6"/>
  <c r="G69" i="6" s="1"/>
  <c r="F68" i="6"/>
  <c r="G68" i="6" s="1"/>
  <c r="F67" i="6"/>
  <c r="G67" i="6" s="1"/>
  <c r="F49" i="6"/>
  <c r="G49" i="6" s="1"/>
  <c r="F48" i="6"/>
  <c r="G48" i="6" s="1"/>
  <c r="G47" i="6"/>
  <c r="F46" i="6"/>
  <c r="G46" i="6" s="1"/>
  <c r="G43" i="6"/>
  <c r="G42" i="6"/>
  <c r="G41" i="6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29" i="6"/>
  <c r="G29" i="6" s="1"/>
  <c r="F28" i="6"/>
  <c r="G28" i="6" s="1"/>
  <c r="F27" i="6"/>
  <c r="G27" i="6" s="1"/>
  <c r="C135" i="6"/>
  <c r="D18" i="17"/>
  <c r="F13" i="6"/>
  <c r="H15" i="17" s="1"/>
  <c r="H13" i="17"/>
  <c r="H10" i="17"/>
  <c r="D17" i="17"/>
  <c r="F85" i="6"/>
  <c r="G85" i="6" s="1"/>
  <c r="H9" i="17"/>
  <c r="F26" i="6"/>
  <c r="G26" i="6" s="1"/>
  <c r="F82" i="6"/>
  <c r="G82" i="6" s="1"/>
  <c r="L19" i="17"/>
  <c r="F56" i="6"/>
  <c r="G56" i="6" s="1"/>
  <c r="F57" i="6"/>
  <c r="G57" i="6" s="1"/>
  <c r="F58" i="6"/>
  <c r="G58" i="6" s="1"/>
  <c r="F61" i="6"/>
  <c r="G61" i="6" s="1"/>
  <c r="F62" i="6"/>
  <c r="G62" i="6" s="1"/>
  <c r="F63" i="6"/>
  <c r="G63" i="6" s="1"/>
  <c r="F64" i="6"/>
  <c r="F122" i="6"/>
  <c r="O8" i="5"/>
  <c r="N8" i="5"/>
  <c r="M8" i="5"/>
  <c r="L8" i="5"/>
  <c r="K8" i="5"/>
  <c r="J8" i="5"/>
  <c r="I8" i="5"/>
  <c r="H8" i="5"/>
  <c r="G8" i="5"/>
  <c r="F8" i="5"/>
  <c r="E8" i="5"/>
  <c r="D8" i="5"/>
  <c r="G8" i="14"/>
  <c r="H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F26" i="14"/>
  <c r="E26" i="14"/>
  <c r="D26" i="14"/>
  <c r="J22" i="15"/>
  <c r="A22" i="15"/>
  <c r="I20" i="15"/>
  <c r="K20" i="15" s="1"/>
  <c r="I19" i="15"/>
  <c r="K19" i="15" s="1"/>
  <c r="P19" i="15" s="1"/>
  <c r="I18" i="15"/>
  <c r="K18" i="15" s="1"/>
  <c r="I17" i="15"/>
  <c r="K17" i="15" s="1"/>
  <c r="I16" i="15"/>
  <c r="K16" i="15" s="1"/>
  <c r="I15" i="15"/>
  <c r="K15" i="15" s="1"/>
  <c r="R15" i="15" s="1"/>
  <c r="I14" i="15"/>
  <c r="K14" i="15" s="1"/>
  <c r="N14" i="15" s="1"/>
  <c r="I13" i="15"/>
  <c r="K13" i="15" s="1"/>
  <c r="I12" i="15"/>
  <c r="K12" i="15" s="1"/>
  <c r="N12" i="15" s="1"/>
  <c r="L12" i="15"/>
  <c r="M12" i="15" s="1"/>
  <c r="I11" i="15"/>
  <c r="K11" i="15" s="1"/>
  <c r="Y11" i="15" s="1"/>
  <c r="I10" i="15"/>
  <c r="K10" i="15" s="1"/>
  <c r="U10" i="15" s="1"/>
  <c r="S12" i="15"/>
  <c r="Q12" i="15"/>
  <c r="R12" i="15"/>
  <c r="T14" i="15"/>
  <c r="O15" i="15"/>
  <c r="J22" i="9"/>
  <c r="A22" i="9"/>
  <c r="AN20" i="9"/>
  <c r="I20" i="9"/>
  <c r="K20" i="9" s="1"/>
  <c r="O20" i="9" s="1"/>
  <c r="AN19" i="9"/>
  <c r="I19" i="9"/>
  <c r="AN18" i="9"/>
  <c r="I18" i="9"/>
  <c r="K18" i="9" s="1"/>
  <c r="U18" i="9" s="1"/>
  <c r="AN17" i="9"/>
  <c r="I17" i="9"/>
  <c r="K17" i="9" s="1"/>
  <c r="S17" i="9" s="1"/>
  <c r="AN16" i="9"/>
  <c r="I16" i="9"/>
  <c r="K16" i="9" s="1"/>
  <c r="S16" i="9" s="1"/>
  <c r="AN15" i="9"/>
  <c r="I15" i="9"/>
  <c r="K15" i="9" s="1"/>
  <c r="Q15" i="9" s="1"/>
  <c r="AN14" i="9"/>
  <c r="I14" i="9"/>
  <c r="K14" i="9" s="1"/>
  <c r="AN13" i="9"/>
  <c r="I13" i="9"/>
  <c r="K13" i="9" s="1"/>
  <c r="T13" i="9" s="1"/>
  <c r="AN12" i="9"/>
  <c r="I12" i="9"/>
  <c r="I11" i="9"/>
  <c r="I10" i="9"/>
  <c r="K10" i="9" s="1"/>
  <c r="M11" i="9"/>
  <c r="M12" i="9"/>
  <c r="M13" i="9"/>
  <c r="M14" i="9"/>
  <c r="M15" i="9"/>
  <c r="M16" i="9"/>
  <c r="M17" i="9"/>
  <c r="M18" i="9"/>
  <c r="M19" i="9"/>
  <c r="M20" i="9"/>
  <c r="M10" i="9"/>
  <c r="L22" i="9"/>
  <c r="K11" i="9"/>
  <c r="N11" i="9" s="1"/>
  <c r="K12" i="9"/>
  <c r="T12" i="9" s="1"/>
  <c r="K19" i="9"/>
  <c r="R19" i="9" s="1"/>
  <c r="C23" i="5"/>
  <c r="C40" i="5"/>
  <c r="C39" i="5"/>
  <c r="C38" i="5"/>
  <c r="C37" i="5"/>
  <c r="C10" i="5"/>
  <c r="C11" i="5"/>
  <c r="C12" i="5"/>
  <c r="C13" i="5"/>
  <c r="C14" i="5"/>
  <c r="O48" i="5"/>
  <c r="N48" i="5"/>
  <c r="M48" i="5"/>
  <c r="L48" i="5"/>
  <c r="K48" i="5"/>
  <c r="J48" i="5"/>
  <c r="I48" i="5"/>
  <c r="H48" i="5"/>
  <c r="G48" i="5"/>
  <c r="F48" i="5"/>
  <c r="E48" i="5"/>
  <c r="C44" i="5"/>
  <c r="N36" i="5"/>
  <c r="L36" i="5"/>
  <c r="J36" i="5"/>
  <c r="H36" i="5"/>
  <c r="F36" i="5"/>
  <c r="D36" i="5"/>
  <c r="O36" i="5"/>
  <c r="M36" i="5"/>
  <c r="K36" i="5"/>
  <c r="I36" i="5"/>
  <c r="G36" i="5"/>
  <c r="E36" i="5"/>
  <c r="E42" i="5" s="1"/>
  <c r="E44" i="5" s="1"/>
  <c r="E46" i="5" s="1"/>
  <c r="C33" i="5"/>
  <c r="O16" i="5"/>
  <c r="C31" i="5"/>
  <c r="C30" i="5"/>
  <c r="C29" i="5"/>
  <c r="C28" i="5"/>
  <c r="C27" i="5"/>
  <c r="C26" i="5"/>
  <c r="C22" i="5"/>
  <c r="C21" i="5"/>
  <c r="C20" i="5"/>
  <c r="C19" i="5"/>
  <c r="C18" i="5"/>
  <c r="N16" i="5"/>
  <c r="M16" i="5"/>
  <c r="L16" i="5"/>
  <c r="L42" i="5" s="1"/>
  <c r="L44" i="5" s="1"/>
  <c r="L46" i="5" s="1"/>
  <c r="K16" i="5"/>
  <c r="J16" i="5"/>
  <c r="J42" i="5" s="1"/>
  <c r="J44" i="5" s="1"/>
  <c r="J46" i="5" s="1"/>
  <c r="I16" i="5"/>
  <c r="H16" i="5"/>
  <c r="G16" i="5"/>
  <c r="G42" i="5" s="1"/>
  <c r="G44" i="5" s="1"/>
  <c r="G46" i="5" s="1"/>
  <c r="F16" i="5"/>
  <c r="E16" i="5"/>
  <c r="D16" i="5"/>
  <c r="C9" i="5"/>
  <c r="M42" i="5"/>
  <c r="M44" i="5" s="1"/>
  <c r="M46" i="5" s="1"/>
  <c r="K42" i="5" l="1"/>
  <c r="K44" i="5" s="1"/>
  <c r="K46" i="5" s="1"/>
  <c r="N17" i="9"/>
  <c r="U12" i="15"/>
  <c r="C8" i="5"/>
  <c r="L19" i="15"/>
  <c r="M19" i="15" s="1"/>
  <c r="N17" i="15"/>
  <c r="S17" i="15"/>
  <c r="X17" i="15"/>
  <c r="F121" i="6"/>
  <c r="G121" i="6" s="1"/>
  <c r="F42" i="5"/>
  <c r="F44" i="5" s="1"/>
  <c r="F46" i="5" s="1"/>
  <c r="N42" i="5"/>
  <c r="N44" i="5" s="1"/>
  <c r="N46" i="5" s="1"/>
  <c r="X15" i="15"/>
  <c r="Q18" i="17"/>
  <c r="F17" i="17"/>
  <c r="F19" i="17"/>
  <c r="D19" i="17"/>
  <c r="H16" i="17"/>
  <c r="I16" i="17" s="1"/>
  <c r="F18" i="17"/>
  <c r="E18" i="17" s="1"/>
  <c r="C51" i="6"/>
  <c r="G122" i="6"/>
  <c r="U15" i="15"/>
  <c r="G40" i="6"/>
  <c r="F39" i="6"/>
  <c r="G39" i="6" s="1"/>
  <c r="H42" i="5"/>
  <c r="H44" i="5" s="1"/>
  <c r="H46" i="5" s="1"/>
  <c r="N13" i="9"/>
  <c r="F94" i="6"/>
  <c r="G94" i="6" s="1"/>
  <c r="G116" i="6"/>
  <c r="F106" i="6"/>
  <c r="G106" i="6" s="1"/>
  <c r="G109" i="6"/>
  <c r="G108" i="6"/>
  <c r="G110" i="6"/>
  <c r="F66" i="6"/>
  <c r="G66" i="6" s="1"/>
  <c r="F114" i="6"/>
  <c r="G114" i="6" s="1"/>
  <c r="F31" i="6"/>
  <c r="G31" i="6" s="1"/>
  <c r="F25" i="6"/>
  <c r="G25" i="6" s="1"/>
  <c r="C71" i="6"/>
  <c r="F84" i="6"/>
  <c r="G84" i="6" s="1"/>
  <c r="F77" i="6"/>
  <c r="F55" i="6"/>
  <c r="G55" i="6" s="1"/>
  <c r="F45" i="6"/>
  <c r="G45" i="6" s="1"/>
  <c r="U16" i="15"/>
  <c r="O16" i="15"/>
  <c r="V13" i="15"/>
  <c r="Y13" i="15"/>
  <c r="U13" i="15"/>
  <c r="O13" i="15"/>
  <c r="S20" i="15"/>
  <c r="T20" i="15"/>
  <c r="P20" i="15"/>
  <c r="S18" i="15"/>
  <c r="R18" i="15"/>
  <c r="U19" i="9"/>
  <c r="P18" i="9"/>
  <c r="W13" i="9"/>
  <c r="W11" i="9"/>
  <c r="D42" i="5"/>
  <c r="D46" i="5" s="1"/>
  <c r="H17" i="17"/>
  <c r="D71" i="6"/>
  <c r="C16" i="5"/>
  <c r="N19" i="9"/>
  <c r="N12" i="9"/>
  <c r="W20" i="9"/>
  <c r="O19" i="9"/>
  <c r="U17" i="9"/>
  <c r="Q13" i="9"/>
  <c r="R11" i="9"/>
  <c r="T20" i="9"/>
  <c r="X18" i="9"/>
  <c r="P17" i="9"/>
  <c r="W12" i="9"/>
  <c r="O11" i="9"/>
  <c r="Q17" i="17"/>
  <c r="O42" i="5"/>
  <c r="O44" i="5" s="1"/>
  <c r="O46" i="5" s="1"/>
  <c r="I42" i="5"/>
  <c r="I44" i="5" s="1"/>
  <c r="I46" i="5" s="1"/>
  <c r="N20" i="9"/>
  <c r="R12" i="9"/>
  <c r="O10" i="9"/>
  <c r="S10" i="9"/>
  <c r="W10" i="9"/>
  <c r="Q10" i="9"/>
  <c r="V10" i="9"/>
  <c r="T10" i="9"/>
  <c r="Y10" i="9"/>
  <c r="N10" i="9"/>
  <c r="P10" i="9"/>
  <c r="R10" i="9"/>
  <c r="U10" i="9"/>
  <c r="K22" i="9"/>
  <c r="X10" i="9"/>
  <c r="O14" i="9"/>
  <c r="S14" i="9"/>
  <c r="W14" i="9"/>
  <c r="P14" i="9"/>
  <c r="U14" i="9"/>
  <c r="R14" i="9"/>
  <c r="X14" i="9"/>
  <c r="N14" i="9"/>
  <c r="Q14" i="9"/>
  <c r="X11" i="15"/>
  <c r="U11" i="15"/>
  <c r="N11" i="15"/>
  <c r="L11" i="15"/>
  <c r="P11" i="15"/>
  <c r="W11" i="15"/>
  <c r="R11" i="15"/>
  <c r="Q11" i="15"/>
  <c r="N19" i="15"/>
  <c r="V19" i="15"/>
  <c r="R19" i="15"/>
  <c r="U19" i="15"/>
  <c r="X19" i="15"/>
  <c r="Q19" i="15"/>
  <c r="P15" i="9"/>
  <c r="T15" i="9"/>
  <c r="X15" i="9"/>
  <c r="O15" i="9"/>
  <c r="U15" i="9"/>
  <c r="R15" i="9"/>
  <c r="W15" i="9"/>
  <c r="S19" i="15"/>
  <c r="O11" i="15"/>
  <c r="V16" i="9"/>
  <c r="V15" i="9"/>
  <c r="V14" i="9"/>
  <c r="N10" i="15"/>
  <c r="K22" i="15"/>
  <c r="T10" i="15"/>
  <c r="O10" i="15"/>
  <c r="P10" i="15"/>
  <c r="L10" i="15"/>
  <c r="S10" i="15"/>
  <c r="R10" i="15"/>
  <c r="S14" i="15"/>
  <c r="R14" i="15"/>
  <c r="U14" i="15"/>
  <c r="O14" i="15"/>
  <c r="P14" i="15"/>
  <c r="R17" i="15"/>
  <c r="Q17" i="15"/>
  <c r="P17" i="15"/>
  <c r="U17" i="15"/>
  <c r="Y17" i="15"/>
  <c r="V17" i="15"/>
  <c r="O17" i="15"/>
  <c r="H26" i="14"/>
  <c r="G64" i="6"/>
  <c r="F60" i="6"/>
  <c r="G60" i="6" s="1"/>
  <c r="C36" i="5"/>
  <c r="C42" i="5" s="1"/>
  <c r="C46" i="5" s="1"/>
  <c r="Q20" i="9"/>
  <c r="U20" i="9"/>
  <c r="Y20" i="9"/>
  <c r="S20" i="9"/>
  <c r="X20" i="9"/>
  <c r="P20" i="9"/>
  <c r="V20" i="9"/>
  <c r="O18" i="9"/>
  <c r="S18" i="9"/>
  <c r="W18" i="9"/>
  <c r="T18" i="9"/>
  <c r="Y18" i="9"/>
  <c r="Q18" i="9"/>
  <c r="V18" i="9"/>
  <c r="N18" i="9"/>
  <c r="N16" i="9"/>
  <c r="P11" i="9"/>
  <c r="T11" i="9"/>
  <c r="X11" i="9"/>
  <c r="Q11" i="9"/>
  <c r="V11" i="9"/>
  <c r="S11" i="9"/>
  <c r="Y11" i="9"/>
  <c r="O19" i="15"/>
  <c r="T19" i="15"/>
  <c r="T17" i="15"/>
  <c r="S11" i="15"/>
  <c r="Q10" i="15"/>
  <c r="G26" i="14"/>
  <c r="R20" i="9"/>
  <c r="R18" i="9"/>
  <c r="S15" i="9"/>
  <c r="T14" i="9"/>
  <c r="U11" i="9"/>
  <c r="L13" i="15"/>
  <c r="P13" i="15"/>
  <c r="S13" i="15"/>
  <c r="R13" i="15"/>
  <c r="T13" i="15"/>
  <c r="W13" i="15"/>
  <c r="N13" i="15"/>
  <c r="X13" i="15"/>
  <c r="Q13" i="15"/>
  <c r="Y15" i="15"/>
  <c r="L15" i="15"/>
  <c r="N15" i="15"/>
  <c r="V15" i="15"/>
  <c r="S15" i="15"/>
  <c r="P15" i="15"/>
  <c r="Q15" i="15"/>
  <c r="T15" i="15"/>
  <c r="W15" i="15"/>
  <c r="Y19" i="15"/>
  <c r="Q16" i="9"/>
  <c r="U16" i="9"/>
  <c r="Y16" i="9"/>
  <c r="O16" i="9"/>
  <c r="T16" i="9"/>
  <c r="R16" i="9"/>
  <c r="W16" i="9"/>
  <c r="P16" i="9"/>
  <c r="L16" i="15"/>
  <c r="R16" i="15"/>
  <c r="Q16" i="15"/>
  <c r="N16" i="15"/>
  <c r="S16" i="15"/>
  <c r="T16" i="15"/>
  <c r="P19" i="9"/>
  <c r="T19" i="9"/>
  <c r="X19" i="9"/>
  <c r="S19" i="9"/>
  <c r="Y19" i="9"/>
  <c r="Q19" i="9"/>
  <c r="V19" i="9"/>
  <c r="N15" i="9"/>
  <c r="Q12" i="9"/>
  <c r="U12" i="9"/>
  <c r="Y12" i="9"/>
  <c r="P12" i="9"/>
  <c r="V12" i="9"/>
  <c r="S12" i="9"/>
  <c r="X12" i="9"/>
  <c r="M22" i="9"/>
  <c r="R13" i="9"/>
  <c r="V13" i="9"/>
  <c r="P13" i="9"/>
  <c r="U13" i="9"/>
  <c r="S13" i="9"/>
  <c r="X13" i="9"/>
  <c r="R17" i="9"/>
  <c r="V17" i="9"/>
  <c r="O17" i="9"/>
  <c r="T17" i="9"/>
  <c r="Y17" i="9"/>
  <c r="Q17" i="9"/>
  <c r="W17" i="9"/>
  <c r="W19" i="15"/>
  <c r="W17" i="15"/>
  <c r="P16" i="15"/>
  <c r="V11" i="15"/>
  <c r="Q14" i="15"/>
  <c r="T11" i="15"/>
  <c r="L17" i="15"/>
  <c r="W19" i="9"/>
  <c r="X17" i="9"/>
  <c r="X16" i="9"/>
  <c r="Y15" i="9"/>
  <c r="Y14" i="9"/>
  <c r="Y13" i="9"/>
  <c r="O13" i="9"/>
  <c r="O12" i="9"/>
  <c r="L14" i="15"/>
  <c r="N18" i="15"/>
  <c r="O18" i="15"/>
  <c r="P18" i="15"/>
  <c r="U18" i="15"/>
  <c r="L18" i="15"/>
  <c r="T18" i="15"/>
  <c r="Q18" i="15"/>
  <c r="O20" i="15"/>
  <c r="N20" i="15"/>
  <c r="L20" i="15"/>
  <c r="U20" i="15"/>
  <c r="R20" i="15"/>
  <c r="Q20" i="15"/>
  <c r="P12" i="15"/>
  <c r="F99" i="6"/>
  <c r="G99" i="6" s="1"/>
  <c r="G102" i="6"/>
  <c r="D51" i="6"/>
  <c r="O12" i="15"/>
  <c r="T12" i="15"/>
  <c r="H18" i="17"/>
  <c r="H19" i="17" l="1"/>
  <c r="E19" i="17"/>
  <c r="I18" i="17"/>
  <c r="G77" i="6"/>
  <c r="Y22" i="15"/>
  <c r="Z12" i="15"/>
  <c r="U22" i="15"/>
  <c r="V22" i="15"/>
  <c r="Z19" i="9"/>
  <c r="Z12" i="9"/>
  <c r="Z18" i="9"/>
  <c r="AA14" i="9"/>
  <c r="AA11" i="9"/>
  <c r="AA20" i="9"/>
  <c r="Z19" i="15"/>
  <c r="Z11" i="9"/>
  <c r="M14" i="15"/>
  <c r="AA14" i="15" s="1"/>
  <c r="Z14" i="15"/>
  <c r="O22" i="15"/>
  <c r="Z11" i="15"/>
  <c r="M11" i="15"/>
  <c r="AA11" i="15" s="1"/>
  <c r="Q22" i="9"/>
  <c r="AA12" i="15"/>
  <c r="M17" i="15"/>
  <c r="AA17" i="15" s="1"/>
  <c r="Z17" i="15"/>
  <c r="Z15" i="15"/>
  <c r="M15" i="15"/>
  <c r="AA15" i="15" s="1"/>
  <c r="S22" i="15"/>
  <c r="Z20" i="9"/>
  <c r="AA12" i="9"/>
  <c r="M20" i="15"/>
  <c r="AA20" i="15" s="1"/>
  <c r="Z20" i="15"/>
  <c r="AA13" i="9"/>
  <c r="Q22" i="15"/>
  <c r="F51" i="6"/>
  <c r="G51" i="6" s="1"/>
  <c r="M10" i="15"/>
  <c r="Z10" i="15"/>
  <c r="L22" i="15"/>
  <c r="W22" i="15"/>
  <c r="AA19" i="9"/>
  <c r="R22" i="9"/>
  <c r="T22" i="9"/>
  <c r="S22" i="9"/>
  <c r="Z13" i="9"/>
  <c r="AA17" i="9"/>
  <c r="Z17" i="9"/>
  <c r="R22" i="15"/>
  <c r="N22" i="9"/>
  <c r="Z10" i="9"/>
  <c r="AA10" i="9"/>
  <c r="AA18" i="9"/>
  <c r="Z15" i="9"/>
  <c r="M16" i="15"/>
  <c r="AA16" i="15" s="1"/>
  <c r="Z16" i="15"/>
  <c r="T22" i="15"/>
  <c r="U22" i="9"/>
  <c r="Y22" i="9"/>
  <c r="W22" i="9"/>
  <c r="Z18" i="15"/>
  <c r="M18" i="15"/>
  <c r="AA18" i="15" s="1"/>
  <c r="F71" i="6"/>
  <c r="G71" i="6" s="1"/>
  <c r="AA19" i="15"/>
  <c r="Z13" i="15"/>
  <c r="M13" i="15"/>
  <c r="AA13" i="15" s="1"/>
  <c r="AA16" i="9"/>
  <c r="Z16" i="9"/>
  <c r="P22" i="15"/>
  <c r="N22" i="15"/>
  <c r="X22" i="15"/>
  <c r="Z14" i="9"/>
  <c r="X22" i="9"/>
  <c r="P22" i="9"/>
  <c r="V22" i="9"/>
  <c r="O22" i="9"/>
  <c r="AA15" i="9"/>
  <c r="S17" i="17"/>
  <c r="Q19" i="17" l="1"/>
  <c r="J445" i="17"/>
  <c r="K18" i="17"/>
  <c r="S18" i="17"/>
  <c r="I19" i="17"/>
  <c r="AA22" i="9"/>
  <c r="M22" i="15"/>
  <c r="AA10" i="15"/>
  <c r="AA22" i="15" s="1"/>
  <c r="Z22" i="9"/>
  <c r="Z22" i="15"/>
  <c r="S19" i="17" l="1"/>
  <c r="K19" i="17"/>
  <c r="L445" i="17"/>
  <c r="N445" i="17" s="1"/>
  <c r="N17" i="17" l="1"/>
  <c r="N18" i="17" l="1"/>
  <c r="O18" i="17" s="1"/>
  <c r="N19" i="17"/>
  <c r="O19" i="17" s="1"/>
  <c r="H11" i="17"/>
  <c r="H12" i="17"/>
  <c r="C137" i="6" l="1"/>
  <c r="D16" i="6"/>
  <c r="C12" i="6"/>
  <c r="H14" i="17" s="1"/>
  <c r="C133" i="6"/>
  <c r="F14" i="17" l="1"/>
  <c r="D21" i="6"/>
  <c r="E18" i="6" s="1"/>
  <c r="C134" i="6"/>
  <c r="C21" i="6"/>
  <c r="C138" i="6" l="1"/>
  <c r="G19" i="6"/>
  <c r="E47" i="6"/>
  <c r="E101" i="6"/>
  <c r="E100" i="6"/>
  <c r="E88" i="6"/>
  <c r="E81" i="6"/>
  <c r="E49" i="6"/>
  <c r="E113" i="6"/>
  <c r="E58" i="6"/>
  <c r="E39" i="6"/>
  <c r="E121" i="6"/>
  <c r="G18" i="6"/>
  <c r="E64" i="6"/>
  <c r="E107" i="6"/>
  <c r="E29" i="6"/>
  <c r="E92" i="6"/>
  <c r="E95" i="6"/>
  <c r="E57" i="6"/>
  <c r="E117" i="6"/>
  <c r="E90" i="6"/>
  <c r="E55" i="6"/>
  <c r="E25" i="6"/>
  <c r="E112" i="6"/>
  <c r="E32" i="6"/>
  <c r="G16" i="6"/>
  <c r="E69" i="6"/>
  <c r="E111" i="6"/>
  <c r="E34" i="6"/>
  <c r="E97" i="6"/>
  <c r="E110" i="6"/>
  <c r="E62" i="6"/>
  <c r="E122" i="6"/>
  <c r="E118" i="6"/>
  <c r="E84" i="6"/>
  <c r="E87" i="6"/>
  <c r="G17" i="6"/>
  <c r="E78" i="6"/>
  <c r="E115" i="6"/>
  <c r="E43" i="6"/>
  <c r="E102" i="6"/>
  <c r="E123" i="6"/>
  <c r="E67" i="6"/>
  <c r="E128" i="6"/>
  <c r="E31" i="6"/>
  <c r="E33" i="6"/>
  <c r="E56" i="6"/>
  <c r="E26" i="6"/>
  <c r="E85" i="6"/>
  <c r="E99" i="6"/>
  <c r="E28" i="6"/>
  <c r="E82" i="6"/>
  <c r="E124" i="6"/>
  <c r="E48" i="6"/>
  <c r="E108" i="6"/>
  <c r="E80" i="6"/>
  <c r="E27" i="6"/>
  <c r="E66" i="6"/>
  <c r="E41" i="6"/>
  <c r="E60" i="6"/>
  <c r="E37" i="6"/>
  <c r="E91" i="6"/>
  <c r="E68" i="6"/>
  <c r="E61" i="6"/>
  <c r="E116" i="6"/>
  <c r="E35" i="6"/>
  <c r="E89" i="6"/>
  <c r="E36" i="6"/>
  <c r="E106" i="6"/>
  <c r="E45" i="6"/>
  <c r="E94" i="6"/>
  <c r="E42" i="6"/>
  <c r="E96" i="6"/>
  <c r="E86" i="6"/>
  <c r="E79" i="6"/>
  <c r="E63" i="6"/>
  <c r="E40" i="6"/>
  <c r="E109" i="6"/>
  <c r="E46" i="6"/>
  <c r="E114" i="6"/>
  <c r="E77" i="6"/>
  <c r="E71" i="6"/>
  <c r="E51" i="6"/>
  <c r="D73" i="6"/>
  <c r="E16" i="6"/>
  <c r="E17" i="6"/>
  <c r="E19" i="6"/>
  <c r="C73" i="6"/>
  <c r="E21" i="6" l="1"/>
  <c r="E73" i="6"/>
  <c r="D104" i="6"/>
  <c r="G21" i="6"/>
  <c r="C104" i="6"/>
  <c r="F73" i="6"/>
  <c r="E104" i="6" l="1"/>
  <c r="D119" i="6"/>
  <c r="C119" i="6"/>
  <c r="G73" i="6"/>
  <c r="F104" i="6"/>
  <c r="E119" i="6" l="1"/>
  <c r="D126" i="6"/>
  <c r="C126" i="6"/>
  <c r="F119" i="6"/>
  <c r="G104" i="6"/>
  <c r="E126" i="6" l="1"/>
  <c r="D130" i="6"/>
  <c r="F126" i="6"/>
  <c r="G119" i="6"/>
  <c r="C130" i="6"/>
  <c r="E130" i="6" l="1"/>
  <c r="F445" i="17"/>
  <c r="H445" i="17" s="1"/>
  <c r="F130" i="6"/>
  <c r="G130" i="6" s="1"/>
  <c r="G1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Whiz6</author>
  </authors>
  <commentList>
    <comment ref="L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= saldo akhir tahun sebelumnya</t>
        </r>
      </text>
    </comment>
    <comment ref="Z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= saldo tahun berjalan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Whiz6</author>
  </authors>
  <commentList>
    <comment ref="D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18-Feb-2011
ref RR-0003100</t>
        </r>
      </text>
    </comment>
    <comment ref="E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18-Feb-2014
ref RR-0003183</t>
        </r>
      </text>
    </comment>
    <comment ref="F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penghapusan 18-Feb-2014
BAP 02/WHY/18022014</t>
        </r>
      </text>
    </comment>
    <comment ref="D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18-Feb-2011
ref RR-0003100</t>
        </r>
      </text>
    </comment>
    <comment ref="E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18-Feb-2014
ref RR-0003183</t>
        </r>
      </text>
    </comment>
    <comment ref="F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penghapusan 18-Feb-2014
BAP 02/WHY/18022014</t>
        </r>
      </text>
    </comment>
    <comment ref="D1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18-Feb-2011
ref RR-0003100</t>
        </r>
      </text>
    </comment>
    <comment ref="E1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18-Feb-2014
ref RR-0003183</t>
        </r>
      </text>
    </comment>
    <comment ref="F1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penghapusan 18-Feb-2014
BAP 02/WHY/18022014</t>
        </r>
      </text>
    </comment>
    <comment ref="D1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18-Feb-2011
ref RR-0003100</t>
        </r>
      </text>
    </comment>
    <comment ref="E1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pembelian 18-Feb-2014
ref RR-0003183</t>
        </r>
      </text>
    </comment>
    <comment ref="F1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penghapusan 18-Feb-2014
BAP 02/WHY/18022014</t>
        </r>
      </text>
    </comment>
    <comment ref="H2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= nilai di BS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Whiz6</author>
  </authors>
  <commentList>
    <comment ref="L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= saldo akhir tahun sebelumnya</t>
        </r>
      </text>
    </comment>
    <comment ref="Z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= saldo tahun berjalan</t>
        </r>
      </text>
    </comment>
    <comment ref="AD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Whiz6: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metta devi</author>
  </authors>
  <commentList>
    <comment ref="D4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Saldo awal = saldo akhir kas dan setara kas Desember tahun lalu audited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<sst xmlns="http://schemas.openxmlformats.org/spreadsheetml/2006/main" count="20561" uniqueCount="1610">
  <si>
    <t>01</t>
  </si>
  <si>
    <t>001</t>
  </si>
  <si>
    <t>02</t>
  </si>
  <si>
    <t>002</t>
  </si>
  <si>
    <t>03</t>
  </si>
  <si>
    <t>003</t>
  </si>
  <si>
    <t>04</t>
  </si>
  <si>
    <t>004</t>
  </si>
  <si>
    <t>Revenue</t>
  </si>
  <si>
    <t>005</t>
  </si>
  <si>
    <t>006</t>
  </si>
  <si>
    <t>007</t>
  </si>
  <si>
    <t>Operating Expenses</t>
  </si>
  <si>
    <t>008</t>
  </si>
  <si>
    <t>Other Income &amp; Expenses</t>
  </si>
  <si>
    <t>009</t>
  </si>
  <si>
    <t>COA</t>
  </si>
  <si>
    <t>Description</t>
  </si>
  <si>
    <t>BS / IS</t>
  </si>
  <si>
    <t>D / C</t>
  </si>
  <si>
    <t>1</t>
  </si>
  <si>
    <t>ASSETS</t>
  </si>
  <si>
    <t>BS</t>
  </si>
  <si>
    <t>D</t>
  </si>
  <si>
    <t>Current Assets</t>
  </si>
  <si>
    <t>Cash and Cash Equivalent</t>
  </si>
  <si>
    <t>House Bank</t>
  </si>
  <si>
    <t>House Bank Main Safe</t>
  </si>
  <si>
    <t>House Bank Front Office</t>
  </si>
  <si>
    <t>House Bank FB</t>
  </si>
  <si>
    <t>House Bank Spa</t>
  </si>
  <si>
    <t>Bank</t>
  </si>
  <si>
    <t>Time Deposit</t>
  </si>
  <si>
    <t>2</t>
  </si>
  <si>
    <t>Accounts Receivable</t>
  </si>
  <si>
    <t>A/R Guest Ledger</t>
  </si>
  <si>
    <t>A/R City Ledger Travel</t>
  </si>
  <si>
    <t>A/R City Ledger Corporate</t>
  </si>
  <si>
    <t>Pre Paid A/R</t>
  </si>
  <si>
    <t>A/R Affiliated PT. ……………………………</t>
  </si>
  <si>
    <t>Other Receivable</t>
  </si>
  <si>
    <t>Notes Receivable</t>
  </si>
  <si>
    <t>Deposit In Transit</t>
  </si>
  <si>
    <t>999</t>
  </si>
  <si>
    <t>3</t>
  </si>
  <si>
    <t>Food Inventory</t>
  </si>
  <si>
    <t>Beverage Inventory</t>
  </si>
  <si>
    <t xml:space="preserve">Engineering Supplies </t>
  </si>
  <si>
    <t xml:space="preserve">Guest Supplies </t>
  </si>
  <si>
    <t xml:space="preserve">Housekeeping Supplies </t>
  </si>
  <si>
    <t>Printing and Stationaries</t>
  </si>
  <si>
    <t xml:space="preserve">Promotional Supplies </t>
  </si>
  <si>
    <t xml:space="preserve">Cleaning Supplies </t>
  </si>
  <si>
    <t>Spa Supplies</t>
  </si>
  <si>
    <t>4</t>
  </si>
  <si>
    <t>Non Capitalized Asset</t>
  </si>
  <si>
    <t>Kitchen Utensil</t>
  </si>
  <si>
    <t xml:space="preserve">Bottle &amp; Container </t>
  </si>
  <si>
    <t>5</t>
  </si>
  <si>
    <t>Prepaid Expenses</t>
  </si>
  <si>
    <t>Prepaid Taxes</t>
  </si>
  <si>
    <t>Prepaid Tax VAT In</t>
  </si>
  <si>
    <t>Prepaid Tax Art 22</t>
  </si>
  <si>
    <t>Prepaid Tax Art 23</t>
  </si>
  <si>
    <t>Prepaid Tax Art 24</t>
  </si>
  <si>
    <t>Prepaid Tax Art 25</t>
  </si>
  <si>
    <t>Advance Payment</t>
  </si>
  <si>
    <t>Cash Advance Payment</t>
  </si>
  <si>
    <t>Deposit Advance Payment</t>
  </si>
  <si>
    <t>Prepaid Insurance</t>
  </si>
  <si>
    <t>Prepaid License</t>
  </si>
  <si>
    <t>Prepaid Contract</t>
  </si>
  <si>
    <t>Prepaid Advertising &amp; Representative</t>
  </si>
  <si>
    <t>Prepaid Rent</t>
  </si>
  <si>
    <t>Prepaid Leased</t>
  </si>
  <si>
    <t>Other Prepaid</t>
  </si>
  <si>
    <t>Non Current Assets</t>
  </si>
  <si>
    <t>Land</t>
  </si>
  <si>
    <t>Building</t>
  </si>
  <si>
    <t>Construction in Progress</t>
  </si>
  <si>
    <t>Equipment</t>
  </si>
  <si>
    <t>Machine</t>
  </si>
  <si>
    <t>Furniture &amp; Fixture</t>
  </si>
  <si>
    <t>Other Equipment</t>
  </si>
  <si>
    <t>Vehicle</t>
  </si>
  <si>
    <t>Accumulated Depreciation (A/D)</t>
  </si>
  <si>
    <t>C</t>
  </si>
  <si>
    <t>A/D Building</t>
  </si>
  <si>
    <t>A/D Machine</t>
  </si>
  <si>
    <t>A/D Furniture &amp; Fixture</t>
  </si>
  <si>
    <t>A/D Other Equipment</t>
  </si>
  <si>
    <t>A/D Vehicle</t>
  </si>
  <si>
    <t>Software</t>
  </si>
  <si>
    <t>Goodwill</t>
  </si>
  <si>
    <t>License</t>
  </si>
  <si>
    <t>Building Rights on Land</t>
  </si>
  <si>
    <t>Accumulated Amortization (A/A)</t>
  </si>
  <si>
    <t>A/A Software</t>
  </si>
  <si>
    <t>A/A Goodwill</t>
  </si>
  <si>
    <t>A/A License</t>
  </si>
  <si>
    <t>A/A Building Rights on Land</t>
  </si>
  <si>
    <t>Other Asset</t>
  </si>
  <si>
    <t>Deferred Tax Asset</t>
  </si>
  <si>
    <t>Pre Fixed Asset</t>
  </si>
  <si>
    <t>Package Account (Bridge Account)</t>
  </si>
  <si>
    <t>Accumulated Amortization Other Asset</t>
  </si>
  <si>
    <t>LIABILITIES</t>
  </si>
  <si>
    <t>Current Liabilities</t>
  </si>
  <si>
    <t>Accounts Payable</t>
  </si>
  <si>
    <t>Account Payable Third Party</t>
  </si>
  <si>
    <t>A/P Supplier</t>
  </si>
  <si>
    <t>A/P Contractor</t>
  </si>
  <si>
    <t>A/P Third Party Other</t>
  </si>
  <si>
    <t>Pre Paid A/P</t>
  </si>
  <si>
    <t>A/P Affiliated</t>
  </si>
  <si>
    <t>A/P Affiliated  PT. ……………………………</t>
  </si>
  <si>
    <t>Taxes Payable</t>
  </si>
  <si>
    <t>Government Tax (PP 1)</t>
  </si>
  <si>
    <t>Tax Payable (PPh 21)</t>
  </si>
  <si>
    <t>Tax Payable (PPh 23)</t>
  </si>
  <si>
    <t>Tax Payable (PPh 25)</t>
  </si>
  <si>
    <t>Tax Payable (PPh 26)</t>
  </si>
  <si>
    <t>Tax Payable Final</t>
  </si>
  <si>
    <t>Tax Payable (PPh 29)</t>
  </si>
  <si>
    <t>Other Payable</t>
  </si>
  <si>
    <t>Notes Payable</t>
  </si>
  <si>
    <t>Outstanding Cheque</t>
  </si>
  <si>
    <t>Accrued Expenses</t>
  </si>
  <si>
    <t>Accrued Employee Expense</t>
  </si>
  <si>
    <t>Accrued Salary and Allowances</t>
  </si>
  <si>
    <t>Accrued THR and Bonus</t>
  </si>
  <si>
    <t>Accrued Service Charge</t>
  </si>
  <si>
    <t>Accrued Jamsostek</t>
  </si>
  <si>
    <t>Accrued Medical &amp; Insurance</t>
  </si>
  <si>
    <t>Accrued Employee Other Expense</t>
  </si>
  <si>
    <t>Accrued Administrative and General Expense</t>
  </si>
  <si>
    <t>Accrued Management Fee</t>
  </si>
  <si>
    <t>Accrued Marketing Fee</t>
  </si>
  <si>
    <t>Accrued Royalty Fee</t>
  </si>
  <si>
    <t>Accrued Petty Cash</t>
  </si>
  <si>
    <t>Accrued Administrative and General Other Expense</t>
  </si>
  <si>
    <t>Accrued Utility Expense</t>
  </si>
  <si>
    <t>Accrued Electricity</t>
  </si>
  <si>
    <t>Accrued Water</t>
  </si>
  <si>
    <t>Accrued Internet</t>
  </si>
  <si>
    <t>Accrued Telephone</t>
  </si>
  <si>
    <t>Accrued Utility Other Expense</t>
  </si>
  <si>
    <t>Reserve</t>
  </si>
  <si>
    <t>Reserve Employee Benefit</t>
  </si>
  <si>
    <t>Reserve Service Charge</t>
  </si>
  <si>
    <t>Reserve THR</t>
  </si>
  <si>
    <t>Reserve Bonus</t>
  </si>
  <si>
    <t>Reserve Replacement</t>
  </si>
  <si>
    <t>Reserve Loss and Breakage</t>
  </si>
  <si>
    <t>Reserve Replacement FFE</t>
  </si>
  <si>
    <t>Other Current Liabilities</t>
  </si>
  <si>
    <t>Liability Deposit</t>
  </si>
  <si>
    <t>Guest Deposit</t>
  </si>
  <si>
    <t>Account Deposit</t>
  </si>
  <si>
    <t>Other Liability Deposit</t>
  </si>
  <si>
    <t>Long-Term Liabilities</t>
  </si>
  <si>
    <t>Bank Loan</t>
  </si>
  <si>
    <t>Bank  Loan - Bank …………………………</t>
  </si>
  <si>
    <t>Other Long-Term Liabilities</t>
  </si>
  <si>
    <t>Deferred Tax Liability</t>
  </si>
  <si>
    <t>Leased Payable</t>
  </si>
  <si>
    <t>EQUITY</t>
  </si>
  <si>
    <t>Shareholder Equity*</t>
  </si>
  <si>
    <t>Shareholder Equity**</t>
  </si>
  <si>
    <t>Withdrawal</t>
  </si>
  <si>
    <t>Revaluation of Fixed Assets</t>
  </si>
  <si>
    <t>Retained Earnings</t>
  </si>
  <si>
    <t>Profit (Loss) Current Period</t>
  </si>
  <si>
    <t>REVENUE</t>
  </si>
  <si>
    <t>IS</t>
  </si>
  <si>
    <t>Revenue - Department</t>
  </si>
  <si>
    <t>Room Revenue</t>
  </si>
  <si>
    <t>Room Revenue*</t>
  </si>
  <si>
    <t>RM - Room Revenue</t>
  </si>
  <si>
    <t>RM - Other Revenue</t>
  </si>
  <si>
    <t>RM - Room Discount &amp; Allowances</t>
  </si>
  <si>
    <t>Food &amp; Beverage Revenue</t>
  </si>
  <si>
    <t>Restaurant &amp; Bar Revenue</t>
  </si>
  <si>
    <t>RB - Food Revenue</t>
  </si>
  <si>
    <t>RB - Beverage Revenue</t>
  </si>
  <si>
    <t>RB - Other Revenue</t>
  </si>
  <si>
    <t>RB - Food Discount &amp; Allowances</t>
  </si>
  <si>
    <t>RB - Beverage Discount &amp; Allowances</t>
  </si>
  <si>
    <t>Bar &amp; Lounge Revenue</t>
  </si>
  <si>
    <t>BL - Food Revenue</t>
  </si>
  <si>
    <t>BL - Beverage Revenue</t>
  </si>
  <si>
    <t>BL - Other Revenue</t>
  </si>
  <si>
    <t>BL - Food Discount &amp; Allowances</t>
  </si>
  <si>
    <t>BL - Beverage Discount &amp; Allowances</t>
  </si>
  <si>
    <t>Banquet &amp; Meeting Package Revenue</t>
  </si>
  <si>
    <t>BQ - Banquet Revenue</t>
  </si>
  <si>
    <t>BQ - Meeting Package Revenue</t>
  </si>
  <si>
    <t>BQ - Other Revenue</t>
  </si>
  <si>
    <t>BQ - Banquet Discount &amp; Allowances</t>
  </si>
  <si>
    <t>BQ - Meeting Package Discount &amp; Allowances</t>
  </si>
  <si>
    <t>Other Revenue</t>
  </si>
  <si>
    <t>Other Operating Revenue</t>
  </si>
  <si>
    <t>OT - Business Center</t>
  </si>
  <si>
    <t>OT - Car Rental &amp; Transportation</t>
  </si>
  <si>
    <t>OT - Guest Laundry &amp; Dry Cleaning</t>
  </si>
  <si>
    <t>COST OF SALES</t>
  </si>
  <si>
    <t>Cost Of Sales - Department</t>
  </si>
  <si>
    <t>Food &amp; Beverage Cost Of Sales</t>
  </si>
  <si>
    <t>Restaurant &amp; Bar - Cost Of Sales</t>
  </si>
  <si>
    <t>RB - Cost of Food</t>
  </si>
  <si>
    <t>RB - Cost of Beverage</t>
  </si>
  <si>
    <t>RB - Other Cost of Sales</t>
  </si>
  <si>
    <t>Bar &amp; Lounge  - Cost Of Sales</t>
  </si>
  <si>
    <t>BL - Cost of Food</t>
  </si>
  <si>
    <t>BL - Cost of Beverage</t>
  </si>
  <si>
    <t>BL - Other Cost of Sales</t>
  </si>
  <si>
    <t>Banquet &amp; Meeting Package - Cost Of Sales</t>
  </si>
  <si>
    <t>BQ - Cost of Banquet</t>
  </si>
  <si>
    <t>BQ - Cost of Meeting Package</t>
  </si>
  <si>
    <t>BQ - Other Cost of Sales</t>
  </si>
  <si>
    <t>Other Cost Of Sales</t>
  </si>
  <si>
    <t>OT - Cost of Business Center</t>
  </si>
  <si>
    <t>OT - Cost of Car Rental &amp; Transportation</t>
  </si>
  <si>
    <t>OT - Cost of Guest Laundry &amp; Dry Cleaning</t>
  </si>
  <si>
    <t>6</t>
  </si>
  <si>
    <t>PAYROLL AND RELATED EXPENSES</t>
  </si>
  <si>
    <t>Payroll and Related Expenses - Department</t>
  </si>
  <si>
    <t>Payroll and Related Expenses - Room Department</t>
  </si>
  <si>
    <t>Payroll and Related Expenses - Front Office</t>
  </si>
  <si>
    <t>FO - Salary</t>
  </si>
  <si>
    <t>FO - Overtime</t>
  </si>
  <si>
    <t>FO - THR</t>
  </si>
  <si>
    <t>FO - Bonus</t>
  </si>
  <si>
    <t>FO - Income Tax Allowance</t>
  </si>
  <si>
    <t>FO - Meal Allowance</t>
  </si>
  <si>
    <t>FO - Jamsostek</t>
  </si>
  <si>
    <t>FO - Medical &amp; Insurance</t>
  </si>
  <si>
    <t>FO - Pension Plan</t>
  </si>
  <si>
    <t>010</t>
  </si>
  <si>
    <t>FO - Temporary Staff &amp; Daily Worker</t>
  </si>
  <si>
    <t>011</t>
  </si>
  <si>
    <t>FO - Employee Benefit</t>
  </si>
  <si>
    <t>FO - Other Payroll and Related Expense</t>
  </si>
  <si>
    <t>Payroll and Related Expenses - Housekeeping</t>
  </si>
  <si>
    <t>HK - Salary</t>
  </si>
  <si>
    <t>HK - Overtime</t>
  </si>
  <si>
    <t>HK - THR</t>
  </si>
  <si>
    <t>HK - Bonus</t>
  </si>
  <si>
    <t>HK - Income Tax Allowance</t>
  </si>
  <si>
    <t>HK - Meal Allowance</t>
  </si>
  <si>
    <t>HK - Jamsostek</t>
  </si>
  <si>
    <t>HK - Medical &amp; Insurance</t>
  </si>
  <si>
    <t>HK - Pension Plan</t>
  </si>
  <si>
    <t>HK - Employee Benefit</t>
  </si>
  <si>
    <t>HK - Other Payroll and Related Expense</t>
  </si>
  <si>
    <t>Payroll and Related Expenses - Food &amp; Beverage Department</t>
  </si>
  <si>
    <t>Payroll and Related Expenses - Kitchen</t>
  </si>
  <si>
    <t>Kitchen - Salary</t>
  </si>
  <si>
    <t>Kitchen - Overtime</t>
  </si>
  <si>
    <t>Kitchen - THR</t>
  </si>
  <si>
    <t>Kitchen - Bonus</t>
  </si>
  <si>
    <t>Kitchen - Income Tax Allowance</t>
  </si>
  <si>
    <t>Kitchen - Meal Allowance</t>
  </si>
  <si>
    <t>Kitchen - Jamsostek</t>
  </si>
  <si>
    <t>Kitchen - Medical &amp; Insurance</t>
  </si>
  <si>
    <t>Kitchen - Pension Plan</t>
  </si>
  <si>
    <t>Kitchen - Employee Benefit</t>
  </si>
  <si>
    <t>Kitchen - Other Payroll and Related Expense</t>
  </si>
  <si>
    <t>Payroll and Related Expenses - Other Department</t>
  </si>
  <si>
    <t>Payroll and Related Expenses - Other</t>
  </si>
  <si>
    <t>OT - Salary</t>
  </si>
  <si>
    <t>OT - Overtime</t>
  </si>
  <si>
    <t>OT - THR</t>
  </si>
  <si>
    <t>OT - Bonus</t>
  </si>
  <si>
    <t>OT - Income Tax Allowance</t>
  </si>
  <si>
    <t>OT - Meal Allowance</t>
  </si>
  <si>
    <t>OT - Jamsostek</t>
  </si>
  <si>
    <t>OT - Medical &amp; Insurance</t>
  </si>
  <si>
    <t>OT - Pension Plan</t>
  </si>
  <si>
    <t>OT - Employee Benefit</t>
  </si>
  <si>
    <t>OT - Other Payroll and Related Expense</t>
  </si>
  <si>
    <t>Payroll and Related Expenses - Overhead Department</t>
  </si>
  <si>
    <t>PM - Salary</t>
  </si>
  <si>
    <t>PM - Overtime</t>
  </si>
  <si>
    <t>PM - THR</t>
  </si>
  <si>
    <t>PM - Bonus</t>
  </si>
  <si>
    <t>PM - Income Tax Allowance</t>
  </si>
  <si>
    <t>PM - Meal Allowance</t>
  </si>
  <si>
    <t>PM - Jamsostek</t>
  </si>
  <si>
    <t>PM - Medical &amp; Insurance</t>
  </si>
  <si>
    <t>PM - Pension Plan</t>
  </si>
  <si>
    <t>PM - Employee Benefit</t>
  </si>
  <si>
    <t>PM - Other Payroll and Related Expense</t>
  </si>
  <si>
    <t>Payroll and Related Expenses - Sales &amp; Marketing</t>
  </si>
  <si>
    <t>SM - Salary</t>
  </si>
  <si>
    <t>SM - Overtime</t>
  </si>
  <si>
    <t>SM - THR</t>
  </si>
  <si>
    <t>SM - Bonus</t>
  </si>
  <si>
    <t>SM - Income Tax Allowance</t>
  </si>
  <si>
    <t>SM - Meal Allowance</t>
  </si>
  <si>
    <t>SM - Jamsostek</t>
  </si>
  <si>
    <t>SM - Medical &amp; Insurance</t>
  </si>
  <si>
    <t>SM - Pension Plan</t>
  </si>
  <si>
    <t>SM - Employee Benefit</t>
  </si>
  <si>
    <t>SM - Other Payroll and Related Expense</t>
  </si>
  <si>
    <t>Payroll and Related Expenses - Administrative &amp; General</t>
  </si>
  <si>
    <t>AG - Salary</t>
  </si>
  <si>
    <t>AG - Overtime</t>
  </si>
  <si>
    <t>AG - THR</t>
  </si>
  <si>
    <t>AG - Bonus</t>
  </si>
  <si>
    <t>AG - Income Tax Allowance</t>
  </si>
  <si>
    <t>AG - Meal Allowance</t>
  </si>
  <si>
    <t>AG - Jamsostek</t>
  </si>
  <si>
    <t>AG - Medical &amp; Insurance</t>
  </si>
  <si>
    <t>AG - Pension Plan</t>
  </si>
  <si>
    <t>AG - Employee Benefit</t>
  </si>
  <si>
    <t>AG - Other Payroll and Related Expense</t>
  </si>
  <si>
    <t>7</t>
  </si>
  <si>
    <t>Operating Expenses - Department</t>
  </si>
  <si>
    <t>Room - Operating Expenses</t>
  </si>
  <si>
    <t>RM - Cleaning Supplies</t>
  </si>
  <si>
    <t>RM - Contract Services</t>
  </si>
  <si>
    <t>RM - Decoration &amp; Flowers</t>
  </si>
  <si>
    <t>RM - Guest Complimentary</t>
  </si>
  <si>
    <t>RM - Guest Relocation</t>
  </si>
  <si>
    <t>RM - Guest Supplies</t>
  </si>
  <si>
    <t>RM - Guest Transportation</t>
  </si>
  <si>
    <t>RM - IT Maintenance</t>
  </si>
  <si>
    <t>RM - Internet</t>
  </si>
  <si>
    <t>RM - Laundry &amp; Dry Cleaning</t>
  </si>
  <si>
    <t>RM - Music, TV Cable &amp; Entertainment</t>
  </si>
  <si>
    <t>012</t>
  </si>
  <si>
    <t>RM - Newspaper &amp; Magazine</t>
  </si>
  <si>
    <t>013</t>
  </si>
  <si>
    <t>RM - Printing &amp; Stationary</t>
  </si>
  <si>
    <t>014</t>
  </si>
  <si>
    <t>RM - Reservation Expenses</t>
  </si>
  <si>
    <t>015</t>
  </si>
  <si>
    <t>RM - Room Commission</t>
  </si>
  <si>
    <t>016</t>
  </si>
  <si>
    <t>RM - Telephone &amp; Fax</t>
  </si>
  <si>
    <t>017</t>
  </si>
  <si>
    <t>RM - Training</t>
  </si>
  <si>
    <t>018</t>
  </si>
  <si>
    <t>019</t>
  </si>
  <si>
    <t>RM - Uniform Laundry</t>
  </si>
  <si>
    <t>020</t>
  </si>
  <si>
    <t xml:space="preserve">RM - Housekeeping Supplies </t>
  </si>
  <si>
    <t>021</t>
  </si>
  <si>
    <t>RM - Licenses</t>
  </si>
  <si>
    <t>022</t>
  </si>
  <si>
    <t>RM - Non Capitalized Asset</t>
  </si>
  <si>
    <t>RM - Other Operating Expenses</t>
  </si>
  <si>
    <t>Food &amp; Beverage - Operating Expenses</t>
  </si>
  <si>
    <t>FB - Cleaning Supplies</t>
  </si>
  <si>
    <t>FB - Contract Services</t>
  </si>
  <si>
    <t>FB - Decoration &amp; Flowers</t>
  </si>
  <si>
    <t>FB - Guest Complimentary</t>
  </si>
  <si>
    <t>FB - Guest Supplies</t>
  </si>
  <si>
    <t>FB - IT Maintenance</t>
  </si>
  <si>
    <t>FB - Laundry &amp; Dry Cleaning</t>
  </si>
  <si>
    <t>FB - Music, TV Cable &amp; Entertainment</t>
  </si>
  <si>
    <t>FB - Newspaper &amp; Magazine</t>
  </si>
  <si>
    <t>FB - Printing &amp; Stationary</t>
  </si>
  <si>
    <t>FB - Telephone &amp; Fax</t>
  </si>
  <si>
    <t>FB - Training</t>
  </si>
  <si>
    <t xml:space="preserve">FB - Uniform Laundry </t>
  </si>
  <si>
    <t>FB - Menus &amp; Beverage List</t>
  </si>
  <si>
    <t>FB - Kitchen Utensil</t>
  </si>
  <si>
    <t>FB - Kitchen Fuel</t>
  </si>
  <si>
    <t xml:space="preserve">FB - Bottle &amp; Container </t>
  </si>
  <si>
    <t xml:space="preserve">FB - Rental of Equipment </t>
  </si>
  <si>
    <t>FB - Licenses</t>
  </si>
  <si>
    <t>FB - Spoilage</t>
  </si>
  <si>
    <t>FB - Non Capitalized Asset</t>
  </si>
  <si>
    <t>FB - Other Operating Expenses</t>
  </si>
  <si>
    <t>Other Dept - Operating Expenses</t>
  </si>
  <si>
    <t>OT - Cleaning Supplies</t>
  </si>
  <si>
    <t>OT - Contract Services</t>
  </si>
  <si>
    <t>OT - Decoration &amp; Flowers</t>
  </si>
  <si>
    <t>OT - Guest Complimentary</t>
  </si>
  <si>
    <t>OT - Guest Supplies</t>
  </si>
  <si>
    <t>OT - IT Maintenance</t>
  </si>
  <si>
    <t>OT - Laundry &amp; Dry Cleaning</t>
  </si>
  <si>
    <t>OT - Music, TV Cable &amp; Entertainment</t>
  </si>
  <si>
    <t>OT - Newspaper &amp; Magazine</t>
  </si>
  <si>
    <t>OT - Printing &amp; Stationary</t>
  </si>
  <si>
    <t>OT - Telephone &amp; Fax</t>
  </si>
  <si>
    <t>OT - Training</t>
  </si>
  <si>
    <t xml:space="preserve">OT - Uniform Laundry </t>
  </si>
  <si>
    <t xml:space="preserve">OT - Rental of Equipment </t>
  </si>
  <si>
    <t>OT - Licenses</t>
  </si>
  <si>
    <t>OT - Other Operating Expenses</t>
  </si>
  <si>
    <t>PM - Building Contract/Material/Supplies</t>
  </si>
  <si>
    <t>PM - Bulbs</t>
  </si>
  <si>
    <t>PM - Contract Services</t>
  </si>
  <si>
    <t>PM - Fire and Life Safety</t>
  </si>
  <si>
    <t>PM - Hygiene</t>
  </si>
  <si>
    <t>PM - IT Maintenance</t>
  </si>
  <si>
    <t>PM - Air Conditioning</t>
  </si>
  <si>
    <t>PM - Curtains/Draperie</t>
  </si>
  <si>
    <t>PM - Elevator</t>
  </si>
  <si>
    <t>PM - Floor/Wall Covering</t>
  </si>
  <si>
    <t>PM - Furniture</t>
  </si>
  <si>
    <t>PM - Generator</t>
  </si>
  <si>
    <t>PM - Grounds/Landscape</t>
  </si>
  <si>
    <t>PM - Kitchen</t>
  </si>
  <si>
    <t>PM - Laundry</t>
  </si>
  <si>
    <t>PM - Neon Signs</t>
  </si>
  <si>
    <t>PM - Painting/Decoration</t>
  </si>
  <si>
    <t>PM - Plumbing/Heating</t>
  </si>
  <si>
    <t>PM - Refrigerator</t>
  </si>
  <si>
    <t>PM - Swimming Pool</t>
  </si>
  <si>
    <t>PM - Vehicle</t>
  </si>
  <si>
    <t>023</t>
  </si>
  <si>
    <t>PM - Pest Control</t>
  </si>
  <si>
    <t>024</t>
  </si>
  <si>
    <t>PM - Printing &amp; Stationary</t>
  </si>
  <si>
    <t>025</t>
  </si>
  <si>
    <t>PM - Tools and Equipment</t>
  </si>
  <si>
    <t>026</t>
  </si>
  <si>
    <t>PM - Telephone &amp; Fax</t>
  </si>
  <si>
    <t>027</t>
  </si>
  <si>
    <t>PM - Training</t>
  </si>
  <si>
    <t>028</t>
  </si>
  <si>
    <t>029</t>
  </si>
  <si>
    <t>PM - Uniform Laundry</t>
  </si>
  <si>
    <t>030</t>
  </si>
  <si>
    <t>PM - Waste Removal</t>
  </si>
  <si>
    <t>031</t>
  </si>
  <si>
    <t>PM - Engineering Supplies</t>
  </si>
  <si>
    <t>PM - Non Capitalized Asset</t>
  </si>
  <si>
    <t>PM - Other Operating Expenses</t>
  </si>
  <si>
    <t>Energy Cost - Operating Expenses</t>
  </si>
  <si>
    <t>EC - Electricity</t>
  </si>
  <si>
    <t>EC - Fuel</t>
  </si>
  <si>
    <t>EC - Water and Sewage</t>
  </si>
  <si>
    <t>Sales &amp; Marketing - Operating Expenses</t>
  </si>
  <si>
    <t>SM - Advertising</t>
  </si>
  <si>
    <t>SM - Complimentary Guest</t>
  </si>
  <si>
    <t>SM - Corporate Support Services</t>
  </si>
  <si>
    <t>SM - Direct Mail</t>
  </si>
  <si>
    <t>SM - Due &amp; Subscription</t>
  </si>
  <si>
    <t>SM - Entertainment</t>
  </si>
  <si>
    <t>SM - In House Graphic</t>
  </si>
  <si>
    <t>SM - Internet</t>
  </si>
  <si>
    <t>SM - IT Maintenance</t>
  </si>
  <si>
    <t>SM - Outdoor Advertising &amp; Print</t>
  </si>
  <si>
    <t>SM - Postage &amp; Stamp Duty</t>
  </si>
  <si>
    <t>SM - Printing &amp; Stationary</t>
  </si>
  <si>
    <t>SM - Promotional Supplies</t>
  </si>
  <si>
    <t>SM - Telephone &amp; Fax</t>
  </si>
  <si>
    <t>SM - Training</t>
  </si>
  <si>
    <t>SM - Uniform Laundry</t>
  </si>
  <si>
    <t>SM - Non Capitalized Asset</t>
  </si>
  <si>
    <t>SM - Other Operating Expenses</t>
  </si>
  <si>
    <t>Administrasi &amp; General - Operating Expenses</t>
  </si>
  <si>
    <t>AG - Cash Over Or Short</t>
  </si>
  <si>
    <t>AG - Corporate Support Services</t>
  </si>
  <si>
    <t>AG - Credit &amp; Collection</t>
  </si>
  <si>
    <t>AG - Donations</t>
  </si>
  <si>
    <t>AG - Due &amp; Subscription</t>
  </si>
  <si>
    <t>AG - Employee Housing</t>
  </si>
  <si>
    <t>AG - Employee Relation</t>
  </si>
  <si>
    <t>AG - Entertainment</t>
  </si>
  <si>
    <t>AG - Insurance</t>
  </si>
  <si>
    <t>AG - Internet</t>
  </si>
  <si>
    <t>AG - IT Maintenance</t>
  </si>
  <si>
    <t>AG - License &amp; Tax</t>
  </si>
  <si>
    <t>AG - Postage &amp; Stamp Duty</t>
  </si>
  <si>
    <t>AG - Printing &amp; Stationary</t>
  </si>
  <si>
    <t>AG - Recruitment</t>
  </si>
  <si>
    <t>AG - Relocation</t>
  </si>
  <si>
    <t>AG - Security Contract Services</t>
  </si>
  <si>
    <t>AG - Telephone &amp; Fax</t>
  </si>
  <si>
    <t>AG - Training</t>
  </si>
  <si>
    <t>AG - Uniform Laundry</t>
  </si>
  <si>
    <t>AG - Rent</t>
  </si>
  <si>
    <t>AG - Non Capitalized Asset</t>
  </si>
  <si>
    <t>AG - Other Operating Expenses</t>
  </si>
  <si>
    <t>8</t>
  </si>
  <si>
    <t>OTHER INCOME &amp; EXPENSES</t>
  </si>
  <si>
    <t>Other Income</t>
  </si>
  <si>
    <t>Other Income*</t>
  </si>
  <si>
    <t>Interest Income</t>
  </si>
  <si>
    <t>Deferred Tax</t>
  </si>
  <si>
    <t>Other - Other Income</t>
  </si>
  <si>
    <t>Other Expenses</t>
  </si>
  <si>
    <t>Exchange Rates</t>
  </si>
  <si>
    <t>Loss and Breakage</t>
  </si>
  <si>
    <t>Owners Expenses</t>
  </si>
  <si>
    <t>Property Insurance</t>
  </si>
  <si>
    <t>Property Tax</t>
  </si>
  <si>
    <t>Property Rent / Land Asessment</t>
  </si>
  <si>
    <t>Project &amp; Building Renovation</t>
  </si>
  <si>
    <t>Other - Other Expense</t>
  </si>
  <si>
    <t>Management Fee</t>
  </si>
  <si>
    <t>Marketing Fee</t>
  </si>
  <si>
    <t>Royalty Fee</t>
  </si>
  <si>
    <t>Provision for THR</t>
  </si>
  <si>
    <t>Provision for Bonus</t>
  </si>
  <si>
    <t>Provision for Replacement FFE</t>
  </si>
  <si>
    <t>Interest Expense</t>
  </si>
  <si>
    <t>Interest Bank Loan (IDR)</t>
  </si>
  <si>
    <t>Interest Bank Loan (IDR) - Provision Cost</t>
  </si>
  <si>
    <t>Interest Expense - Leased Assets</t>
  </si>
  <si>
    <t>Depreciation &amp; Amortization Expenses</t>
  </si>
  <si>
    <t>Depreciation Expenses</t>
  </si>
  <si>
    <t>Depreciation of Building</t>
  </si>
  <si>
    <t>Depreciation of Equipment</t>
  </si>
  <si>
    <t>Depreciation of Machine</t>
  </si>
  <si>
    <t>Depreciation of Furniture &amp; Fixture</t>
  </si>
  <si>
    <t>Depreciation of Other Equipment</t>
  </si>
  <si>
    <t>Depreciation of Vehicle</t>
  </si>
  <si>
    <t>Depreciation of Fixed Asset Leased</t>
  </si>
  <si>
    <t>Amortization Expenses</t>
  </si>
  <si>
    <t>Amortization of Intangible Asset</t>
  </si>
  <si>
    <t>Amortization of Software</t>
  </si>
  <si>
    <t>Amortization of Goodwill</t>
  </si>
  <si>
    <t>Amortization of License</t>
  </si>
  <si>
    <t>Amortization of Building Rights on Land</t>
  </si>
  <si>
    <t>Amortization Of Other Asset</t>
  </si>
  <si>
    <t>Amortization Of Pre-Opening Expenses</t>
  </si>
  <si>
    <t>Income Taxes</t>
  </si>
  <si>
    <t>General Building System Equipment</t>
  </si>
  <si>
    <t>A/D General Building System Equipment</t>
  </si>
  <si>
    <t>Other Intangible Asset</t>
  </si>
  <si>
    <t>A/A Other Intangible Asset</t>
  </si>
  <si>
    <t>Other - Other Payable</t>
  </si>
  <si>
    <t>Unamortized Provision Bank Loan</t>
  </si>
  <si>
    <t>Unamortized Provision - Bank …………………………</t>
  </si>
  <si>
    <t>OT - Business Center Discount &amp; Allowances</t>
  </si>
  <si>
    <t>OT - Car Rental &amp; Transportation Discount &amp; Allowances</t>
  </si>
  <si>
    <t>OT - Guest Laundry &amp; Dry Cleaning Discount &amp; Allowances</t>
  </si>
  <si>
    <t>Payroll and Related Expenses - Food &amp; Beverage</t>
  </si>
  <si>
    <t>FB - Salary</t>
  </si>
  <si>
    <t>FB - Overtime</t>
  </si>
  <si>
    <t>FB - THR</t>
  </si>
  <si>
    <t>FB - Bonus</t>
  </si>
  <si>
    <t>FB - Income Tax Allowance</t>
  </si>
  <si>
    <t>FB - Meal Allowance</t>
  </si>
  <si>
    <t>FB - Jamsostek</t>
  </si>
  <si>
    <t>FB - Medical &amp; Insurance</t>
  </si>
  <si>
    <t>FB - Pension Plan</t>
  </si>
  <si>
    <t>FB - Employee Benefit</t>
  </si>
  <si>
    <t>FB - Other Payroll and Related Expense</t>
  </si>
  <si>
    <t>Depreciation of General Building System Equipment</t>
  </si>
  <si>
    <t>Amortization of Other Intangible Asset</t>
  </si>
  <si>
    <t>Reserve Staff Development</t>
  </si>
  <si>
    <t>Consultant Fee</t>
  </si>
  <si>
    <t xml:space="preserve">Supplies </t>
  </si>
  <si>
    <t>Accrued Consultant Fee</t>
  </si>
  <si>
    <t>Intangible Asset</t>
  </si>
  <si>
    <t>Income Taxes***</t>
  </si>
  <si>
    <t>Income Taxes**</t>
  </si>
  <si>
    <t>Income Taxes*</t>
  </si>
  <si>
    <t>Bank In ………………………………</t>
  </si>
  <si>
    <t>Bank Out………………………………</t>
  </si>
  <si>
    <t>Shareholder Equity***</t>
  </si>
  <si>
    <t>Retained Earnings*</t>
  </si>
  <si>
    <t>Other Income &amp; Expense</t>
  </si>
  <si>
    <t>Other Expense</t>
  </si>
  <si>
    <t>Operator Fee</t>
  </si>
  <si>
    <t>China/Glass/Silverware</t>
  </si>
  <si>
    <t>Operating Asset</t>
  </si>
  <si>
    <t>Room - General Operating Expenses</t>
  </si>
  <si>
    <t>Room - Provision for Replacement</t>
  </si>
  <si>
    <t>Food &amp; Beverage - General Operating Expenses</t>
  </si>
  <si>
    <t>Food &amp; Beverage - Provision for Replacement</t>
  </si>
  <si>
    <t>Other Dept - General Operating Expenses</t>
  </si>
  <si>
    <t>PM - Provision for Replacement Uniform</t>
  </si>
  <si>
    <t>OT - Provision for Replacement Uniform</t>
  </si>
  <si>
    <t>Sales &amp; Marketing - General Operating Expenses</t>
  </si>
  <si>
    <t>Administrasi &amp; General - General Operating Expenses</t>
  </si>
  <si>
    <t>Administrasi &amp; General - Provision for Replacement</t>
  </si>
  <si>
    <t>AG - Provision for Replacement Uniform</t>
  </si>
  <si>
    <t>Sales &amp; Marketing - Provision for Replacement</t>
  </si>
  <si>
    <t>SM - Provision for Replacement Uniform</t>
  </si>
  <si>
    <t>Other - Other Receivable</t>
  </si>
  <si>
    <t>Loan</t>
  </si>
  <si>
    <t>Other Long-Term Liability</t>
  </si>
  <si>
    <t>Depreciation of Building*</t>
  </si>
  <si>
    <t>Depreciation of Vehicle*</t>
  </si>
  <si>
    <t>Other Provision</t>
  </si>
  <si>
    <t>Prepaid Expense</t>
  </si>
  <si>
    <t>OT - Miscellaneous Revenue</t>
  </si>
  <si>
    <t>OT - Cost of Miscellaneous Revenue</t>
  </si>
  <si>
    <t>Tax Payable VAT Out</t>
  </si>
  <si>
    <t>PM - Electrical/Mechanical Equipment</t>
  </si>
  <si>
    <t>Gain/Loss on Disposal Asset</t>
  </si>
  <si>
    <t>Reserve Employee Related Expenses</t>
  </si>
  <si>
    <t>Reserve Other Employee Related Expenses</t>
  </si>
  <si>
    <t>Reserve Replacement Uniform</t>
  </si>
  <si>
    <t>RM - Provision for Replacement Uniform</t>
  </si>
  <si>
    <t>FB - Provision for Replacement Uniform</t>
  </si>
  <si>
    <t>PT.</t>
  </si>
  <si>
    <t>For the month ended</t>
  </si>
  <si>
    <t>Variance</t>
  </si>
  <si>
    <t>OT - Non Capitalized Asset</t>
  </si>
  <si>
    <t>Last Year</t>
  </si>
  <si>
    <t>Descriptions</t>
  </si>
  <si>
    <t>YTD</t>
  </si>
  <si>
    <t>Janruari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</si>
  <si>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</si>
  <si>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</si>
  <si>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</si>
  <si>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</si>
  <si>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</si>
  <si>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</si>
  <si>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</si>
  <si>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</si>
  <si>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</si>
  <si>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</si>
  <si>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</si>
  <si>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Actual</t>
  </si>
  <si>
    <t>Occupancy %</t>
  </si>
  <si>
    <t>Food &amp; Beverage</t>
  </si>
  <si>
    <t>Property Operation &amp; Maintenance</t>
  </si>
  <si>
    <t>Energy Cost</t>
  </si>
  <si>
    <t>Sales &amp; Marketing</t>
  </si>
  <si>
    <t>GROSS  OPERATING  PROFIT</t>
  </si>
  <si>
    <t>Spa</t>
  </si>
  <si>
    <t>Room</t>
  </si>
  <si>
    <t>Banquet &amp; Meeting Package</t>
  </si>
  <si>
    <t>Other Operating</t>
  </si>
  <si>
    <t>Front Office</t>
  </si>
  <si>
    <t>Housekeeping</t>
  </si>
  <si>
    <t>Kitchen</t>
  </si>
  <si>
    <t>Direct Expenses</t>
  </si>
  <si>
    <t>Administrative &amp; General</t>
  </si>
  <si>
    <t>Cost of Sales</t>
  </si>
  <si>
    <t>Payroll and Related Expenses</t>
  </si>
  <si>
    <t>Provision for Replacement</t>
  </si>
  <si>
    <t>Undistributed Expenses</t>
  </si>
  <si>
    <t>No of Days</t>
  </si>
  <si>
    <t>House Use</t>
  </si>
  <si>
    <t>TOTAL DIRECT EXPENSES</t>
  </si>
  <si>
    <t>TOTAL UNDISTRIBUTED EXPENSES</t>
  </si>
  <si>
    <t>Payroll and Related Expenses - Engineering</t>
  </si>
  <si>
    <t>Engineering - Operating Expenses</t>
  </si>
  <si>
    <t>Engineering - General Operating Expenses</t>
  </si>
  <si>
    <t>Engineering - Provision for Replacement</t>
  </si>
  <si>
    <t>Engineering</t>
  </si>
  <si>
    <t>Out of Order</t>
  </si>
  <si>
    <t>Complimentary</t>
  </si>
  <si>
    <t>Prepaid Property Tax</t>
  </si>
  <si>
    <t>1.  Cash Flows from Operating Activities</t>
  </si>
  <si>
    <t>Guest Receipts</t>
  </si>
  <si>
    <t>Other Receipts</t>
  </si>
  <si>
    <t>Payroll Disbursements</t>
  </si>
  <si>
    <t>Operating Disbursements</t>
  </si>
  <si>
    <t>Taxes Paid</t>
  </si>
  <si>
    <t>Management Fees Paid</t>
  </si>
  <si>
    <t>2.  Cash Flows from Investing Activities</t>
  </si>
  <si>
    <t>Capital Expenditures</t>
  </si>
  <si>
    <t>Proceeds from Sale of Fixed Asset</t>
  </si>
  <si>
    <t>Dividends Paid</t>
  </si>
  <si>
    <t>Distribution to Owners</t>
  </si>
  <si>
    <t>Proceeds from Debt or Equity Financing</t>
  </si>
  <si>
    <t>Debt Repayments</t>
  </si>
  <si>
    <t>3.  Cash Flows from Financing Activities</t>
  </si>
  <si>
    <t>Net Increase (Decrease) in Cash and Cash Equivalents</t>
  </si>
  <si>
    <t>Cash and Cash Equivalents, Beginning of Period</t>
  </si>
  <si>
    <t>Cash and Cash Equivalents, End of Period</t>
  </si>
  <si>
    <t>Cash and Cash Equivalents, End of Period - GL</t>
  </si>
  <si>
    <t>Proceeds from Interest Income and Time Deposit</t>
  </si>
  <si>
    <t>Accounts Payable Aging</t>
  </si>
  <si>
    <t>Accounts Receivable Aging</t>
  </si>
  <si>
    <t>Statement of Cash Flow</t>
  </si>
  <si>
    <t>Balance</t>
  </si>
  <si>
    <t>Beginning</t>
  </si>
  <si>
    <t>Ending</t>
  </si>
  <si>
    <t>Mutation</t>
  </si>
  <si>
    <t>No</t>
  </si>
  <si>
    <t>Sales</t>
  </si>
  <si>
    <t>Purchases</t>
  </si>
  <si>
    <t>Payment</t>
  </si>
  <si>
    <t>Supplier</t>
  </si>
  <si>
    <t>Customer</t>
  </si>
  <si>
    <t>31 - 60</t>
  </si>
  <si>
    <t>61 - 90</t>
  </si>
  <si>
    <t>0 - 15</t>
  </si>
  <si>
    <t>16 - 30</t>
  </si>
  <si>
    <t>&gt; 90</t>
  </si>
  <si>
    <t>OPERATING EXPENSES</t>
  </si>
  <si>
    <t>Quantity</t>
  </si>
  <si>
    <t>Purchase</t>
  </si>
  <si>
    <t>Disposal</t>
  </si>
  <si>
    <t>Useful Life Time</t>
  </si>
  <si>
    <t>Cost</t>
  </si>
  <si>
    <t xml:space="preserve">Depr Exp </t>
  </si>
  <si>
    <t>Acc Depr</t>
  </si>
  <si>
    <t>Net Book Value</t>
  </si>
  <si>
    <t>Depr Exp 2013</t>
  </si>
  <si>
    <t>Voucher Number</t>
  </si>
  <si>
    <t>Location</t>
  </si>
  <si>
    <t>Code</t>
  </si>
  <si>
    <t>Year</t>
  </si>
  <si>
    <t>Month</t>
  </si>
  <si>
    <t>/ Month</t>
  </si>
  <si>
    <t>1-12</t>
  </si>
  <si>
    <t>Y</t>
  </si>
  <si>
    <t>M</t>
  </si>
  <si>
    <t>MANUAL</t>
  </si>
  <si>
    <t>RUMUS</t>
  </si>
  <si>
    <t>Asset</t>
  </si>
  <si>
    <t>Dept</t>
  </si>
  <si>
    <t>MM/YY</t>
  </si>
  <si>
    <t>No Asset</t>
  </si>
  <si>
    <t>Nissan</t>
  </si>
  <si>
    <t>VMJ 08.014-04</t>
  </si>
  <si>
    <t>Jual ke PHK 3</t>
  </si>
  <si>
    <t>COL.FO.1013.0001</t>
  </si>
  <si>
    <t>.</t>
  </si>
  <si>
    <t>FO</t>
  </si>
  <si>
    <t>Suzuki</t>
  </si>
  <si>
    <t>TT/01026/06/V</t>
  </si>
  <si>
    <t>LDC.HK.0913.0002</t>
  </si>
  <si>
    <t>HK</t>
  </si>
  <si>
    <t>TT/04019/07/V</t>
  </si>
  <si>
    <t>Mutasi</t>
  </si>
  <si>
    <t>BLD.FB.1014.0003</t>
  </si>
  <si>
    <t>BLD</t>
  </si>
  <si>
    <t>FB</t>
  </si>
  <si>
    <t>0003</t>
  </si>
  <si>
    <t>TT/06030/07/V</t>
  </si>
  <si>
    <t>MCH.KC.0914.0004</t>
  </si>
  <si>
    <t>MCH</t>
  </si>
  <si>
    <t>KC</t>
  </si>
  <si>
    <t>0914</t>
  </si>
  <si>
    <t>0004</t>
  </si>
  <si>
    <t>TT/12029/07/V</t>
  </si>
  <si>
    <t>GBS.SP.1015.0005</t>
  </si>
  <si>
    <t>GBS</t>
  </si>
  <si>
    <t>SP</t>
  </si>
  <si>
    <t>0005</t>
  </si>
  <si>
    <t>TT/04034/08/V</t>
  </si>
  <si>
    <t>FNF.OO.0915.0006</t>
  </si>
  <si>
    <t>FNF</t>
  </si>
  <si>
    <t>OO</t>
  </si>
  <si>
    <t>0915</t>
  </si>
  <si>
    <t>0006</t>
  </si>
  <si>
    <t>TT/07019/08/V</t>
  </si>
  <si>
    <t>OEQ.EN.1016.0007</t>
  </si>
  <si>
    <t>OEQ</t>
  </si>
  <si>
    <t>EN</t>
  </si>
  <si>
    <t>0007</t>
  </si>
  <si>
    <t>IV/11012/09/V</t>
  </si>
  <si>
    <t>VHC.SM.0916.0008</t>
  </si>
  <si>
    <t>VHC</t>
  </si>
  <si>
    <t>SM</t>
  </si>
  <si>
    <t>0916</t>
  </si>
  <si>
    <t>0008</t>
  </si>
  <si>
    <t>Serena</t>
  </si>
  <si>
    <t>SWR.AG.1017.0009</t>
  </si>
  <si>
    <t>SWR</t>
  </si>
  <si>
    <t>AG</t>
  </si>
  <si>
    <t>0009</t>
  </si>
  <si>
    <t>Livina</t>
  </si>
  <si>
    <t>IV/09018/10/V</t>
  </si>
  <si>
    <t>GWL.EN.1014.0010</t>
  </si>
  <si>
    <t>GWL</t>
  </si>
  <si>
    <t>0010</t>
  </si>
  <si>
    <t xml:space="preserve">March </t>
  </si>
  <si>
    <t>TT/12015/10/V</t>
  </si>
  <si>
    <t>LCS.SM.0914.0011</t>
  </si>
  <si>
    <t>LCS</t>
  </si>
  <si>
    <t>0011</t>
  </si>
  <si>
    <t>BRL</t>
  </si>
  <si>
    <t>OIA</t>
  </si>
  <si>
    <t>Tmpt Parkir</t>
  </si>
  <si>
    <t>RevPAR</t>
  </si>
  <si>
    <t>AG - Bank Charges</t>
  </si>
  <si>
    <t>AG - Credit Card Charge</t>
  </si>
  <si>
    <t>AG - Bad Debt Expense</t>
  </si>
  <si>
    <t>No of Room Build</t>
  </si>
  <si>
    <t>Out of Inventory</t>
  </si>
  <si>
    <t>Total Room Build</t>
  </si>
  <si>
    <t>Total Room Available</t>
  </si>
  <si>
    <t>Total Room Saleable</t>
  </si>
  <si>
    <t>Room Paid</t>
  </si>
  <si>
    <t>ARR</t>
  </si>
  <si>
    <t xml:space="preserve"> YEAR TO DATE </t>
  </si>
  <si>
    <t xml:space="preserve"> Actual </t>
  </si>
  <si>
    <t xml:space="preserve"> % </t>
  </si>
  <si>
    <t xml:space="preserve"> Budget </t>
  </si>
  <si>
    <t xml:space="preserve"> Variance </t>
  </si>
  <si>
    <t xml:space="preserve"> Current Period </t>
  </si>
  <si>
    <t xml:space="preserve"> Year To Date </t>
  </si>
  <si>
    <t>EBITDA</t>
  </si>
  <si>
    <t>EBIT</t>
  </si>
  <si>
    <t>EBT</t>
  </si>
  <si>
    <t>EAT</t>
  </si>
  <si>
    <t>TOTAL REVENUE</t>
  </si>
  <si>
    <t>Inventory</t>
  </si>
  <si>
    <t xml:space="preserve">Amort Exp </t>
  </si>
  <si>
    <t>Acc Amort</t>
  </si>
  <si>
    <t>Amort Exp 2013</t>
  </si>
  <si>
    <t>Prepaid</t>
  </si>
  <si>
    <t>Start</t>
  </si>
  <si>
    <t>End</t>
  </si>
  <si>
    <t>Insurance</t>
  </si>
  <si>
    <t>Advertising</t>
  </si>
  <si>
    <t>Cost / Unit</t>
  </si>
  <si>
    <t>(Fixed and Intangible Asset)</t>
  </si>
  <si>
    <t>Item</t>
  </si>
  <si>
    <t>tinggal add comment untuk setiap pembelian dan penghapusan</t>
  </si>
  <si>
    <t>BS(100x200+30cm Fitted,100% Catton,200TC)</t>
  </si>
  <si>
    <t>BD(180x200+30cm Fitted,100% Catton)</t>
  </si>
  <si>
    <t>THIS MONTH</t>
  </si>
  <si>
    <t>Department  Profit  (Loss) :</t>
  </si>
  <si>
    <t>LAST YEAR SAME MONTH</t>
  </si>
  <si>
    <t>Front Office Cash Clearance</t>
  </si>
  <si>
    <t>Back Office Cash Clearance</t>
  </si>
  <si>
    <t>Bank FF&amp;E Reserve ………………………………</t>
  </si>
  <si>
    <t>Time Deposit*</t>
  </si>
  <si>
    <t>A/R Trade</t>
  </si>
  <si>
    <t>Pre Account Receiveable</t>
  </si>
  <si>
    <t>Pre Credit Card</t>
  </si>
  <si>
    <t>A/R Affiliate</t>
  </si>
  <si>
    <t>A/R Employee</t>
  </si>
  <si>
    <t>A/R Owner</t>
  </si>
  <si>
    <t>Inventory &amp; Supplies</t>
  </si>
  <si>
    <t>Linen HK</t>
  </si>
  <si>
    <t>Linen FB</t>
  </si>
  <si>
    <t>Uniform</t>
  </si>
  <si>
    <t>Painting &amp; Decoration</t>
  </si>
  <si>
    <t>Fuel</t>
  </si>
  <si>
    <t>Engineering Tools</t>
  </si>
  <si>
    <t>Other Inventory</t>
  </si>
  <si>
    <t>Kitchen Supplies &amp; Fuel</t>
  </si>
  <si>
    <t xml:space="preserve">Other Supplies </t>
  </si>
  <si>
    <t>Prepaid Tax Art 21/26</t>
  </si>
  <si>
    <t>Fixed Asset*</t>
  </si>
  <si>
    <t>Fixed Asset</t>
  </si>
  <si>
    <t>Cost &amp; Development of Land</t>
  </si>
  <si>
    <t>Intangible Asset*</t>
  </si>
  <si>
    <t>Other Asset*</t>
  </si>
  <si>
    <t>Pre Opening Expenses</t>
  </si>
  <si>
    <t>Pre Operating Expenses</t>
  </si>
  <si>
    <t>Other - Other Asset</t>
  </si>
  <si>
    <t>A/A Pre Opening Expenses</t>
  </si>
  <si>
    <t>A/P Owner</t>
  </si>
  <si>
    <t>A/P Employee</t>
  </si>
  <si>
    <t>Accrued Pension Plan</t>
  </si>
  <si>
    <t>Accrued Commission</t>
  </si>
  <si>
    <t>Accrued Interest</t>
  </si>
  <si>
    <t>Deferred Income</t>
  </si>
  <si>
    <t>Paid In Capital</t>
  </si>
  <si>
    <t>Suspend Account</t>
  </si>
  <si>
    <t>OT - Spa</t>
  </si>
  <si>
    <t>OT - Space Rented</t>
  </si>
  <si>
    <t>OT - Spa Discount &amp; Allowances</t>
  </si>
  <si>
    <t>OT - Telephone &amp; Fax Discount &amp; Allowances</t>
  </si>
  <si>
    <t>Other Cost Of Sales*</t>
  </si>
  <si>
    <t>OT - Cost of Spa</t>
  </si>
  <si>
    <t>OT - Cost of Telephone &amp; Fax</t>
  </si>
  <si>
    <t>RM - Traveling</t>
  </si>
  <si>
    <t>RM - Entertainment</t>
  </si>
  <si>
    <t>FB - Traveling</t>
  </si>
  <si>
    <t>FB - Entertainment</t>
  </si>
  <si>
    <t>OT - Traveling</t>
  </si>
  <si>
    <t>OT - Entertainment</t>
  </si>
  <si>
    <t>OT - Spa Supplies</t>
  </si>
  <si>
    <t>OT - Provision for Replacement</t>
  </si>
  <si>
    <t>032</t>
  </si>
  <si>
    <t>PM - Traveling</t>
  </si>
  <si>
    <t>033</t>
  </si>
  <si>
    <t>PM - Entertainment</t>
  </si>
  <si>
    <t>EC - Utilities Space Rented</t>
  </si>
  <si>
    <t>SM - Trade Show &amp; Publication</t>
  </si>
  <si>
    <t>SM - Meeting</t>
  </si>
  <si>
    <t>SM - Traveling</t>
  </si>
  <si>
    <t>SM - Transportation</t>
  </si>
  <si>
    <t>SM - Production Fee</t>
  </si>
  <si>
    <t>AG - Meeting</t>
  </si>
  <si>
    <t>AG - Traveling</t>
  </si>
  <si>
    <t>Amortization Of Pre Opening Expenses</t>
  </si>
  <si>
    <t>A / NA</t>
  </si>
  <si>
    <t>2% * Revenue</t>
  </si>
  <si>
    <t>bawah GOP</t>
  </si>
  <si>
    <t>initial cost</t>
  </si>
  <si>
    <t>atas GOP</t>
  </si>
  <si>
    <t>ware</t>
  </si>
  <si>
    <t>18 months</t>
  </si>
  <si>
    <t>uniform</t>
  </si>
  <si>
    <t>12 months</t>
  </si>
  <si>
    <t>linen and towel</t>
  </si>
  <si>
    <t>Reserve Replacement China/Glass/Silverware</t>
  </si>
  <si>
    <t>Reserve Replacement Linen and Towel</t>
  </si>
  <si>
    <t>RM - Provision for Replacement China/Glass/Silverware</t>
  </si>
  <si>
    <t>RM - Provision for Replacement Linen and Towel</t>
  </si>
  <si>
    <t>FB - Provision for Replacement China/Glass/Silverware</t>
  </si>
  <si>
    <t>FB - Provision for Replacement Linen and Towel</t>
  </si>
  <si>
    <t>OT - Provision for Replacement China/Glass/Silverware</t>
  </si>
  <si>
    <t>OT - Provision for Replacement Linen and Towel</t>
  </si>
  <si>
    <t>48 months</t>
  </si>
  <si>
    <t>RB - Breakfast Catering</t>
  </si>
  <si>
    <t>RB - Cost of Breakfast Catering</t>
  </si>
  <si>
    <t>Loss</t>
  </si>
  <si>
    <t>X-Trail</t>
  </si>
  <si>
    <t>OT - Cost of Sport &amp; Recreation</t>
  </si>
  <si>
    <t>OT - Sport &amp; Recreation</t>
  </si>
  <si>
    <t>OT - Sport &amp; Recreation Discount &amp; Allowances</t>
  </si>
  <si>
    <t>Whiz</t>
  </si>
  <si>
    <t>Grand Whiz</t>
  </si>
  <si>
    <t>Whiz Prime</t>
  </si>
  <si>
    <t>NA</t>
  </si>
  <si>
    <t>A</t>
  </si>
  <si>
    <t>temporary account</t>
  </si>
  <si>
    <t>A/NA</t>
  </si>
  <si>
    <t>WPKG</t>
  </si>
  <si>
    <t>WPCC</t>
  </si>
  <si>
    <t>Prepaid Property Rent / Land Assessment</t>
  </si>
  <si>
    <t>Property Rent / Land Assessment</t>
  </si>
  <si>
    <t>HK - Temporary Staff &amp; Daily Worker</t>
  </si>
  <si>
    <t>FB - Temporary Staff &amp; Daily Worker</t>
  </si>
  <si>
    <t>Kitchen - Temporary Staff &amp; Daily Worker</t>
  </si>
  <si>
    <t>OT - Temporary Staff &amp; Daily Worker</t>
  </si>
  <si>
    <t>PM - Temporary Staff &amp; Daily Worker</t>
  </si>
  <si>
    <t>SM - Temporary Staff &amp; Daily Worker</t>
  </si>
  <si>
    <t>AG - Temporary Staff &amp; Daily Worker</t>
  </si>
  <si>
    <t>A/R Credit Card Visa BCA</t>
  </si>
  <si>
    <t>A/R Credit Card Master BCA</t>
  </si>
  <si>
    <t>A/R Credit Card Visa Mandiri</t>
  </si>
  <si>
    <t>A/R Credit Card Master Mandiri</t>
  </si>
  <si>
    <t>A/R Credit Card Visa Other</t>
  </si>
  <si>
    <t>A/R BCA Card</t>
  </si>
  <si>
    <t>A/R City Ledger Government</t>
  </si>
  <si>
    <t>A/R Credit Card Master Other</t>
  </si>
  <si>
    <t>41</t>
  </si>
  <si>
    <t>411</t>
  </si>
  <si>
    <t>41101</t>
  </si>
  <si>
    <t>41101001</t>
  </si>
  <si>
    <t>41101002</t>
  </si>
  <si>
    <t>41101003</t>
  </si>
  <si>
    <t>412</t>
  </si>
  <si>
    <t>41201</t>
  </si>
  <si>
    <t>41201001</t>
  </si>
  <si>
    <t>41201002</t>
  </si>
  <si>
    <t>41201003</t>
  </si>
  <si>
    <t>41201004</t>
  </si>
  <si>
    <t>41201005</t>
  </si>
  <si>
    <t>41202</t>
  </si>
  <si>
    <t>41202001</t>
  </si>
  <si>
    <t>41202002</t>
  </si>
  <si>
    <t>41202003</t>
  </si>
  <si>
    <t>41202004</t>
  </si>
  <si>
    <t>41202005</t>
  </si>
  <si>
    <t>41203</t>
  </si>
  <si>
    <t>41203001</t>
  </si>
  <si>
    <t>41203002</t>
  </si>
  <si>
    <t>41203003</t>
  </si>
  <si>
    <t>41203004</t>
  </si>
  <si>
    <t>41203005</t>
  </si>
  <si>
    <t>413</t>
  </si>
  <si>
    <t>41301</t>
  </si>
  <si>
    <t>41301001</t>
  </si>
  <si>
    <t>41301002</t>
  </si>
  <si>
    <t>41301003</t>
  </si>
  <si>
    <t>41301004</t>
  </si>
  <si>
    <t>41301005</t>
  </si>
  <si>
    <t>41301006</t>
  </si>
  <si>
    <t>41301007</t>
  </si>
  <si>
    <t>41301008</t>
  </si>
  <si>
    <t>41301009</t>
  </si>
  <si>
    <t>41301010</t>
  </si>
  <si>
    <t>41301011</t>
  </si>
  <si>
    <t>41301012</t>
  </si>
  <si>
    <t>41301013</t>
  </si>
  <si>
    <t>41301999</t>
  </si>
  <si>
    <t>51</t>
  </si>
  <si>
    <t>511</t>
  </si>
  <si>
    <t>51101</t>
  </si>
  <si>
    <t>51101001</t>
  </si>
  <si>
    <t>51101002</t>
  </si>
  <si>
    <t>51101003</t>
  </si>
  <si>
    <t>51101004</t>
  </si>
  <si>
    <t>51102</t>
  </si>
  <si>
    <t>51102001</t>
  </si>
  <si>
    <t>51102002</t>
  </si>
  <si>
    <t>51102003</t>
  </si>
  <si>
    <t>51103</t>
  </si>
  <si>
    <t>51103001</t>
  </si>
  <si>
    <t>51103002</t>
  </si>
  <si>
    <t>51103003</t>
  </si>
  <si>
    <t>512</t>
  </si>
  <si>
    <t>51201</t>
  </si>
  <si>
    <t>51201001</t>
  </si>
  <si>
    <t>51201002</t>
  </si>
  <si>
    <t>51201003</t>
  </si>
  <si>
    <t>51201004</t>
  </si>
  <si>
    <t>51201005</t>
  </si>
  <si>
    <t>51201006</t>
  </si>
  <si>
    <t>51202999</t>
  </si>
  <si>
    <t>61</t>
  </si>
  <si>
    <t>611</t>
  </si>
  <si>
    <t>61101</t>
  </si>
  <si>
    <t>61101001</t>
  </si>
  <si>
    <t>61101002</t>
  </si>
  <si>
    <t>61101003</t>
  </si>
  <si>
    <t>61101004</t>
  </si>
  <si>
    <t>61101005</t>
  </si>
  <si>
    <t>61101006</t>
  </si>
  <si>
    <t>61101007</t>
  </si>
  <si>
    <t>61101008</t>
  </si>
  <si>
    <t>61101009</t>
  </si>
  <si>
    <t>61101010</t>
  </si>
  <si>
    <t>61101011</t>
  </si>
  <si>
    <t>61101999</t>
  </si>
  <si>
    <t>61102</t>
  </si>
  <si>
    <t>61102001</t>
  </si>
  <si>
    <t>61102002</t>
  </si>
  <si>
    <t>61102003</t>
  </si>
  <si>
    <t>61102004</t>
  </si>
  <si>
    <t>61102005</t>
  </si>
  <si>
    <t>61102006</t>
  </si>
  <si>
    <t>61102007</t>
  </si>
  <si>
    <t>61102008</t>
  </si>
  <si>
    <t>61102009</t>
  </si>
  <si>
    <t>61102010</t>
  </si>
  <si>
    <t>61102011</t>
  </si>
  <si>
    <t>61102999</t>
  </si>
  <si>
    <t>612</t>
  </si>
  <si>
    <t>61201</t>
  </si>
  <si>
    <t>61201001</t>
  </si>
  <si>
    <t>61201002</t>
  </si>
  <si>
    <t>61201003</t>
  </si>
  <si>
    <t>61201004</t>
  </si>
  <si>
    <t>61201005</t>
  </si>
  <si>
    <t>61201006</t>
  </si>
  <si>
    <t>61201007</t>
  </si>
  <si>
    <t>61201008</t>
  </si>
  <si>
    <t>61201009</t>
  </si>
  <si>
    <t>61201010</t>
  </si>
  <si>
    <t>61201011</t>
  </si>
  <si>
    <t>61201999</t>
  </si>
  <si>
    <t>61202</t>
  </si>
  <si>
    <t>61202001</t>
  </si>
  <si>
    <t>61202002</t>
  </si>
  <si>
    <t>61202003</t>
  </si>
  <si>
    <t>61202004</t>
  </si>
  <si>
    <t>61202005</t>
  </si>
  <si>
    <t>61202006</t>
  </si>
  <si>
    <t>61202007</t>
  </si>
  <si>
    <t>61202008</t>
  </si>
  <si>
    <t>61202009</t>
  </si>
  <si>
    <t>61202010</t>
  </si>
  <si>
    <t>61202011</t>
  </si>
  <si>
    <t>61202999</t>
  </si>
  <si>
    <t>613</t>
  </si>
  <si>
    <t>61301</t>
  </si>
  <si>
    <t>61301001</t>
  </si>
  <si>
    <t>61301002</t>
  </si>
  <si>
    <t>61301003</t>
  </si>
  <si>
    <t>61301004</t>
  </si>
  <si>
    <t>61301005</t>
  </si>
  <si>
    <t>61301006</t>
  </si>
  <si>
    <t>61301007</t>
  </si>
  <si>
    <t>61301008</t>
  </si>
  <si>
    <t>61301009</t>
  </si>
  <si>
    <t>61301010</t>
  </si>
  <si>
    <t>61301011</t>
  </si>
  <si>
    <t>61301999</t>
  </si>
  <si>
    <t>614</t>
  </si>
  <si>
    <t>61401</t>
  </si>
  <si>
    <t>61401001</t>
  </si>
  <si>
    <t>61401002</t>
  </si>
  <si>
    <t>61401003</t>
  </si>
  <si>
    <t>61401004</t>
  </si>
  <si>
    <t>61401005</t>
  </si>
  <si>
    <t>61401006</t>
  </si>
  <si>
    <t>61401007</t>
  </si>
  <si>
    <t>61401008</t>
  </si>
  <si>
    <t>61401009</t>
  </si>
  <si>
    <t>61401010</t>
  </si>
  <si>
    <t>61401011</t>
  </si>
  <si>
    <t>61401999</t>
  </si>
  <si>
    <t>61402</t>
  </si>
  <si>
    <t>61402001</t>
  </si>
  <si>
    <t>61402002</t>
  </si>
  <si>
    <t>61402003</t>
  </si>
  <si>
    <t>61402004</t>
  </si>
  <si>
    <t>61402005</t>
  </si>
  <si>
    <t>61402006</t>
  </si>
  <si>
    <t>61402007</t>
  </si>
  <si>
    <t>61402008</t>
  </si>
  <si>
    <t>61402009</t>
  </si>
  <si>
    <t>61402010</t>
  </si>
  <si>
    <t>61402011</t>
  </si>
  <si>
    <t>61402999</t>
  </si>
  <si>
    <t>61403</t>
  </si>
  <si>
    <t>61403001</t>
  </si>
  <si>
    <t>61403002</t>
  </si>
  <si>
    <t>61403003</t>
  </si>
  <si>
    <t>61403004</t>
  </si>
  <si>
    <t>61403005</t>
  </si>
  <si>
    <t>61403006</t>
  </si>
  <si>
    <t>61403007</t>
  </si>
  <si>
    <t>61403008</t>
  </si>
  <si>
    <t>61403009</t>
  </si>
  <si>
    <t>61403010</t>
  </si>
  <si>
    <t>61403011</t>
  </si>
  <si>
    <t>61403999</t>
  </si>
  <si>
    <t>71</t>
  </si>
  <si>
    <t>711</t>
  </si>
  <si>
    <t>71101</t>
  </si>
  <si>
    <t>71101001</t>
  </si>
  <si>
    <t>71101002</t>
  </si>
  <si>
    <t>71101003</t>
  </si>
  <si>
    <t>71101004</t>
  </si>
  <si>
    <t>71101005</t>
  </si>
  <si>
    <t>71101006</t>
  </si>
  <si>
    <t>71101007</t>
  </si>
  <si>
    <t>71101008</t>
  </si>
  <si>
    <t>71101009</t>
  </si>
  <si>
    <t>71101010</t>
  </si>
  <si>
    <t>71101011</t>
  </si>
  <si>
    <t>71101012</t>
  </si>
  <si>
    <t>71101013</t>
  </si>
  <si>
    <t>71101014</t>
  </si>
  <si>
    <t>71101015</t>
  </si>
  <si>
    <t>71101016</t>
  </si>
  <si>
    <t>71101017</t>
  </si>
  <si>
    <t>71101018</t>
  </si>
  <si>
    <t>71101019</t>
  </si>
  <si>
    <t>71101020</t>
  </si>
  <si>
    <t>71101021</t>
  </si>
  <si>
    <t>71101022</t>
  </si>
  <si>
    <t>71101023</t>
  </si>
  <si>
    <t>71101999</t>
  </si>
  <si>
    <t>71102</t>
  </si>
  <si>
    <t>71102001</t>
  </si>
  <si>
    <t>71102002</t>
  </si>
  <si>
    <t>71102003</t>
  </si>
  <si>
    <t>712</t>
  </si>
  <si>
    <t>71201</t>
  </si>
  <si>
    <t>71201001</t>
  </si>
  <si>
    <t>71201002</t>
  </si>
  <si>
    <t>71201003</t>
  </si>
  <si>
    <t>71201004</t>
  </si>
  <si>
    <t>71201005</t>
  </si>
  <si>
    <t>71201006</t>
  </si>
  <si>
    <t>71201007</t>
  </si>
  <si>
    <t>71201008</t>
  </si>
  <si>
    <t>71201009</t>
  </si>
  <si>
    <t>71201010</t>
  </si>
  <si>
    <t>71201011</t>
  </si>
  <si>
    <t>71201012</t>
  </si>
  <si>
    <t>71201013</t>
  </si>
  <si>
    <t>71201014</t>
  </si>
  <si>
    <t>71201015</t>
  </si>
  <si>
    <t>71201016</t>
  </si>
  <si>
    <t>71201017</t>
  </si>
  <si>
    <t>71201018</t>
  </si>
  <si>
    <t>71201019</t>
  </si>
  <si>
    <t>71201020</t>
  </si>
  <si>
    <t>71201021</t>
  </si>
  <si>
    <t>71201022</t>
  </si>
  <si>
    <t>71201023</t>
  </si>
  <si>
    <t>71201999</t>
  </si>
  <si>
    <t>71202</t>
  </si>
  <si>
    <t>71202001</t>
  </si>
  <si>
    <t>71202002</t>
  </si>
  <si>
    <t>71202003</t>
  </si>
  <si>
    <t>713</t>
  </si>
  <si>
    <t>71301</t>
  </si>
  <si>
    <t>71301001</t>
  </si>
  <si>
    <t>71301002</t>
  </si>
  <si>
    <t>71301003</t>
  </si>
  <si>
    <t>71301004</t>
  </si>
  <si>
    <t>71301005</t>
  </si>
  <si>
    <t>71301006</t>
  </si>
  <si>
    <t>71301007</t>
  </si>
  <si>
    <t>71301008</t>
  </si>
  <si>
    <t>71301009</t>
  </si>
  <si>
    <t>71301010</t>
  </si>
  <si>
    <t>71301011</t>
  </si>
  <si>
    <t>71301012</t>
  </si>
  <si>
    <t>71301013</t>
  </si>
  <si>
    <t>71301014</t>
  </si>
  <si>
    <t>71301015</t>
  </si>
  <si>
    <t>71301016</t>
  </si>
  <si>
    <t>71301017</t>
  </si>
  <si>
    <t>71301018</t>
  </si>
  <si>
    <t>71301019</t>
  </si>
  <si>
    <t>71301999</t>
  </si>
  <si>
    <t>71302</t>
  </si>
  <si>
    <t>71302001</t>
  </si>
  <si>
    <t>71302002</t>
  </si>
  <si>
    <t>71302003</t>
  </si>
  <si>
    <t>714</t>
  </si>
  <si>
    <t>71401</t>
  </si>
  <si>
    <t>71401001</t>
  </si>
  <si>
    <t>71401002</t>
  </si>
  <si>
    <t>71401003</t>
  </si>
  <si>
    <t>71401004</t>
  </si>
  <si>
    <t>71401005</t>
  </si>
  <si>
    <t>71401006</t>
  </si>
  <si>
    <t>71401007</t>
  </si>
  <si>
    <t>71401008</t>
  </si>
  <si>
    <t>71401009</t>
  </si>
  <si>
    <t>71401010</t>
  </si>
  <si>
    <t>71401011</t>
  </si>
  <si>
    <t>71401012</t>
  </si>
  <si>
    <t>71401013</t>
  </si>
  <si>
    <t>71401014</t>
  </si>
  <si>
    <t>71401015</t>
  </si>
  <si>
    <t>71401016</t>
  </si>
  <si>
    <t>71401017</t>
  </si>
  <si>
    <t>71401018</t>
  </si>
  <si>
    <t>71401019</t>
  </si>
  <si>
    <t>71401020</t>
  </si>
  <si>
    <t>71401021</t>
  </si>
  <si>
    <t>71401022</t>
  </si>
  <si>
    <t>71401023</t>
  </si>
  <si>
    <t>71401024</t>
  </si>
  <si>
    <t>71401025</t>
  </si>
  <si>
    <t>71401026</t>
  </si>
  <si>
    <t>71401027</t>
  </si>
  <si>
    <t>71401028</t>
  </si>
  <si>
    <t>71401029</t>
  </si>
  <si>
    <t>71401030</t>
  </si>
  <si>
    <t>71401031</t>
  </si>
  <si>
    <t>71401032</t>
  </si>
  <si>
    <t>71401033</t>
  </si>
  <si>
    <t>71401999</t>
  </si>
  <si>
    <t>71402</t>
  </si>
  <si>
    <t>71402001</t>
  </si>
  <si>
    <t>71403</t>
  </si>
  <si>
    <t>71403001</t>
  </si>
  <si>
    <t>71403002</t>
  </si>
  <si>
    <t>71403003</t>
  </si>
  <si>
    <t>71403004</t>
  </si>
  <si>
    <t>715</t>
  </si>
  <si>
    <t>71501</t>
  </si>
  <si>
    <t>71501001</t>
  </si>
  <si>
    <t>71501002</t>
  </si>
  <si>
    <t>71501003</t>
  </si>
  <si>
    <t>71501004</t>
  </si>
  <si>
    <t>71501005</t>
  </si>
  <si>
    <t>71501006</t>
  </si>
  <si>
    <t>71501007</t>
  </si>
  <si>
    <t>71501008</t>
  </si>
  <si>
    <t>71501009</t>
  </si>
  <si>
    <t>71501010</t>
  </si>
  <si>
    <t>71501011</t>
  </si>
  <si>
    <t>71501012</t>
  </si>
  <si>
    <t>71501013</t>
  </si>
  <si>
    <t>71501014</t>
  </si>
  <si>
    <t>71501015</t>
  </si>
  <si>
    <t>71501016</t>
  </si>
  <si>
    <t>71501017</t>
  </si>
  <si>
    <t>71501018</t>
  </si>
  <si>
    <t>71501019</t>
  </si>
  <si>
    <t>71501020</t>
  </si>
  <si>
    <t>71501021</t>
  </si>
  <si>
    <t>71501022</t>
  </si>
  <si>
    <t>71501999</t>
  </si>
  <si>
    <t>71502</t>
  </si>
  <si>
    <t>71502001</t>
  </si>
  <si>
    <t>716</t>
  </si>
  <si>
    <t>71601</t>
  </si>
  <si>
    <t>71601001</t>
  </si>
  <si>
    <t>71601002</t>
  </si>
  <si>
    <t>71601003</t>
  </si>
  <si>
    <t>71601004</t>
  </si>
  <si>
    <t>71601005</t>
  </si>
  <si>
    <t>71601006</t>
  </si>
  <si>
    <t>71601007</t>
  </si>
  <si>
    <t>71601008</t>
  </si>
  <si>
    <t>71601009</t>
  </si>
  <si>
    <t>71601010</t>
  </si>
  <si>
    <t>71601011</t>
  </si>
  <si>
    <t>71601012</t>
  </si>
  <si>
    <t>71601013</t>
  </si>
  <si>
    <t>71601014</t>
  </si>
  <si>
    <t>71601015</t>
  </si>
  <si>
    <t>71601016</t>
  </si>
  <si>
    <t>71601017</t>
  </si>
  <si>
    <t>71601018</t>
  </si>
  <si>
    <t>71601019</t>
  </si>
  <si>
    <t>71601020</t>
  </si>
  <si>
    <t>71601021</t>
  </si>
  <si>
    <t>71601022</t>
  </si>
  <si>
    <t>71601023</t>
  </si>
  <si>
    <t>71601024</t>
  </si>
  <si>
    <t>71601025</t>
  </si>
  <si>
    <t>71601026</t>
  </si>
  <si>
    <t>71601027</t>
  </si>
  <si>
    <t>71601999</t>
  </si>
  <si>
    <t>71602</t>
  </si>
  <si>
    <t>71602001</t>
  </si>
  <si>
    <t>81</t>
  </si>
  <si>
    <t>811</t>
  </si>
  <si>
    <t>81101</t>
  </si>
  <si>
    <t>81101001</t>
  </si>
  <si>
    <t>81101002</t>
  </si>
  <si>
    <t>81101999</t>
  </si>
  <si>
    <t>812</t>
  </si>
  <si>
    <t>81201</t>
  </si>
  <si>
    <t>81201001</t>
  </si>
  <si>
    <t>81201002</t>
  </si>
  <si>
    <t>81201003</t>
  </si>
  <si>
    <t>81201004</t>
  </si>
  <si>
    <t>81201005</t>
  </si>
  <si>
    <t>81201006</t>
  </si>
  <si>
    <t>81201007</t>
  </si>
  <si>
    <t>81201999</t>
  </si>
  <si>
    <t>81202</t>
  </si>
  <si>
    <t>81202001</t>
  </si>
  <si>
    <t>81202002</t>
  </si>
  <si>
    <t>81202003</t>
  </si>
  <si>
    <t>81203</t>
  </si>
  <si>
    <t>81203001</t>
  </si>
  <si>
    <t>81203002</t>
  </si>
  <si>
    <t>81203003</t>
  </si>
  <si>
    <t>82</t>
  </si>
  <si>
    <t>821</t>
  </si>
  <si>
    <t>82101</t>
  </si>
  <si>
    <t>82101001</t>
  </si>
  <si>
    <t>82101002</t>
  </si>
  <si>
    <t>82101003</t>
  </si>
  <si>
    <t>82101004</t>
  </si>
  <si>
    <t>82101005</t>
  </si>
  <si>
    <t>82101999</t>
  </si>
  <si>
    <t>822</t>
  </si>
  <si>
    <t>82201</t>
  </si>
  <si>
    <t>82201001</t>
  </si>
  <si>
    <t>82201002</t>
  </si>
  <si>
    <t>82201003</t>
  </si>
  <si>
    <t>82201004</t>
  </si>
  <si>
    <t>82201999</t>
  </si>
  <si>
    <t>82202</t>
  </si>
  <si>
    <t>82202001</t>
  </si>
  <si>
    <t>83</t>
  </si>
  <si>
    <t>831</t>
  </si>
  <si>
    <t>83101</t>
  </si>
  <si>
    <t>83101001</t>
  </si>
  <si>
    <t>Income Statement Detail</t>
  </si>
  <si>
    <t>81101003</t>
  </si>
  <si>
    <t>81101004</t>
  </si>
  <si>
    <t>NCA</t>
  </si>
  <si>
    <t>Unit</t>
  </si>
  <si>
    <t>GWKG</t>
  </si>
  <si>
    <t>GWND</t>
  </si>
  <si>
    <t>GTH1</t>
  </si>
  <si>
    <t>WHY1</t>
  </si>
  <si>
    <t>WHS1</t>
  </si>
  <si>
    <t>WHC1</t>
  </si>
  <si>
    <t>imprest fund, reimburst rutin per minggu atau tentukan saldo minimal, perhatikan lamanya reimburst, total saldo 30 juta</t>
  </si>
  <si>
    <t>petty cash di back office simpan di SDB</t>
  </si>
  <si>
    <t>1 FO 1-1.5 juta</t>
  </si>
  <si>
    <t>1 FB 750 ribu</t>
  </si>
  <si>
    <t>1 spa 250 ribu</t>
  </si>
  <si>
    <t>harus nol, selisih antara kas dan bank dengan FO tunai</t>
  </si>
  <si>
    <t>harus nol, selisih antara kas dan bank dengan FO bank transfer</t>
  </si>
  <si>
    <t>BCA / Mandiri / …..</t>
  </si>
  <si>
    <t>deposito di bank</t>
  </si>
  <si>
    <t>potong PPh 23 2% NPWP dan 4% non NPWP, kalau LN minta perwakilan DN</t>
  </si>
  <si>
    <t>perhatikan fasilitas credit, jangan ambil produksi kalau yang lama belum lunas</t>
  </si>
  <si>
    <t>check 1.8%</t>
  </si>
  <si>
    <t>harus nol</t>
  </si>
  <si>
    <t>PT. Intiwhiz International</t>
  </si>
  <si>
    <t>piutang ke karyawan</t>
  </si>
  <si>
    <t>cek dan giro yang kita terima</t>
  </si>
  <si>
    <t>piutang ke owner</t>
  </si>
  <si>
    <t>bendaharawan 1.5%, impor API 2.5% dan non API 7.5%, minta bukti potong secara berkala 1-2 bulan</t>
  </si>
  <si>
    <t>NPWP 2% dan non NPWP 4%, minta bukti potong secara berkala 1-2 bulan</t>
  </si>
  <si>
    <t>PPh dari LN</t>
  </si>
  <si>
    <t>Kredit pajak = pajak terutang  tahun lalu/ 12, Mei - April</t>
  </si>
  <si>
    <t>Tarif 10%, kredit PPN bagi PKP, biaya bagi non PKP</t>
  </si>
  <si>
    <t>uang muka pembelian ke supplier dan jumlahnya relatif besar</t>
  </si>
  <si>
    <t>sewa gedung dan tanah, sejumlah sisa yang telah kita bayar di muka dikurangi setiap bulan sesuai kontrak, potong PPh 4(2) 10% saat pembayaran</t>
  </si>
  <si>
    <t>asuransi, sejumlah sisa yang telah kita bayar di muka dikurangi setiap bulan sesuai kontrak, biasanya 1 tahun</t>
  </si>
  <si>
    <t>perijinan, sejumlah sisa yang telah kita bayar di muka dikurangi setiap bulan sesuai kontrak</t>
  </si>
  <si>
    <t>kontrak, sejumlah sisa yang telah kita bayar di muka dikurangi setiap bulan sesuai kontrak</t>
  </si>
  <si>
    <t>iklan, sejumlah sisa yang telah kita bayar di muka dikurangi setiap bulan sesuai kontrak</t>
  </si>
  <si>
    <t>sewa selain gedung dan tanah, sejumlah sisa yang telah kita bayar di muka dikurangi setiap bulan sesuai kontrak, PPh 23</t>
  </si>
  <si>
    <t>kelebihan sewa guna usaha, sejumlah sisa yang telah kita bayar di muka dikurangi setiap bulan sesuai kontrak</t>
  </si>
  <si>
    <t>lain-lain, sejumlah sisa yang telah kita bayar di muka dikurangi setiap bulan sesuai kontrak</t>
  </si>
  <si>
    <t>manfaat &gt; 1 tahun, harga perolehan dan lain-lain untuk memperoleh aset tsb, tidak disusutkan</t>
  </si>
  <si>
    <t>manfaat &gt; 1 tahun, harga perolehan dan lain-lain untuk memperoleh aset tsb, disusutkan 20 tahun</t>
  </si>
  <si>
    <t>manfaat &gt; 1 tahun, konstruksi yang belum selesai tidak disusutkan, apabila sudah selesai pindahkan ke building disusutkan 20 tahun</t>
  </si>
  <si>
    <t>manfaat &gt; 1 tahun, harga perolehan dan lain-lain untuk memperoleh aset tsb, disusutkan 8 tahun, mesin besar</t>
  </si>
  <si>
    <t>manfaat &gt; 1 tahun, harga perolehan dan lain-lain untuk memperoleh aset tsb, disusutkan 4 tahun, AC dll</t>
  </si>
  <si>
    <t>manfaat &gt; 1 tahun, harga perolehan dan lain-lain untuk memperoleh aset tsb, disusutkan 4 tahun</t>
  </si>
  <si>
    <t>disusutkan 20 tahun sejak aset digunakan</t>
  </si>
  <si>
    <t>disusutkan 8 tahun sejak aset digunakan</t>
  </si>
  <si>
    <t>disusutkan 4 tahun sejak aset digunakan</t>
  </si>
  <si>
    <t>manfaat &gt; 1 tahun, harga perolehan dan lain-lain untuk memperoleh aset tsb, disusutkan 4 tahun, PMS</t>
  </si>
  <si>
    <t>manfaat &gt; 1 tahun, harga perolehan dan lain-lain untuk memperoleh aset tsb, disusutkan sesuai kontrak</t>
  </si>
  <si>
    <t>manfaat &gt; 1 tahun, harga perolehan dan lain-lain untuk memperoleh aset tsb, disusutkan 30 tahun</t>
  </si>
  <si>
    <t>manfaat &gt; 1 tahun, disusutkan 4 tahun, PMS</t>
  </si>
  <si>
    <t>manfaat &gt; 1 tahun, disusutkan sesuai kontrak</t>
  </si>
  <si>
    <t>manfaat &gt; 1 tahun, disusutkan 30 tahun</t>
  </si>
  <si>
    <t>koreksi fiskal negatif karena beda waktu dan tarif pajak dikali kerugian fiskal</t>
  </si>
  <si>
    <t>account temporary sebelum aset diklasifikasikan, harus nol</t>
  </si>
  <si>
    <t>account temporary</t>
  </si>
  <si>
    <t>perhatikan TOP, lampiran PO - Surat Jalan / Tanda Terima - Invoice - Faktur Pajak kalau PKP</t>
  </si>
  <si>
    <t>perhatikan TOP di kontrak, kualifikasi kontraktor potong PPh 23 final saat pembayaran, lampiran PO - BAST - Invoice - Faktur Pajak kalau PKP</t>
  </si>
  <si>
    <t>10% dari revenue dan svc, bayar tgl 15 dan lapor tgl 20</t>
  </si>
  <si>
    <t>tarif progresif, bayar tgl 10 dan lapor tgl 20, jasa dan komisi perorangan NPWP 2.5% dan non NPWP 3%</t>
  </si>
  <si>
    <t>bayar tgl 10 dan lapor tgl 20, jasa dan komisi perorangan NPWP 2% dan non NPWP 4%</t>
  </si>
  <si>
    <t>karyawan asing, tarif 20%</t>
  </si>
  <si>
    <t>sewa 4(2) 10% dan konstruksi tarif relatif (minta surat usaha kontraktor)</t>
  </si>
  <si>
    <t>PPh badan KB</t>
  </si>
  <si>
    <t>bank reconciliation, cek dan giro yang kita keluarkan</t>
  </si>
  <si>
    <t>semua hutang yang tidak bisa diklasifikasikan</t>
  </si>
  <si>
    <t>biaya bulan berjalan yang harus dibayar, matching cost against revenue</t>
  </si>
  <si>
    <t>biaya bulan berjalan yang harus dibayar, untuk petty cash 30 juta, optional</t>
  </si>
  <si>
    <t>cadangan biaya, optional</t>
  </si>
  <si>
    <t>5%, penggantian ware yang rusak atau hilang, digunakan pada saat penggantian</t>
  </si>
  <si>
    <t>2%, bukan untuk main futsal dll tapi untuk training dan gathering</t>
  </si>
  <si>
    <t>pension plan, perhitungan akhir tahun oleh corporate</t>
  </si>
  <si>
    <t>lain-lain yang tidak bisa diklasifikasikan</t>
  </si>
  <si>
    <t>cadangan penggantian apabila sudah umur harus diganti, 12 bulan dari initial cost</t>
  </si>
  <si>
    <t>cadangan penggantian FFE, 2% dari revenue</t>
  </si>
  <si>
    <t>deposit tamu check in</t>
  </si>
  <si>
    <t>deposit diluar tamu check in, MICE</t>
  </si>
  <si>
    <t>hutang bank</t>
  </si>
  <si>
    <t>biaya provisi yang dibayar dimuka mengurangi hutang bank</t>
  </si>
  <si>
    <t>kewajiban pajak tangguhan karena koreksi fiskal beda waktu</t>
  </si>
  <si>
    <t>hutang leasing</t>
  </si>
  <si>
    <t>selisih lebih penilaian kembali aktiva tetap dilakukan oleh jasa penilai</t>
  </si>
  <si>
    <t>laba ditahan tahun sebelumnya</t>
  </si>
  <si>
    <t>laba ditahan tahun berjalan</t>
  </si>
  <si>
    <t>cukup jelas</t>
  </si>
  <si>
    <t>gaji pokok + tunjangan</t>
  </si>
  <si>
    <t>lembur</t>
  </si>
  <si>
    <t>THR</t>
  </si>
  <si>
    <t>Bonus</t>
  </si>
  <si>
    <t>tunjangan PPh 21</t>
  </si>
  <si>
    <t>catering karyawan</t>
  </si>
  <si>
    <t>tunjangan Jamsostek yang ditanggung perusahaan</t>
  </si>
  <si>
    <t>lawan prepaid insurance dibagi 12 bulan kecuali karyawan resign</t>
  </si>
  <si>
    <t>dana pensiun</t>
  </si>
  <si>
    <t>daily worker</t>
  </si>
  <si>
    <t>UU no 13, pensiun dan penghargaan masa kerja</t>
  </si>
  <si>
    <t>mengurangi cleaning supplies inventory</t>
  </si>
  <si>
    <t>amortisasi kontrak</t>
  </si>
  <si>
    <t>mengurangi inventory, normalnya matching dengan room revenue</t>
  </si>
  <si>
    <t>tamu komplimen, free of charge</t>
  </si>
  <si>
    <t>relokasi karena hal-hal yang tidak diinginkan contoh air mati, listrik mati, dll</t>
  </si>
  <si>
    <t>free of charge, kendaraan khusus tamu</t>
  </si>
  <si>
    <t>perawatan dan service IT</t>
  </si>
  <si>
    <t>laundry, normalnya matching dengan room revenue</t>
  </si>
  <si>
    <t>berhubungan dengan proses reservasi</t>
  </si>
  <si>
    <t>komisi dengan pihak ketiga, potong PPh 21 untuk perorangan dan PPh 23 untuk BUT</t>
  </si>
  <si>
    <t>room dept, bukan dari room misc revenue</t>
  </si>
  <si>
    <t>employee dept laundry</t>
  </si>
  <si>
    <t>amortisasi license</t>
  </si>
  <si>
    <t>penghapusan karena rusak atau hilang</t>
  </si>
  <si>
    <t>tidak bisa diklasifikasikan</t>
  </si>
  <si>
    <t>cadangan penggantian, 12 bulan</t>
  </si>
  <si>
    <t>mengurangi inventory, normalnya flat</t>
  </si>
  <si>
    <t>laundry, normalnya flat</t>
  </si>
  <si>
    <t>mengurangi inventory, normalnya matching dengan revenue</t>
  </si>
  <si>
    <t>amortisasi rental</t>
  </si>
  <si>
    <t>bahan makanan yang expired</t>
  </si>
  <si>
    <t>laundry, normalnya matching cost against revenue</t>
  </si>
  <si>
    <t>mengurangi inventory</t>
  </si>
  <si>
    <t>listrik bulan berjalan</t>
  </si>
  <si>
    <t>bensin genset</t>
  </si>
  <si>
    <t>air bulan berjalan</t>
  </si>
  <si>
    <t>tenant</t>
  </si>
  <si>
    <t>perjalanan dinas corporate yang ditanggung unit</t>
  </si>
  <si>
    <t>bon jelas dan ttd HM / GM</t>
  </si>
  <si>
    <t>perjalanan dinas unit</t>
  </si>
  <si>
    <t>selisih kas, maksimal 500 perak per transaksi</t>
  </si>
  <si>
    <t>biaya untuk penagihan</t>
  </si>
  <si>
    <t>sumbangan</t>
  </si>
  <si>
    <t>berlangganan</t>
  </si>
  <si>
    <t>sewa rumah, berlaku untuk HM / GM</t>
  </si>
  <si>
    <t>gathering</t>
  </si>
  <si>
    <t>amortisasi</t>
  </si>
  <si>
    <t>BOH</t>
  </si>
  <si>
    <t>pos dan materai</t>
  </si>
  <si>
    <t>tes kesehatan kary baru</t>
  </si>
  <si>
    <t>perpindahan kary karena keputusan corporate</t>
  </si>
  <si>
    <t>outsourcing security</t>
  </si>
  <si>
    <t>sewa selain rumah, amortisasi prepaid</t>
  </si>
  <si>
    <t>piutang tidak tertagih</t>
  </si>
  <si>
    <t>jasa giro</t>
  </si>
  <si>
    <t>selisih valas</t>
  </si>
  <si>
    <t>selisih penghapusan / penjualan aset</t>
  </si>
  <si>
    <t>koreksi fiskal beda waktu dan kerugian</t>
  </si>
  <si>
    <t>barang rusak atau hilang sebelum jadwal penggantian</t>
  </si>
  <si>
    <t>biaya owner</t>
  </si>
  <si>
    <t>amortisasi PBB</t>
  </si>
  <si>
    <t>amortisasi sewa tanah dan bangunan</t>
  </si>
  <si>
    <t>audit fee dan jasa konsultan lainnya</t>
  </si>
  <si>
    <t>dilawankan ke accrued sampai terima invoice baru jadi AP Intiwhiz, potong PPh 23 2%</t>
  </si>
  <si>
    <t>optional, untuk pemerataan biaya</t>
  </si>
  <si>
    <t>cadangan untuk penggantian FFE</t>
  </si>
  <si>
    <t>bunga pinjaman bank</t>
  </si>
  <si>
    <t>amortisasi biaya provisi yang dibayar di muka</t>
  </si>
  <si>
    <t>bunga leasing</t>
  </si>
  <si>
    <t>20 tahun</t>
  </si>
  <si>
    <t>8 tahun, khusus mesin besar, biasanya mahal</t>
  </si>
  <si>
    <t>4 tahun, AC dll</t>
  </si>
  <si>
    <t>4 tahun</t>
  </si>
  <si>
    <t>8 tahun</t>
  </si>
  <si>
    <t>sesuai kontrak</t>
  </si>
  <si>
    <t>1 tahun sejak operasional</t>
  </si>
  <si>
    <t>Daftar Jurnal Memo tiap akhir bulan:</t>
  </si>
  <si>
    <t>Depresiasi dan Amortisasi</t>
  </si>
  <si>
    <t>Realisasi Prepaid Expense</t>
  </si>
  <si>
    <t>Accrued expense</t>
  </si>
  <si>
    <t>Provision</t>
  </si>
  <si>
    <t>Biaya hasil stock opname</t>
  </si>
  <si>
    <t>Cek TB</t>
  </si>
  <si>
    <t>+/- guest deposit &lt;=&gt; guest check in, income audit journal</t>
  </si>
  <si>
    <t>PT. Intiland Estrella (only) / PT. Owner</t>
  </si>
  <si>
    <t>bank reconciliation, cek dan giro yang sudah setor ke bank tapi uangnya belum masuk biasanya karena beda bank, FO cash clearing</t>
  </si>
  <si>
    <t>semua piutang yang tidak bisa diklasifikasikan atau jarang terjadi</t>
  </si>
  <si>
    <t>bank dana cadangan FF&amp;E optional</t>
  </si>
  <si>
    <t>maksimum komisi 20% atau ditentukan lain oleh corporate</t>
  </si>
  <si>
    <t>check 0.9%</t>
  </si>
  <si>
    <t>moveable goods, pakai stock card, stock opname random tiap akhir bulan, per 3 bulan kirim BASO ke corporate, BASO full 1 tahun 2x</t>
  </si>
  <si>
    <t>masa manfaat &lt; 1 tahun, pakai stock card, stock opname random tiap akhir bulan, per 3 bulan kirim BASO ke corporate, BASO full 1 tahun 2x</t>
  </si>
  <si>
    <t>LB, harus nol pada akhir tahun</t>
  </si>
  <si>
    <t>uang muka pembelian ke karyawan dan jumlahnya relatif kecil, pertanggungjawaban max 3 hari</t>
  </si>
  <si>
    <t>manfaat &gt; 1 tahun, harga perolehan dan lain-lain untuk memperoleh aset tsb, disusutkan 8 tahun untuk mobil dan 4 tahun untuk motor</t>
  </si>
  <si>
    <t>disusutkan 8 tahun untuk mobil dan 4 tahun untuk motor sejak aset digunakan</t>
  </si>
  <si>
    <t>tidak bisa diklasifikasikan atau jarang terjadi</t>
  </si>
  <si>
    <t>biaya sebelum opening yang tidak ada di BS, amortisasi 1 tahun</t>
  </si>
  <si>
    <t>biaya sebelum operating yang tidak ada di BS, amortisasi sesuai masa manfaat</t>
  </si>
  <si>
    <t>amortisasi pre opening dan pre operating expenses</t>
  </si>
  <si>
    <t>PPN tarif 10%, khusus PKP</t>
  </si>
  <si>
    <t>hutang ke owner</t>
  </si>
  <si>
    <t>hutang ke karyawan</t>
  </si>
  <si>
    <t>cadangan penggantian apabila sudah umur harus diganti, 60 bulan dari initial cost</t>
  </si>
  <si>
    <t>cadangan penggantian apabila sudah umur harus diganti, 18 bulan dari initial cost</t>
  </si>
  <si>
    <t>pendapatan yang ditangguhkan</t>
  </si>
  <si>
    <t>modal disetor, working capital, investment</t>
  </si>
  <si>
    <t>penarikan oleh owner, dividend</t>
  </si>
  <si>
    <t>cancellation fee, extra bed, dll</t>
  </si>
  <si>
    <t>apabila memakai outside catering</t>
  </si>
  <si>
    <t>apabila food production sendiri</t>
  </si>
  <si>
    <t>harus memiliki PKP untuk PPN</t>
  </si>
  <si>
    <t>apabila food production sendiri, cek kalau persentase tidak match</t>
  </si>
  <si>
    <t>apabila memakai outside catering, cek kalau persentase tidak match</t>
  </si>
  <si>
    <t>cek kalau persentase tidak match</t>
  </si>
  <si>
    <t>cadangan penggantian, 60 bulan</t>
  </si>
  <si>
    <t>cadangan penggantian, 18 bulan</t>
  </si>
  <si>
    <t>lokal transport</t>
  </si>
  <si>
    <t>amortisasi prepaid insurance</t>
  </si>
  <si>
    <t>renovasi besar</t>
  </si>
  <si>
    <t>PPh badan tahunan, lihat tarif sesuai penghasilan bruto</t>
  </si>
  <si>
    <t>service charge dihitung tgl 20 s/d 19 dan dibagikan bareng gaji di akhir bulan, 90% karyawan tetap dan 3% outsourcing &amp; DW</t>
  </si>
  <si>
    <t>PBB untuk 1 tahun, optional</t>
  </si>
  <si>
    <t>cicilan PPh badan, bayar tgl 15 dan lapor tgl 20</t>
  </si>
  <si>
    <t>cek dan giro yang kita keluarkan, optional</t>
  </si>
  <si>
    <t>Interest Expense**</t>
  </si>
  <si>
    <t>Interest Expense*</t>
  </si>
  <si>
    <t>83101002</t>
  </si>
  <si>
    <t>83101003</t>
  </si>
  <si>
    <t>84</t>
  </si>
  <si>
    <t>841</t>
  </si>
  <si>
    <t>84101</t>
  </si>
  <si>
    <t>84101001</t>
  </si>
  <si>
    <t>menjadi</t>
  </si>
  <si>
    <t>tambahan</t>
  </si>
  <si>
    <t>No COA Lama</t>
  </si>
  <si>
    <t>No COA Baru</t>
  </si>
  <si>
    <t>PT. Estrella Delapan Indonesia</t>
  </si>
  <si>
    <t>Aneka Jaya</t>
  </si>
  <si>
    <t>CV.Bintang Mas</t>
  </si>
  <si>
    <t>CV.Utama Mandiri</t>
  </si>
  <si>
    <t>Aura Catering</t>
  </si>
  <si>
    <t>Aroma Coto Gagak</t>
  </si>
  <si>
    <t>PT.Reborn Cleaning Service</t>
  </si>
  <si>
    <t>CV.Sari Bumi Kencana</t>
  </si>
  <si>
    <t>KR. Cathering</t>
  </si>
  <si>
    <t>PT.Indocare Pacific</t>
  </si>
  <si>
    <t>Arifah Laundry</t>
  </si>
  <si>
    <t>MG Transport</t>
  </si>
  <si>
    <t>Malikah Catering Service</t>
  </si>
  <si>
    <t>Muslim Aisyah Catering</t>
  </si>
  <si>
    <t>Toko Osaka</t>
  </si>
  <si>
    <t>Roxy Advertising</t>
  </si>
  <si>
    <t>CV.Santri Karya Mandiri</t>
  </si>
  <si>
    <t>Tirta Makmur Perkasa</t>
  </si>
  <si>
    <t>Total</t>
  </si>
  <si>
    <t>For the month ended March 2016</t>
  </si>
  <si>
    <t>Credit Card Visa Mandiri</t>
  </si>
  <si>
    <t>Credit Card Master Mandiri</t>
  </si>
  <si>
    <t>Debit Bank Mandiri</t>
  </si>
  <si>
    <t>BRI Kanwil Makassar</t>
  </si>
  <si>
    <t>Traveloka</t>
  </si>
  <si>
    <t>Agoda</t>
  </si>
  <si>
    <t>Expedia</t>
  </si>
  <si>
    <t>Antavaya</t>
  </si>
  <si>
    <t>Hokky Mandiri Travel</t>
  </si>
  <si>
    <t>MG Holiday</t>
  </si>
  <si>
    <t>Average Days Credit Sales Outstanding (DCSO) :</t>
  </si>
  <si>
    <t>For the month ended April 2016</t>
  </si>
  <si>
    <t>Cash Purchase</t>
  </si>
  <si>
    <t>CV.Surya Perkasa</t>
  </si>
  <si>
    <t>Toko Sumber listrik</t>
  </si>
  <si>
    <t>Lumbung Bangunan</t>
  </si>
  <si>
    <t>Depreciation of General Building system</t>
  </si>
  <si>
    <t>Amortization SOFTWARE</t>
  </si>
  <si>
    <t>Number of Day</t>
  </si>
  <si>
    <t>Room Available</t>
  </si>
  <si>
    <t>Revpar</t>
  </si>
  <si>
    <t>month</t>
  </si>
  <si>
    <t>Years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</si>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</sst>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  <numFmt numFmtId="168" formatCode="[$-409]dd\-mmm\-yy;@"/>
    <numFmt numFmtId="169" formatCode="0_);[Red]\(0\)"/>
    <numFmt numFmtId="170" formatCode="[$-F800]dddd\,\ mmmm\ dd\,\ yyyy"/>
    <numFmt numFmtId="171" formatCode="[$-409]d\-mmm\-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0"/>
      <name val="Calibri"/>
      <family val="2"/>
      <scheme val="minor"/>
    </font>
    <font>
      <sz val="10"/>
      <color indexed="8"/>
      <name val="MS Sans Serif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14996795556505021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14996795556505021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5" fillId="8" borderId="0" applyNumberFormat="0" applyBorder="0" applyAlignment="0" applyProtection="0"/>
    <xf numFmtId="0" fontId="7" fillId="10" borderId="0"/>
    <xf numFmtId="165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1" fillId="0" borderId="0"/>
    <xf numFmtId="0" fontId="7" fillId="0" borderId="0"/>
    <xf numFmtId="164" fontId="1" fillId="0" borderId="0" applyFont="0" applyFill="0" applyBorder="0" applyAlignment="0" applyProtection="0"/>
  </cellStyleXfs>
  <cellXfs count="3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0" xfId="0" quotePrefix="1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5" borderId="0" xfId="0" quotePrefix="1" applyNumberFormat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10" fillId="9" borderId="4" xfId="2" applyFont="1" applyFill="1" applyBorder="1" applyAlignment="1" applyProtection="1">
      <alignment vertical="center"/>
    </xf>
    <xf numFmtId="0" fontId="10" fillId="9" borderId="5" xfId="2" applyFont="1" applyFill="1" applyBorder="1" applyAlignment="1" applyProtection="1">
      <alignment horizontal="center" vertical="center" wrapText="1"/>
    </xf>
    <xf numFmtId="0" fontId="10" fillId="9" borderId="7" xfId="2" applyFont="1" applyFill="1" applyBorder="1" applyAlignment="1" applyProtection="1">
      <alignment vertical="center"/>
    </xf>
    <xf numFmtId="0" fontId="10" fillId="9" borderId="0" xfId="2" applyFont="1" applyFill="1" applyBorder="1" applyAlignment="1" applyProtection="1">
      <alignment vertical="center"/>
    </xf>
    <xf numFmtId="0" fontId="10" fillId="9" borderId="0" xfId="2" applyFont="1" applyFill="1" applyBorder="1" applyAlignment="1" applyProtection="1">
      <alignment horizontal="center" vertical="center" wrapText="1"/>
    </xf>
    <xf numFmtId="0" fontId="10" fillId="9" borderId="6" xfId="2" applyFont="1" applyFill="1" applyBorder="1" applyAlignment="1" applyProtection="1">
      <alignment horizontal="center" vertical="center" wrapText="1"/>
    </xf>
    <xf numFmtId="0" fontId="10" fillId="9" borderId="8" xfId="2" applyFont="1" applyFill="1" applyBorder="1" applyAlignment="1" applyProtection="1">
      <alignment horizontal="center" vertical="center" wrapText="1"/>
    </xf>
    <xf numFmtId="0" fontId="3" fillId="11" borderId="9" xfId="3" applyFont="1" applyFill="1" applyBorder="1" applyAlignment="1">
      <alignment vertical="center"/>
    </xf>
    <xf numFmtId="0" fontId="3" fillId="11" borderId="10" xfId="3" applyFont="1" applyFill="1" applyBorder="1" applyAlignment="1">
      <alignment vertical="center"/>
    </xf>
    <xf numFmtId="0" fontId="3" fillId="11" borderId="10" xfId="3" applyFont="1" applyFill="1" applyBorder="1" applyAlignment="1">
      <alignment horizontal="center" vertical="center" wrapText="1"/>
    </xf>
    <xf numFmtId="0" fontId="3" fillId="11" borderId="11" xfId="3" applyFont="1" applyFill="1" applyBorder="1" applyAlignment="1">
      <alignment horizontal="center" vertical="center" wrapText="1"/>
    </xf>
    <xf numFmtId="0" fontId="3" fillId="12" borderId="12" xfId="3" applyFont="1" applyFill="1" applyBorder="1"/>
    <xf numFmtId="0" fontId="2" fillId="12" borderId="13" xfId="3" applyFont="1" applyFill="1" applyBorder="1"/>
    <xf numFmtId="166" fontId="3" fillId="12" borderId="14" xfId="4" applyNumberFormat="1" applyFont="1" applyFill="1" applyBorder="1" applyAlignment="1" applyProtection="1">
      <alignment shrinkToFit="1"/>
    </xf>
    <xf numFmtId="166" fontId="3" fillId="12" borderId="15" xfId="4" applyNumberFormat="1" applyFont="1" applyFill="1" applyBorder="1" applyAlignment="1" applyProtection="1">
      <alignment shrinkToFit="1"/>
    </xf>
    <xf numFmtId="166" fontId="3" fillId="12" borderId="16" xfId="4" applyNumberFormat="1" applyFont="1" applyFill="1" applyBorder="1" applyAlignment="1" applyProtection="1">
      <alignment shrinkToFit="1"/>
    </xf>
    <xf numFmtId="0" fontId="2" fillId="0" borderId="7" xfId="3" applyFont="1" applyFill="1" applyBorder="1" applyAlignment="1">
      <alignment horizontal="left" indent="1"/>
    </xf>
    <xf numFmtId="0" fontId="2" fillId="0" borderId="17" xfId="3" applyFont="1" applyFill="1" applyBorder="1" applyAlignment="1">
      <alignment wrapText="1"/>
    </xf>
    <xf numFmtId="166" fontId="2" fillId="0" borderId="18" xfId="4" applyNumberFormat="1" applyFont="1" applyFill="1" applyBorder="1" applyAlignment="1" applyProtection="1">
      <alignment shrinkToFit="1"/>
    </xf>
    <xf numFmtId="166" fontId="2" fillId="0" borderId="0" xfId="4" applyNumberFormat="1" applyFont="1" applyFill="1" applyBorder="1" applyAlignment="1" applyProtection="1">
      <alignment shrinkToFit="1"/>
    </xf>
    <xf numFmtId="166" fontId="2" fillId="0" borderId="8" xfId="4" applyNumberFormat="1" applyFont="1" applyFill="1" applyBorder="1" applyAlignment="1" applyProtection="1">
      <alignment shrinkToFit="1"/>
    </xf>
    <xf numFmtId="0" fontId="3" fillId="0" borderId="17" xfId="3" applyFont="1" applyFill="1" applyBorder="1" applyAlignment="1">
      <alignment horizontal="left" wrapText="1" indent="1"/>
    </xf>
    <xf numFmtId="166" fontId="2" fillId="13" borderId="0" xfId="4" applyNumberFormat="1" applyFont="1" applyFill="1" applyBorder="1" applyAlignment="1" applyProtection="1">
      <alignment shrinkToFit="1"/>
      <protection locked="0"/>
    </xf>
    <xf numFmtId="166" fontId="2" fillId="13" borderId="8" xfId="4" applyNumberFormat="1" applyFont="1" applyFill="1" applyBorder="1" applyAlignment="1" applyProtection="1">
      <alignment shrinkToFit="1"/>
      <protection locked="0"/>
    </xf>
    <xf numFmtId="0" fontId="2" fillId="0" borderId="9" xfId="3" applyFont="1" applyFill="1" applyBorder="1" applyAlignment="1">
      <alignment horizontal="left" indent="1"/>
    </xf>
    <xf numFmtId="166" fontId="2" fillId="0" borderId="20" xfId="4" applyNumberFormat="1" applyFont="1" applyFill="1" applyBorder="1" applyAlignment="1" applyProtection="1">
      <alignment shrinkToFit="1"/>
    </xf>
    <xf numFmtId="0" fontId="2" fillId="11" borderId="7" xfId="3" applyFont="1" applyFill="1" applyBorder="1"/>
    <xf numFmtId="166" fontId="2" fillId="11" borderId="15" xfId="4" applyNumberFormat="1" applyFont="1" applyFill="1" applyBorder="1" applyAlignment="1" applyProtection="1">
      <alignment shrinkToFit="1"/>
    </xf>
    <xf numFmtId="166" fontId="2" fillId="11" borderId="16" xfId="4" applyNumberFormat="1" applyFont="1" applyFill="1" applyBorder="1" applyAlignment="1" applyProtection="1">
      <alignment shrinkToFit="1"/>
    </xf>
    <xf numFmtId="0" fontId="2" fillId="0" borderId="17" xfId="3" applyFont="1" applyFill="1" applyBorder="1" applyAlignment="1">
      <alignment horizontal="left" wrapText="1" indent="2"/>
    </xf>
    <xf numFmtId="166" fontId="2" fillId="0" borderId="0" xfId="4" applyNumberFormat="1" applyFont="1" applyFill="1" applyBorder="1" applyAlignment="1" applyProtection="1">
      <alignment shrinkToFit="1"/>
      <protection locked="0"/>
    </xf>
    <xf numFmtId="166" fontId="2" fillId="0" borderId="8" xfId="4" applyNumberFormat="1" applyFont="1" applyFill="1" applyBorder="1" applyAlignment="1" applyProtection="1">
      <alignment shrinkToFit="1"/>
      <protection locked="0"/>
    </xf>
    <xf numFmtId="0" fontId="4" fillId="0" borderId="19" xfId="3" applyFont="1" applyFill="1" applyBorder="1" applyAlignment="1">
      <alignment wrapText="1"/>
    </xf>
    <xf numFmtId="0" fontId="2" fillId="11" borderId="21" xfId="3" applyFont="1" applyFill="1" applyBorder="1"/>
    <xf numFmtId="0" fontId="2" fillId="11" borderId="22" xfId="3" applyFont="1" applyFill="1" applyBorder="1" applyAlignment="1">
      <alignment wrapText="1"/>
    </xf>
    <xf numFmtId="166" fontId="2" fillId="11" borderId="22" xfId="4" applyNumberFormat="1" applyFont="1" applyFill="1" applyBorder="1" applyAlignment="1" applyProtection="1">
      <alignment shrinkToFit="1"/>
    </xf>
    <xf numFmtId="166" fontId="2" fillId="11" borderId="23" xfId="4" applyNumberFormat="1" applyFont="1" applyFill="1" applyBorder="1" applyAlignment="1" applyProtection="1">
      <alignment shrinkToFit="1"/>
    </xf>
    <xf numFmtId="166" fontId="3" fillId="11" borderId="22" xfId="4" applyNumberFormat="1" applyFont="1" applyFill="1" applyBorder="1" applyAlignment="1" applyProtection="1">
      <alignment shrinkToFit="1"/>
    </xf>
    <xf numFmtId="166" fontId="3" fillId="11" borderId="23" xfId="4" applyNumberFormat="1" applyFont="1" applyFill="1" applyBorder="1" applyAlignment="1" applyProtection="1">
      <alignment shrinkToFit="1"/>
    </xf>
    <xf numFmtId="0" fontId="3" fillId="12" borderId="12" xfId="3" applyFont="1" applyFill="1" applyBorder="1" applyAlignment="1">
      <alignment vertical="center"/>
    </xf>
    <xf numFmtId="0" fontId="2" fillId="12" borderId="13" xfId="3" applyFont="1" applyFill="1" applyBorder="1" applyAlignment="1">
      <alignment vertical="center"/>
    </xf>
    <xf numFmtId="166" fontId="3" fillId="12" borderId="14" xfId="4" applyNumberFormat="1" applyFont="1" applyFill="1" applyBorder="1" applyAlignment="1" applyProtection="1">
      <alignment vertical="center" shrinkToFit="1"/>
    </xf>
    <xf numFmtId="166" fontId="3" fillId="12" borderId="24" xfId="4" applyNumberFormat="1" applyFont="1" applyFill="1" applyBorder="1" applyAlignment="1" applyProtection="1">
      <alignment vertical="center" shrinkToFit="1"/>
    </xf>
    <xf numFmtId="166" fontId="3" fillId="12" borderId="25" xfId="4" applyNumberFormat="1" applyFont="1" applyFill="1" applyBorder="1" applyAlignment="1" applyProtection="1">
      <alignment vertical="center" shrinkToFit="1"/>
    </xf>
    <xf numFmtId="166" fontId="3" fillId="12" borderId="26" xfId="4" applyNumberFormat="1" applyFont="1" applyFill="1" applyBorder="1" applyAlignment="1" applyProtection="1">
      <alignment vertical="center" shrinkToFit="1"/>
    </xf>
    <xf numFmtId="0" fontId="2" fillId="11" borderId="0" xfId="3" applyFont="1" applyFill="1"/>
    <xf numFmtId="166" fontId="2" fillId="11" borderId="0" xfId="4" applyNumberFormat="1" applyFont="1" applyFill="1" applyBorder="1" applyAlignment="1" applyProtection="1">
      <alignment shrinkToFit="1"/>
    </xf>
    <xf numFmtId="166" fontId="2" fillId="11" borderId="8" xfId="4" applyNumberFormat="1" applyFont="1" applyFill="1" applyBorder="1" applyAlignment="1" applyProtection="1">
      <alignment shrinkToFit="1"/>
    </xf>
    <xf numFmtId="0" fontId="3" fillId="11" borderId="12" xfId="3" applyFont="1" applyFill="1" applyBorder="1"/>
    <xf numFmtId="0" fontId="2" fillId="11" borderId="13" xfId="3" applyFont="1" applyFill="1" applyBorder="1"/>
    <xf numFmtId="166" fontId="3" fillId="11" borderId="14" xfId="4" applyNumberFormat="1" applyFont="1" applyFill="1" applyBorder="1" applyAlignment="1" applyProtection="1">
      <alignment shrinkToFit="1"/>
    </xf>
    <xf numFmtId="166" fontId="3" fillId="13" borderId="24" xfId="4" applyNumberFormat="1" applyFont="1" applyFill="1" applyBorder="1" applyAlignment="1" applyProtection="1">
      <alignment shrinkToFit="1"/>
      <protection locked="0"/>
    </xf>
    <xf numFmtId="166" fontId="3" fillId="11" borderId="25" xfId="4" applyNumberFormat="1" applyFont="1" applyFill="1" applyBorder="1" applyAlignment="1" applyProtection="1">
      <alignment shrinkToFit="1"/>
    </xf>
    <xf numFmtId="166" fontId="3" fillId="11" borderId="26" xfId="4" applyNumberFormat="1" applyFont="1" applyFill="1" applyBorder="1" applyAlignment="1" applyProtection="1">
      <alignment shrinkToFit="1"/>
    </xf>
    <xf numFmtId="166" fontId="3" fillId="11" borderId="0" xfId="4" applyNumberFormat="1" applyFont="1" applyFill="1" applyBorder="1" applyAlignment="1" applyProtection="1">
      <alignment shrinkToFit="1"/>
    </xf>
    <xf numFmtId="166" fontId="3" fillId="11" borderId="8" xfId="4" applyNumberFormat="1" applyFont="1" applyFill="1" applyBorder="1" applyAlignment="1" applyProtection="1">
      <alignment shrinkToFit="1"/>
    </xf>
    <xf numFmtId="0" fontId="3" fillId="7" borderId="27" xfId="3" applyFont="1" applyFill="1" applyBorder="1" applyAlignment="1">
      <alignment vertical="center"/>
    </xf>
    <xf numFmtId="0" fontId="2" fillId="7" borderId="28" xfId="3" applyFont="1" applyFill="1" applyBorder="1" applyAlignment="1">
      <alignment vertical="center"/>
    </xf>
    <xf numFmtId="166" fontId="3" fillId="7" borderId="29" xfId="4" applyNumberFormat="1" applyFont="1" applyFill="1" applyBorder="1" applyAlignment="1" applyProtection="1">
      <alignment horizontal="center" vertical="center" shrinkToFit="1"/>
    </xf>
    <xf numFmtId="166" fontId="3" fillId="7" borderId="30" xfId="4" applyNumberFormat="1" applyFont="1" applyFill="1" applyBorder="1" applyAlignment="1" applyProtection="1">
      <alignment horizontal="center" vertical="center" shrinkToFit="1"/>
    </xf>
    <xf numFmtId="166" fontId="3" fillId="7" borderId="31" xfId="4" applyNumberFormat="1" applyFont="1" applyFill="1" applyBorder="1" applyAlignment="1" applyProtection="1">
      <alignment horizontal="center" vertical="center" shrinkToFit="1"/>
    </xf>
    <xf numFmtId="166" fontId="3" fillId="7" borderId="32" xfId="4" applyNumberFormat="1" applyFont="1" applyFill="1" applyBorder="1" applyAlignment="1" applyProtection="1">
      <alignment horizontal="center" vertical="center" shrinkToFit="1"/>
    </xf>
    <xf numFmtId="0" fontId="2" fillId="10" borderId="0" xfId="3" applyFont="1"/>
    <xf numFmtId="0" fontId="3" fillId="10" borderId="0" xfId="3" applyFont="1"/>
    <xf numFmtId="0" fontId="3" fillId="14" borderId="27" xfId="3" applyFont="1" applyFill="1" applyBorder="1" applyAlignment="1">
      <alignment vertical="center"/>
    </xf>
    <xf numFmtId="0" fontId="2" fillId="14" borderId="28" xfId="3" applyFont="1" applyFill="1" applyBorder="1" applyAlignment="1">
      <alignment vertical="center"/>
    </xf>
    <xf numFmtId="166" fontId="3" fillId="14" borderId="29" xfId="4" applyNumberFormat="1" applyFont="1" applyFill="1" applyBorder="1" applyAlignment="1" applyProtection="1">
      <alignment horizontal="center" vertical="center" shrinkToFit="1"/>
      <protection locked="0"/>
    </xf>
    <xf numFmtId="166" fontId="3" fillId="14" borderId="30" xfId="4" applyNumberFormat="1" applyFont="1" applyFill="1" applyBorder="1" applyAlignment="1" applyProtection="1">
      <alignment horizontal="center" vertical="center" shrinkToFit="1"/>
    </xf>
    <xf numFmtId="166" fontId="3" fillId="14" borderId="31" xfId="4" applyNumberFormat="1" applyFont="1" applyFill="1" applyBorder="1" applyAlignment="1" applyProtection="1">
      <alignment horizontal="center" vertical="center" shrinkToFit="1"/>
    </xf>
    <xf numFmtId="166" fontId="3" fillId="14" borderId="32" xfId="4" applyNumberFormat="1" applyFont="1" applyFill="1" applyBorder="1" applyAlignment="1" applyProtection="1">
      <alignment horizontal="center" vertical="center" shrinkToFit="1"/>
    </xf>
    <xf numFmtId="0" fontId="6" fillId="0" borderId="0" xfId="0" applyFont="1" applyAlignment="1">
      <alignment horizontal="center" vertical="center"/>
    </xf>
    <xf numFmtId="43" fontId="6" fillId="0" borderId="0" xfId="1" applyFont="1" applyBorder="1" applyAlignment="1">
      <alignment vertical="center"/>
    </xf>
    <xf numFmtId="167" fontId="6" fillId="0" borderId="0" xfId="1" applyNumberFormat="1" applyFont="1" applyBorder="1" applyAlignment="1">
      <alignment vertical="center"/>
    </xf>
    <xf numFmtId="0" fontId="2" fillId="11" borderId="10" xfId="3" applyFont="1" applyFill="1" applyBorder="1" applyAlignment="1">
      <alignment wrapText="1"/>
    </xf>
    <xf numFmtId="0" fontId="2" fillId="0" borderId="10" xfId="3" applyFont="1" applyFill="1" applyBorder="1" applyAlignment="1">
      <alignment wrapText="1"/>
    </xf>
    <xf numFmtId="0" fontId="2" fillId="0" borderId="19" xfId="3" applyFont="1" applyFill="1" applyBorder="1" applyAlignment="1">
      <alignment wrapText="1"/>
    </xf>
    <xf numFmtId="0" fontId="10" fillId="9" borderId="5" xfId="2" applyFont="1" applyFill="1" applyBorder="1" applyAlignment="1" applyProtection="1">
      <alignment horizontal="center" vertical="center"/>
    </xf>
    <xf numFmtId="3" fontId="12" fillId="0" borderId="0" xfId="0" applyNumberFormat="1" applyFont="1"/>
    <xf numFmtId="41" fontId="12" fillId="0" borderId="0" xfId="6" applyFont="1" applyBorder="1"/>
    <xf numFmtId="0" fontId="12" fillId="0" borderId="0" xfId="0" applyFont="1"/>
    <xf numFmtId="0" fontId="14" fillId="0" borderId="0" xfId="7" applyFont="1" applyProtection="1">
      <protection locked="0"/>
    </xf>
    <xf numFmtId="3" fontId="12" fillId="0" borderId="0" xfId="0" applyNumberFormat="1" applyFont="1" applyProtection="1">
      <protection locked="0"/>
    </xf>
    <xf numFmtId="0" fontId="13" fillId="16" borderId="33" xfId="7" applyFont="1" applyFill="1" applyBorder="1" applyAlignment="1" applyProtection="1">
      <alignment horizontal="center" vertical="center"/>
      <protection locked="0"/>
    </xf>
    <xf numFmtId="0" fontId="13" fillId="16" borderId="35" xfId="7" applyFont="1" applyFill="1" applyBorder="1" applyAlignment="1" applyProtection="1">
      <alignment horizontal="center" vertical="center"/>
      <protection locked="0"/>
    </xf>
    <xf numFmtId="0" fontId="13" fillId="16" borderId="35" xfId="7" applyFont="1" applyFill="1" applyBorder="1" applyAlignment="1" applyProtection="1">
      <alignment horizontal="center"/>
      <protection locked="0"/>
    </xf>
    <xf numFmtId="168" fontId="13" fillId="17" borderId="1" xfId="7" applyNumberFormat="1" applyFont="1" applyFill="1" applyBorder="1" applyAlignment="1">
      <alignment horizontal="center"/>
    </xf>
    <xf numFmtId="0" fontId="15" fillId="0" borderId="0" xfId="0" applyFont="1"/>
    <xf numFmtId="0" fontId="14" fillId="0" borderId="0" xfId="7" applyFont="1"/>
    <xf numFmtId="0" fontId="13" fillId="16" borderId="33" xfId="7" applyFont="1" applyFill="1" applyBorder="1" applyAlignment="1">
      <alignment horizontal="center" vertical="center"/>
    </xf>
    <xf numFmtId="0" fontId="13" fillId="16" borderId="34" xfId="7" applyFont="1" applyFill="1" applyBorder="1" applyAlignment="1">
      <alignment horizontal="centerContinuous" vertical="center"/>
    </xf>
    <xf numFmtId="0" fontId="13" fillId="16" borderId="3" xfId="7" applyFont="1" applyFill="1" applyBorder="1" applyAlignment="1">
      <alignment horizontal="centerContinuous"/>
    </xf>
    <xf numFmtId="0" fontId="13" fillId="16" borderId="2" xfId="7" applyFont="1" applyFill="1" applyBorder="1" applyAlignment="1">
      <alignment horizontal="centerContinuous" vertical="center"/>
    </xf>
    <xf numFmtId="0" fontId="13" fillId="16" borderId="3" xfId="7" applyFont="1" applyFill="1" applyBorder="1" applyAlignment="1">
      <alignment horizontal="centerContinuous" vertical="center"/>
    </xf>
    <xf numFmtId="0" fontId="13" fillId="16" borderId="35" xfId="7" applyFont="1" applyFill="1" applyBorder="1" applyAlignment="1">
      <alignment horizontal="center" vertical="center"/>
    </xf>
    <xf numFmtId="0" fontId="13" fillId="16" borderId="35" xfId="7" applyFont="1" applyFill="1" applyBorder="1" applyAlignment="1">
      <alignment horizontal="center"/>
    </xf>
    <xf numFmtId="41" fontId="13" fillId="17" borderId="1" xfId="6" applyFont="1" applyFill="1" applyBorder="1" applyAlignment="1" applyProtection="1">
      <alignment horizontal="center"/>
    </xf>
    <xf numFmtId="0" fontId="13" fillId="16" borderId="1" xfId="7" applyFont="1" applyFill="1" applyBorder="1" applyAlignment="1">
      <alignment horizontal="center"/>
    </xf>
    <xf numFmtId="0" fontId="13" fillId="0" borderId="1" xfId="7" applyFont="1" applyBorder="1" applyAlignment="1">
      <alignment horizontal="center" vertical="center"/>
    </xf>
    <xf numFmtId="168" fontId="13" fillId="0" borderId="1" xfId="7" applyNumberFormat="1" applyFont="1" applyBorder="1" applyAlignment="1">
      <alignment horizontal="center"/>
    </xf>
    <xf numFmtId="0" fontId="13" fillId="0" borderId="1" xfId="7" applyFont="1" applyBorder="1" applyAlignment="1" applyProtection="1">
      <alignment horizontal="center"/>
      <protection locked="0"/>
    </xf>
    <xf numFmtId="0" fontId="13" fillId="0" borderId="1" xfId="7" applyFont="1" applyBorder="1" applyAlignment="1">
      <alignment horizontal="center"/>
    </xf>
    <xf numFmtId="41" fontId="13" fillId="0" borderId="1" xfId="6" applyFont="1" applyFill="1" applyBorder="1" applyAlignment="1" applyProtection="1">
      <alignment horizontal="center"/>
    </xf>
    <xf numFmtId="0" fontId="15" fillId="0" borderId="1" xfId="0" applyFont="1" applyBorder="1"/>
    <xf numFmtId="166" fontId="17" fillId="0" borderId="1" xfId="4" applyNumberFormat="1" applyFont="1" applyFill="1" applyBorder="1" applyAlignment="1" applyProtection="1">
      <alignment horizontal="center" vertical="center"/>
    </xf>
    <xf numFmtId="166" fontId="17" fillId="0" borderId="1" xfId="4" applyNumberFormat="1" applyFont="1" applyFill="1" applyBorder="1" applyAlignment="1" applyProtection="1">
      <alignment vertical="center"/>
    </xf>
    <xf numFmtId="166" fontId="17" fillId="0" borderId="33" xfId="4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169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66" fontId="3" fillId="19" borderId="1" xfId="4" applyNumberFormat="1" applyFont="1" applyFill="1" applyBorder="1" applyAlignment="1" applyProtection="1">
      <alignment horizontal="center" vertical="center"/>
    </xf>
    <xf numFmtId="166" fontId="3" fillId="18" borderId="1" xfId="4" applyNumberFormat="1" applyFont="1" applyFill="1" applyBorder="1" applyAlignment="1" applyProtection="1">
      <alignment horizontal="center" vertical="center"/>
    </xf>
    <xf numFmtId="166" fontId="2" fillId="0" borderId="1" xfId="4" applyNumberFormat="1" applyFont="1" applyFill="1" applyBorder="1" applyAlignment="1" applyProtection="1">
      <alignment vertical="center"/>
    </xf>
    <xf numFmtId="169" fontId="1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7" fontId="18" fillId="0" borderId="1" xfId="0" applyNumberFormat="1" applyFont="1" applyBorder="1" applyAlignment="1">
      <alignment horizontal="center" vertical="center"/>
    </xf>
    <xf numFmtId="166" fontId="2" fillId="0" borderId="1" xfId="4" applyNumberFormat="1" applyFont="1" applyFill="1" applyBorder="1" applyAlignment="1" applyProtection="1">
      <alignment horizontal="center" vertical="center"/>
    </xf>
    <xf numFmtId="169" fontId="18" fillId="0" borderId="1" xfId="0" applyNumberFormat="1" applyFont="1" applyBorder="1" applyAlignment="1">
      <alignment horizontal="left" vertical="center"/>
    </xf>
    <xf numFmtId="0" fontId="2" fillId="0" borderId="1" xfId="4" applyNumberFormat="1" applyFont="1" applyFill="1" applyBorder="1" applyAlignment="1" applyProtection="1">
      <alignment horizontal="center" vertical="center"/>
    </xf>
    <xf numFmtId="165" fontId="18" fillId="0" borderId="1" xfId="4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0" xfId="0" quotePrefix="1" applyFont="1" applyAlignment="1">
      <alignment horizontal="center" vertical="center"/>
    </xf>
    <xf numFmtId="37" fontId="17" fillId="18" borderId="1" xfId="0" applyNumberFormat="1" applyFont="1" applyFill="1" applyBorder="1" applyAlignment="1">
      <alignment vertical="center"/>
    </xf>
    <xf numFmtId="166" fontId="3" fillId="0" borderId="1" xfId="4" applyNumberFormat="1" applyFont="1" applyFill="1" applyBorder="1" applyAlignment="1" applyProtection="1">
      <alignment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37" fontId="3" fillId="0" borderId="37" xfId="0" applyNumberFormat="1" applyFont="1" applyBorder="1" applyAlignment="1">
      <alignment horizontal="centerContinuous" vertical="center"/>
    </xf>
    <xf numFmtId="10" fontId="3" fillId="0" borderId="38" xfId="0" applyNumberFormat="1" applyFont="1" applyBorder="1" applyAlignment="1">
      <alignment horizontal="centerContinuous" vertical="center"/>
    </xf>
    <xf numFmtId="0" fontId="3" fillId="0" borderId="38" xfId="0" applyFont="1" applyBorder="1" applyAlignment="1">
      <alignment horizontal="centerContinuous" vertical="center"/>
    </xf>
    <xf numFmtId="3" fontId="3" fillId="0" borderId="38" xfId="0" applyNumberFormat="1" applyFont="1" applyBorder="1" applyAlignment="1">
      <alignment horizontal="centerContinuous" vertical="center"/>
    </xf>
    <xf numFmtId="0" fontId="3" fillId="0" borderId="39" xfId="0" applyFont="1" applyBorder="1" applyAlignment="1">
      <alignment horizontal="centerContinuous" vertical="center"/>
    </xf>
    <xf numFmtId="0" fontId="3" fillId="0" borderId="37" xfId="0" applyFont="1" applyBorder="1" applyAlignment="1">
      <alignment horizontal="centerContinuous" vertical="center"/>
    </xf>
    <xf numFmtId="10" fontId="3" fillId="0" borderId="39" xfId="0" applyNumberFormat="1" applyFont="1" applyBorder="1" applyAlignment="1">
      <alignment horizontal="centerContinuous" vertical="center"/>
    </xf>
    <xf numFmtId="0" fontId="16" fillId="0" borderId="1" xfId="0" applyFont="1" applyBorder="1" applyAlignment="1">
      <alignment horizontal="center" vertical="center"/>
    </xf>
    <xf numFmtId="9" fontId="6" fillId="0" borderId="0" xfId="5" applyFont="1" applyBorder="1" applyAlignment="1">
      <alignment vertical="center"/>
    </xf>
    <xf numFmtId="10" fontId="6" fillId="0" borderId="0" xfId="5" applyNumberFormat="1" applyFont="1" applyBorder="1" applyAlignment="1">
      <alignment vertical="center"/>
    </xf>
    <xf numFmtId="9" fontId="6" fillId="0" borderId="0" xfId="1" applyNumberFormat="1" applyFont="1" applyBorder="1" applyAlignment="1">
      <alignment vertical="center"/>
    </xf>
    <xf numFmtId="167" fontId="16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7" fontId="2" fillId="0" borderId="1" xfId="4" applyNumberFormat="1" applyFont="1" applyFill="1" applyBorder="1" applyAlignment="1" applyProtection="1">
      <alignment vertical="center"/>
    </xf>
    <xf numFmtId="167" fontId="2" fillId="0" borderId="1" xfId="1" applyNumberFormat="1" applyFont="1" applyFill="1" applyBorder="1" applyAlignment="1" applyProtection="1">
      <alignment vertical="center"/>
    </xf>
    <xf numFmtId="167" fontId="6" fillId="0" borderId="1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9" fontId="3" fillId="0" borderId="38" xfId="5" applyFont="1" applyBorder="1" applyAlignment="1">
      <alignment horizontal="centerContinuous" vertical="center"/>
    </xf>
    <xf numFmtId="9" fontId="3" fillId="0" borderId="39" xfId="5" applyFont="1" applyBorder="1" applyAlignment="1">
      <alignment horizontal="centerContinuous" vertical="center"/>
    </xf>
    <xf numFmtId="37" fontId="16" fillId="0" borderId="34" xfId="0" applyNumberFormat="1" applyFont="1" applyBorder="1" applyAlignment="1">
      <alignment horizontal="center" vertical="center"/>
    </xf>
    <xf numFmtId="10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10" fontId="16" fillId="0" borderId="3" xfId="0" applyNumberFormat="1" applyFont="1" applyBorder="1" applyAlignment="1">
      <alignment horizontal="center" vertical="center"/>
    </xf>
    <xf numFmtId="9" fontId="16" fillId="0" borderId="1" xfId="5" applyFont="1" applyBorder="1" applyAlignment="1">
      <alignment horizontal="center" vertical="center"/>
    </xf>
    <xf numFmtId="167" fontId="6" fillId="0" borderId="34" xfId="1" applyNumberFormat="1" applyFont="1" applyBorder="1" applyAlignment="1">
      <alignment vertical="center"/>
    </xf>
    <xf numFmtId="9" fontId="6" fillId="0" borderId="1" xfId="5" applyFont="1" applyBorder="1" applyAlignment="1">
      <alignment vertical="center"/>
    </xf>
    <xf numFmtId="167" fontId="16" fillId="0" borderId="1" xfId="1" applyNumberFormat="1" applyFont="1" applyBorder="1" applyAlignment="1">
      <alignment vertical="center"/>
    </xf>
    <xf numFmtId="167" fontId="16" fillId="0" borderId="34" xfId="1" applyNumberFormat="1" applyFont="1" applyBorder="1" applyAlignment="1">
      <alignment vertical="center"/>
    </xf>
    <xf numFmtId="9" fontId="16" fillId="0" borderId="1" xfId="5" applyFont="1" applyBorder="1" applyAlignment="1">
      <alignment vertical="center"/>
    </xf>
    <xf numFmtId="10" fontId="6" fillId="0" borderId="1" xfId="5" applyNumberFormat="1" applyFont="1" applyBorder="1" applyAlignment="1">
      <alignment vertical="center"/>
    </xf>
    <xf numFmtId="10" fontId="6" fillId="0" borderId="34" xfId="5" applyNumberFormat="1" applyFont="1" applyBorder="1" applyAlignment="1">
      <alignment vertical="center"/>
    </xf>
    <xf numFmtId="10" fontId="16" fillId="0" borderId="1" xfId="5" applyNumberFormat="1" applyFont="1" applyBorder="1"/>
    <xf numFmtId="10" fontId="16" fillId="0" borderId="1" xfId="1" applyNumberFormat="1" applyFont="1" applyBorder="1" applyAlignment="1">
      <alignment vertical="center"/>
    </xf>
    <xf numFmtId="10" fontId="16" fillId="0" borderId="1" xfId="5" applyNumberFormat="1" applyFont="1" applyBorder="1" applyAlignment="1">
      <alignment vertical="center"/>
    </xf>
    <xf numFmtId="10" fontId="16" fillId="0" borderId="34" xfId="1" applyNumberFormat="1" applyFont="1" applyBorder="1" applyAlignment="1">
      <alignment vertical="center"/>
    </xf>
    <xf numFmtId="10" fontId="16" fillId="0" borderId="34" xfId="5" applyNumberFormat="1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167" fontId="6" fillId="7" borderId="1" xfId="1" applyNumberFormat="1" applyFont="1" applyFill="1" applyBorder="1" applyAlignment="1">
      <alignment vertical="center"/>
    </xf>
    <xf numFmtId="43" fontId="6" fillId="7" borderId="1" xfId="1" applyFont="1" applyFill="1" applyBorder="1" applyAlignment="1">
      <alignment vertical="center"/>
    </xf>
    <xf numFmtId="9" fontId="6" fillId="7" borderId="1" xfId="5" applyFont="1" applyFill="1" applyBorder="1" applyAlignment="1">
      <alignment vertical="center"/>
    </xf>
    <xf numFmtId="43" fontId="6" fillId="0" borderId="1" xfId="1" applyFont="1" applyBorder="1" applyAlignment="1">
      <alignment vertical="center"/>
    </xf>
    <xf numFmtId="0" fontId="16" fillId="15" borderId="1" xfId="0" applyFont="1" applyFill="1" applyBorder="1" applyAlignment="1">
      <alignment horizontal="center" vertical="center"/>
    </xf>
    <xf numFmtId="167" fontId="16" fillId="15" borderId="1" xfId="1" applyNumberFormat="1" applyFont="1" applyFill="1" applyBorder="1" applyAlignment="1">
      <alignment vertical="center"/>
    </xf>
    <xf numFmtId="10" fontId="16" fillId="15" borderId="1" xfId="5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7" fontId="6" fillId="6" borderId="1" xfId="1" applyNumberFormat="1" applyFont="1" applyFill="1" applyBorder="1" applyAlignment="1">
      <alignment vertical="center"/>
    </xf>
    <xf numFmtId="10" fontId="6" fillId="6" borderId="1" xfId="5" applyNumberFormat="1" applyFont="1" applyFill="1" applyBorder="1" applyAlignment="1">
      <alignment vertical="center"/>
    </xf>
    <xf numFmtId="9" fontId="6" fillId="0" borderId="1" xfId="1" applyNumberFormat="1" applyFont="1" applyBorder="1" applyAlignment="1">
      <alignment vertical="center"/>
    </xf>
    <xf numFmtId="10" fontId="6" fillId="7" borderId="1" xfId="5" applyNumberFormat="1" applyFont="1" applyFill="1" applyBorder="1" applyAlignment="1">
      <alignment vertical="center"/>
    </xf>
    <xf numFmtId="9" fontId="6" fillId="7" borderId="1" xfId="1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49" fontId="3" fillId="15" borderId="1" xfId="0" applyNumberFormat="1" applyFont="1" applyFill="1" applyBorder="1" applyAlignment="1">
      <alignment horizontal="center" vertical="center"/>
    </xf>
    <xf numFmtId="167" fontId="3" fillId="15" borderId="1" xfId="1" applyNumberFormat="1" applyFont="1" applyFill="1" applyBorder="1" applyAlignment="1">
      <alignment vertical="center"/>
    </xf>
    <xf numFmtId="10" fontId="3" fillId="15" borderId="1" xfId="5" applyNumberFormat="1" applyFont="1" applyFill="1" applyBorder="1" applyAlignment="1">
      <alignment vertical="center"/>
    </xf>
    <xf numFmtId="167" fontId="6" fillId="0" borderId="1" xfId="1" applyNumberFormat="1" applyFont="1" applyFill="1" applyBorder="1" applyAlignment="1">
      <alignment vertical="center"/>
    </xf>
    <xf numFmtId="10" fontId="6" fillId="0" borderId="1" xfId="5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49" fontId="2" fillId="5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2" fillId="5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167" fontId="6" fillId="0" borderId="38" xfId="1" applyNumberFormat="1" applyFont="1" applyBorder="1" applyAlignment="1">
      <alignment vertical="center"/>
    </xf>
    <xf numFmtId="9" fontId="6" fillId="0" borderId="38" xfId="5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49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49" fontId="12" fillId="4" borderId="0" xfId="0" applyNumberFormat="1" applyFont="1" applyFill="1" applyAlignment="1">
      <alignment horizontal="center" vertical="center"/>
    </xf>
    <xf numFmtId="49" fontId="12" fillId="4" borderId="0" xfId="0" quotePrefix="1" applyNumberFormat="1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49" fontId="12" fillId="5" borderId="0" xfId="0" applyNumberFormat="1" applyFont="1" applyFill="1" applyAlignment="1">
      <alignment horizontal="center" vertical="center"/>
    </xf>
    <xf numFmtId="49" fontId="12" fillId="5" borderId="0" xfId="0" quotePrefix="1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quotePrefix="1" applyNumberFormat="1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5" borderId="0" xfId="0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49" fontId="12" fillId="5" borderId="0" xfId="0" applyNumberFormat="1" applyFont="1" applyFill="1" applyAlignment="1">
      <alignment horizontal="left" vertical="center"/>
    </xf>
    <xf numFmtId="49" fontId="12" fillId="4" borderId="0" xfId="0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9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wrapText="1"/>
    </xf>
    <xf numFmtId="49" fontId="2" fillId="0" borderId="0" xfId="0" applyNumberFormat="1" applyFont="1"/>
    <xf numFmtId="164" fontId="2" fillId="2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164" fontId="2" fillId="7" borderId="1" xfId="0" applyNumberFormat="1" applyFont="1" applyFill="1" applyBorder="1" applyAlignment="1">
      <alignment vertical="center"/>
    </xf>
    <xf numFmtId="164" fontId="2" fillId="11" borderId="1" xfId="0" applyNumberFormat="1" applyFont="1" applyFill="1" applyBorder="1" applyAlignment="1">
      <alignment vertical="center"/>
    </xf>
    <xf numFmtId="167" fontId="6" fillId="11" borderId="1" xfId="1" applyNumberFormat="1" applyFont="1" applyFill="1" applyBorder="1" applyAlignment="1">
      <alignment vertical="center"/>
    </xf>
    <xf numFmtId="167" fontId="12" fillId="0" borderId="0" xfId="1" applyNumberFormat="1" applyFont="1" applyBorder="1" applyProtection="1">
      <protection locked="0"/>
    </xf>
    <xf numFmtId="167" fontId="13" fillId="16" borderId="34" xfId="1" applyNumberFormat="1" applyFont="1" applyFill="1" applyBorder="1" applyAlignment="1" applyProtection="1">
      <alignment horizontal="centerContinuous" vertical="center"/>
    </xf>
    <xf numFmtId="167" fontId="13" fillId="16" borderId="35" xfId="1" applyNumberFormat="1" applyFont="1" applyFill="1" applyBorder="1" applyAlignment="1" applyProtection="1">
      <alignment horizontal="center"/>
      <protection locked="0"/>
    </xf>
    <xf numFmtId="167" fontId="15" fillId="0" borderId="1" xfId="1" applyNumberFormat="1" applyFont="1" applyBorder="1"/>
    <xf numFmtId="167" fontId="15" fillId="0" borderId="0" xfId="1" applyNumberFormat="1" applyFont="1"/>
    <xf numFmtId="167" fontId="13" fillId="16" borderId="3" xfId="1" applyNumberFormat="1" applyFont="1" applyFill="1" applyBorder="1" applyAlignment="1" applyProtection="1">
      <alignment horizontal="centerContinuous"/>
      <protection locked="0"/>
    </xf>
    <xf numFmtId="167" fontId="13" fillId="16" borderId="34" xfId="1" applyNumberFormat="1" applyFont="1" applyFill="1" applyBorder="1" applyAlignment="1" applyProtection="1">
      <alignment horizontal="centerContinuous" vertical="center"/>
      <protection locked="0"/>
    </xf>
    <xf numFmtId="167" fontId="13" fillId="16" borderId="1" xfId="1" applyNumberFormat="1" applyFont="1" applyFill="1" applyBorder="1" applyAlignment="1" applyProtection="1">
      <alignment horizontal="center"/>
    </xf>
    <xf numFmtId="167" fontId="12" fillId="0" borderId="0" xfId="1" applyNumberFormat="1" applyFont="1" applyBorder="1" applyProtection="1"/>
    <xf numFmtId="167" fontId="13" fillId="16" borderId="33" xfId="1" applyNumberFormat="1" applyFont="1" applyFill="1" applyBorder="1" applyAlignment="1">
      <alignment horizontal="center" vertical="center"/>
    </xf>
    <xf numFmtId="167" fontId="13" fillId="17" borderId="1" xfId="1" applyNumberFormat="1" applyFont="1" applyFill="1" applyBorder="1" applyAlignment="1" applyProtection="1">
      <alignment horizontal="center"/>
    </xf>
    <xf numFmtId="167" fontId="13" fillId="16" borderId="2" xfId="1" applyNumberFormat="1" applyFont="1" applyFill="1" applyBorder="1" applyAlignment="1" applyProtection="1">
      <alignment horizontal="centerContinuous" vertical="center"/>
      <protection locked="0"/>
    </xf>
    <xf numFmtId="167" fontId="13" fillId="16" borderId="1" xfId="1" applyNumberFormat="1" applyFont="1" applyFill="1" applyBorder="1" applyAlignment="1">
      <alignment horizontal="center"/>
    </xf>
    <xf numFmtId="167" fontId="13" fillId="16" borderId="3" xfId="1" applyNumberFormat="1" applyFont="1" applyFill="1" applyBorder="1" applyAlignment="1" applyProtection="1">
      <alignment horizontal="centerContinuous" vertical="center"/>
      <protection locked="0"/>
    </xf>
    <xf numFmtId="43" fontId="15" fillId="0" borderId="1" xfId="1" applyFont="1" applyBorder="1"/>
    <xf numFmtId="9" fontId="15" fillId="0" borderId="0" xfId="1" applyNumberFormat="1" applyFont="1"/>
    <xf numFmtId="10" fontId="15" fillId="0" borderId="0" xfId="1" applyNumberFormat="1" applyFont="1"/>
    <xf numFmtId="10" fontId="15" fillId="0" borderId="0" xfId="0" applyNumberFormat="1" applyFont="1"/>
    <xf numFmtId="41" fontId="6" fillId="0" borderId="1" xfId="6" applyFont="1" applyBorder="1" applyAlignment="1">
      <alignment vertical="center"/>
    </xf>
    <xf numFmtId="41" fontId="2" fillId="2" borderId="1" xfId="6" applyFont="1" applyFill="1" applyBorder="1" applyAlignment="1">
      <alignment vertical="center"/>
    </xf>
    <xf numFmtId="41" fontId="2" fillId="3" borderId="1" xfId="6" applyFont="1" applyFill="1" applyBorder="1" applyAlignment="1">
      <alignment vertical="center"/>
    </xf>
    <xf numFmtId="41" fontId="2" fillId="4" borderId="1" xfId="6" applyFont="1" applyFill="1" applyBorder="1" applyAlignment="1">
      <alignment vertical="center"/>
    </xf>
    <xf numFmtId="41" fontId="2" fillId="5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1" xfId="6" applyFont="1" applyFill="1" applyBorder="1" applyAlignment="1" applyProtection="1">
      <alignment horizontal="left" vertical="center"/>
    </xf>
    <xf numFmtId="167" fontId="13" fillId="0" borderId="1" xfId="7" applyNumberFormat="1" applyFont="1" applyBorder="1" applyAlignment="1" applyProtection="1">
      <alignment horizontal="center"/>
      <protection locked="0"/>
    </xf>
    <xf numFmtId="41" fontId="15" fillId="0" borderId="1" xfId="6" applyFont="1" applyBorder="1"/>
    <xf numFmtId="0" fontId="13" fillId="0" borderId="1" xfId="7" applyFont="1" applyBorder="1" applyAlignment="1">
      <alignment horizontal="left" vertical="center"/>
    </xf>
    <xf numFmtId="41" fontId="13" fillId="0" borderId="1" xfId="6" applyFont="1" applyFill="1" applyBorder="1" applyAlignment="1">
      <alignment horizontal="center"/>
    </xf>
    <xf numFmtId="0" fontId="6" fillId="11" borderId="0" xfId="0" applyFont="1" applyFill="1" applyAlignment="1">
      <alignment vertical="center"/>
    </xf>
    <xf numFmtId="49" fontId="2" fillId="11" borderId="1" xfId="0" applyNumberFormat="1" applyFont="1" applyFill="1" applyBorder="1" applyAlignment="1">
      <alignment vertical="center"/>
    </xf>
    <xf numFmtId="41" fontId="2" fillId="11" borderId="1" xfId="6" applyFont="1" applyFill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7" fontId="6" fillId="0" borderId="0" xfId="5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41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166" fontId="16" fillId="0" borderId="1" xfId="1" applyNumberFormat="1" applyFont="1" applyBorder="1" applyAlignment="1">
      <alignment vertical="center"/>
    </xf>
    <xf numFmtId="9" fontId="16" fillId="15" borderId="1" xfId="5" applyFont="1" applyFill="1" applyBorder="1" applyAlignment="1">
      <alignment vertical="center"/>
    </xf>
    <xf numFmtId="166" fontId="6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6" fontId="3" fillId="18" borderId="1" xfId="4" applyNumberFormat="1" applyFont="1" applyFill="1" applyBorder="1" applyAlignment="1" applyProtection="1">
      <alignment horizontal="center" vertical="center"/>
    </xf>
    <xf numFmtId="169" fontId="3" fillId="18" borderId="34" xfId="0" applyNumberFormat="1" applyFont="1" applyFill="1" applyBorder="1" applyAlignment="1">
      <alignment horizontal="center" vertical="center"/>
    </xf>
    <xf numFmtId="169" fontId="3" fillId="18" borderId="2" xfId="0" applyNumberFormat="1" applyFont="1" applyFill="1" applyBorder="1" applyAlignment="1">
      <alignment horizontal="center" vertical="center"/>
    </xf>
    <xf numFmtId="169" fontId="3" fillId="18" borderId="3" xfId="0" applyNumberFormat="1" applyFont="1" applyFill="1" applyBorder="1" applyAlignment="1">
      <alignment horizontal="center" vertical="center"/>
    </xf>
    <xf numFmtId="17" fontId="3" fillId="0" borderId="1" xfId="1" applyNumberFormat="1" applyFont="1" applyFill="1" applyBorder="1" applyAlignment="1">
      <alignment horizontal="center"/>
    </xf>
    <xf numFmtId="166" fontId="17" fillId="0" borderId="1" xfId="4" applyNumberFormat="1" applyFont="1" applyFill="1" applyBorder="1" applyAlignment="1" applyProtection="1">
      <alignment horizontal="center" vertical="center"/>
    </xf>
    <xf numFmtId="0" fontId="3" fillId="0" borderId="1" xfId="8" applyFont="1" applyBorder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 vertical="center"/>
    </xf>
    <xf numFmtId="169" fontId="17" fillId="0" borderId="1" xfId="0" applyNumberFormat="1" applyFont="1" applyBorder="1" applyAlignment="1">
      <alignment horizontal="center" vertical="center" wrapText="1"/>
    </xf>
    <xf numFmtId="37" fontId="17" fillId="0" borderId="1" xfId="0" applyNumberFormat="1" applyFont="1" applyBorder="1" applyAlignment="1">
      <alignment horizontal="center" vertical="center"/>
    </xf>
    <xf numFmtId="170" fontId="17" fillId="0" borderId="1" xfId="4" applyNumberFormat="1" applyFont="1" applyFill="1" applyBorder="1" applyAlignment="1" applyProtection="1">
      <alignment horizontal="center" vertical="center"/>
    </xf>
    <xf numFmtId="37" fontId="17" fillId="0" borderId="1" xfId="0" applyNumberFormat="1" applyFont="1" applyBorder="1" applyAlignment="1">
      <alignment horizontal="center" vertical="center" wrapText="1"/>
    </xf>
    <xf numFmtId="171" fontId="17" fillId="0" borderId="1" xfId="4" applyNumberFormat="1" applyFont="1" applyFill="1" applyBorder="1" applyAlignment="1" applyProtection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9" fontId="17" fillId="0" borderId="33" xfId="0" applyNumberFormat="1" applyFont="1" applyBorder="1" applyAlignment="1">
      <alignment horizontal="center" vertical="center" wrapText="1"/>
    </xf>
    <xf numFmtId="169" fontId="17" fillId="0" borderId="36" xfId="0" applyNumberFormat="1" applyFont="1" applyBorder="1" applyAlignment="1">
      <alignment horizontal="center" vertical="center" wrapText="1"/>
    </xf>
    <xf numFmtId="169" fontId="17" fillId="0" borderId="35" xfId="0" applyNumberFormat="1" applyFont="1" applyBorder="1" applyAlignment="1">
      <alignment horizontal="center" vertical="center" wrapText="1"/>
    </xf>
    <xf numFmtId="166" fontId="3" fillId="0" borderId="1" xfId="4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167" fontId="13" fillId="0" borderId="0" xfId="1" applyNumberFormat="1" applyFont="1" applyAlignment="1">
      <alignment horizontal="center" vertical="center"/>
    </xf>
    <xf numFmtId="0" fontId="13" fillId="0" borderId="0" xfId="7" applyFont="1" applyAlignment="1">
      <alignment horizontal="center" vertical="center"/>
    </xf>
    <xf numFmtId="41" fontId="13" fillId="0" borderId="0" xfId="6" applyFont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0">
    <cellStyle name="20% - Accent2" xfId="2" builtinId="34"/>
    <cellStyle name="Comma" xfId="1" builtinId="3"/>
    <cellStyle name="Comma [0]" xfId="6" builtinId="6"/>
    <cellStyle name="Comma [0] 2" xfId="9" xr:uid="{00000000-0005-0000-0000-000003000000}"/>
    <cellStyle name="Comma 2" xfId="4" xr:uid="{00000000-0005-0000-0000-000004000000}"/>
    <cellStyle name="Normal" xfId="0" builtinId="0"/>
    <cellStyle name="Normal 2" xfId="3" xr:uid="{00000000-0005-0000-0000-000006000000}"/>
    <cellStyle name="Normal 2_E. Fixed Asset_Des 2010 " xfId="8" xr:uid="{00000000-0005-0000-0000-000007000000}"/>
    <cellStyle name="Normal_10 - AR pst 1012" xfId="7" xr:uid="{00000000-0005-0000-0000-000008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emerioF/Indomobil/LK%200212/ITN%20PIK%20Cash%20Flow%20dan%20Head%20Count%20IFR%20021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AYAHHH/Marina%20Hospitality/Financial%20Projection%20Marina%20Jamp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Master List"/>
      <sheetName val="Gaji"/>
      <sheetName val="Cash Flow"/>
      <sheetName val="Cash Flow Details Jan"/>
      <sheetName val="Cash Flow Details Feb"/>
      <sheetName val="Cash Flow Details Mar"/>
      <sheetName val="Cash Flow Details Apr"/>
      <sheetName val="Cash Flow Details Mei"/>
      <sheetName val="Cash Flow Details Juni"/>
      <sheetName val="Cash Flow Details Juli"/>
      <sheetName val="Cash Flow Details Agt"/>
      <sheetName val="Cash Flow Details Sept"/>
      <sheetName val="Cash Flow Details Okt"/>
      <sheetName val="Cash Flow Details Nov"/>
      <sheetName val="Cash Flow Details Des"/>
      <sheetName val="Cash Flow Details YTD"/>
      <sheetName val="TB"/>
      <sheetName val="KO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TABLE OF CONTENTS"/>
      <sheetName val="INTRODUCTION"/>
      <sheetName val="STATISTIC"/>
      <sheetName val="10Years"/>
      <sheetName val="1 Year Consolidated"/>
      <sheetName val="SUMMARY 1 YEARS"/>
      <sheetName val="ROOM DIVISION"/>
      <sheetName val="F&amp;B"/>
      <sheetName val="PHONE"/>
      <sheetName val="MOD"/>
      <sheetName val="BCT"/>
      <sheetName val="OTHERS"/>
      <sheetName val="OTI"/>
      <sheetName val="L'DRY"/>
      <sheetName val="A&amp;G"/>
      <sheetName val="HRD"/>
      <sheetName val="S&amp;M"/>
      <sheetName val="POMEC"/>
      <sheetName val="PAYROLL Y1"/>
      <sheetName val="REV.YTD-MTD"/>
      <sheetName val="BUDGET SEGMENTATION"/>
      <sheetName val="RATE STRUCTURE"/>
      <sheetName val="COST PER ROOM"/>
      <sheetName val="samling logo"/>
      <sheetName val="back cover (2)"/>
      <sheetName val="Sheet1"/>
    </sheetNames>
    <sheetDataSet>
      <sheetData sheetId="0"/>
      <sheetData sheetId="1"/>
      <sheetData sheetId="2">
        <row r="44">
          <cell r="H44">
            <v>83220.290279433699</v>
          </cell>
        </row>
      </sheetData>
      <sheetData sheetId="3">
        <row r="25">
          <cell r="N25">
            <v>85988000</v>
          </cell>
        </row>
      </sheetData>
      <sheetData sheetId="4"/>
      <sheetData sheetId="5">
        <row r="8">
          <cell r="Z8">
            <v>13505</v>
          </cell>
        </row>
        <row r="10">
          <cell r="Z10">
            <v>0.63583333333333325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0">
          <cell r="N60">
            <v>189173600</v>
          </cell>
        </row>
      </sheetData>
      <sheetData sheetId="19">
        <row r="88">
          <cell r="AG88">
            <v>265432960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649"/>
  <sheetViews>
    <sheetView workbookViewId="0">
      <pane ySplit="3" topLeftCell="A4" activePane="bottomLeft" state="frozen"/>
      <selection pane="bottomLeft" activeCell="R657" sqref="R657"/>
    </sheetView>
  </sheetViews>
  <sheetFormatPr defaultRowHeight="10.5" x14ac:dyDescent="0.25"/>
  <cols>
    <col min="1" max="3" width="1.81640625" style="2" bestFit="1" customWidth="1"/>
    <col min="4" max="4" width="2.7265625" style="2" bestFit="1" customWidth="1"/>
    <col min="5" max="5" width="3.6328125" style="2" bestFit="1" customWidth="1"/>
    <col min="6" max="6" width="36.6328125" style="1" customWidth="1"/>
    <col min="7" max="7" width="5" style="220" bestFit="1" customWidth="1"/>
    <col min="8" max="8" width="4.08984375" style="220" bestFit="1" customWidth="1"/>
    <col min="9" max="9" width="0" style="220" hidden="1" customWidth="1"/>
    <col min="10" max="11" width="9.08984375" style="220"/>
    <col min="12" max="12" width="6" style="2" customWidth="1"/>
    <col min="13" max="13" width="6.6328125" style="1" customWidth="1"/>
    <col min="14" max="236" width="9.08984375" style="1"/>
    <col min="237" max="238" width="9.08984375" style="1" customWidth="1"/>
    <col min="239" max="241" width="1.81640625" style="1" bestFit="1" customWidth="1"/>
    <col min="242" max="242" width="2.7265625" style="1" bestFit="1" customWidth="1"/>
    <col min="243" max="243" width="3.6328125" style="1" bestFit="1" customWidth="1"/>
    <col min="244" max="244" width="55.6328125" style="1" bestFit="1" customWidth="1"/>
    <col min="245" max="245" width="5" style="1" bestFit="1" customWidth="1"/>
    <col min="246" max="246" width="11.26953125" style="1" bestFit="1" customWidth="1"/>
    <col min="247" max="247" width="13.26953125" style="1" bestFit="1" customWidth="1"/>
    <col min="248" max="248" width="7.08984375" style="1" customWidth="1"/>
    <col min="249" max="249" width="10.08984375" style="1" bestFit="1" customWidth="1"/>
    <col min="250" max="250" width="14.36328125" style="1" bestFit="1" customWidth="1"/>
    <col min="251" max="251" width="8.81640625" style="1" bestFit="1" customWidth="1"/>
    <col min="252" max="252" width="7.6328125" style="1" bestFit="1" customWidth="1"/>
    <col min="253" max="253" width="19" style="1" bestFit="1" customWidth="1"/>
    <col min="254" max="492" width="9.08984375" style="1"/>
    <col min="493" max="494" width="9.08984375" style="1" customWidth="1"/>
    <col min="495" max="497" width="1.81640625" style="1" bestFit="1" customWidth="1"/>
    <col min="498" max="498" width="2.7265625" style="1" bestFit="1" customWidth="1"/>
    <col min="499" max="499" width="3.6328125" style="1" bestFit="1" customWidth="1"/>
    <col min="500" max="500" width="55.6328125" style="1" bestFit="1" customWidth="1"/>
    <col min="501" max="501" width="5" style="1" bestFit="1" customWidth="1"/>
    <col min="502" max="502" width="11.26953125" style="1" bestFit="1" customWidth="1"/>
    <col min="503" max="503" width="13.26953125" style="1" bestFit="1" customWidth="1"/>
    <col min="504" max="504" width="7.08984375" style="1" customWidth="1"/>
    <col min="505" max="505" width="10.08984375" style="1" bestFit="1" customWidth="1"/>
    <col min="506" max="506" width="14.36328125" style="1" bestFit="1" customWidth="1"/>
    <col min="507" max="507" width="8.81640625" style="1" bestFit="1" customWidth="1"/>
    <col min="508" max="508" width="7.6328125" style="1" bestFit="1" customWidth="1"/>
    <col min="509" max="509" width="19" style="1" bestFit="1" customWidth="1"/>
    <col min="510" max="748" width="9.08984375" style="1"/>
    <col min="749" max="750" width="9.08984375" style="1" customWidth="1"/>
    <col min="751" max="753" width="1.81640625" style="1" bestFit="1" customWidth="1"/>
    <col min="754" max="754" width="2.7265625" style="1" bestFit="1" customWidth="1"/>
    <col min="755" max="755" width="3.6328125" style="1" bestFit="1" customWidth="1"/>
    <col min="756" max="756" width="55.6328125" style="1" bestFit="1" customWidth="1"/>
    <col min="757" max="757" width="5" style="1" bestFit="1" customWidth="1"/>
    <col min="758" max="758" width="11.26953125" style="1" bestFit="1" customWidth="1"/>
    <col min="759" max="759" width="13.26953125" style="1" bestFit="1" customWidth="1"/>
    <col min="760" max="760" width="7.08984375" style="1" customWidth="1"/>
    <col min="761" max="761" width="10.08984375" style="1" bestFit="1" customWidth="1"/>
    <col min="762" max="762" width="14.36328125" style="1" bestFit="1" customWidth="1"/>
    <col min="763" max="763" width="8.81640625" style="1" bestFit="1" customWidth="1"/>
    <col min="764" max="764" width="7.6328125" style="1" bestFit="1" customWidth="1"/>
    <col min="765" max="765" width="19" style="1" bestFit="1" customWidth="1"/>
    <col min="766" max="1004" width="9.08984375" style="1"/>
    <col min="1005" max="1006" width="9.08984375" style="1" customWidth="1"/>
    <col min="1007" max="1009" width="1.81640625" style="1" bestFit="1" customWidth="1"/>
    <col min="1010" max="1010" width="2.7265625" style="1" bestFit="1" customWidth="1"/>
    <col min="1011" max="1011" width="3.6328125" style="1" bestFit="1" customWidth="1"/>
    <col min="1012" max="1012" width="55.6328125" style="1" bestFit="1" customWidth="1"/>
    <col min="1013" max="1013" width="5" style="1" bestFit="1" customWidth="1"/>
    <col min="1014" max="1014" width="11.26953125" style="1" bestFit="1" customWidth="1"/>
    <col min="1015" max="1015" width="13.26953125" style="1" bestFit="1" customWidth="1"/>
    <col min="1016" max="1016" width="7.08984375" style="1" customWidth="1"/>
    <col min="1017" max="1017" width="10.08984375" style="1" bestFit="1" customWidth="1"/>
    <col min="1018" max="1018" width="14.36328125" style="1" bestFit="1" customWidth="1"/>
    <col min="1019" max="1019" width="8.81640625" style="1" bestFit="1" customWidth="1"/>
    <col min="1020" max="1020" width="7.6328125" style="1" bestFit="1" customWidth="1"/>
    <col min="1021" max="1021" width="19" style="1" bestFit="1" customWidth="1"/>
    <col min="1022" max="1260" width="9.08984375" style="1"/>
    <col min="1261" max="1262" width="9.08984375" style="1" customWidth="1"/>
    <col min="1263" max="1265" width="1.81640625" style="1" bestFit="1" customWidth="1"/>
    <col min="1266" max="1266" width="2.7265625" style="1" bestFit="1" customWidth="1"/>
    <col min="1267" max="1267" width="3.6328125" style="1" bestFit="1" customWidth="1"/>
    <col min="1268" max="1268" width="55.6328125" style="1" bestFit="1" customWidth="1"/>
    <col min="1269" max="1269" width="5" style="1" bestFit="1" customWidth="1"/>
    <col min="1270" max="1270" width="11.26953125" style="1" bestFit="1" customWidth="1"/>
    <col min="1271" max="1271" width="13.26953125" style="1" bestFit="1" customWidth="1"/>
    <col min="1272" max="1272" width="7.08984375" style="1" customWidth="1"/>
    <col min="1273" max="1273" width="10.08984375" style="1" bestFit="1" customWidth="1"/>
    <col min="1274" max="1274" width="14.36328125" style="1" bestFit="1" customWidth="1"/>
    <col min="1275" max="1275" width="8.81640625" style="1" bestFit="1" customWidth="1"/>
    <col min="1276" max="1276" width="7.6328125" style="1" bestFit="1" customWidth="1"/>
    <col min="1277" max="1277" width="19" style="1" bestFit="1" customWidth="1"/>
    <col min="1278" max="1516" width="9.08984375" style="1"/>
    <col min="1517" max="1518" width="9.08984375" style="1" customWidth="1"/>
    <col min="1519" max="1521" width="1.81640625" style="1" bestFit="1" customWidth="1"/>
    <col min="1522" max="1522" width="2.7265625" style="1" bestFit="1" customWidth="1"/>
    <col min="1523" max="1523" width="3.6328125" style="1" bestFit="1" customWidth="1"/>
    <col min="1524" max="1524" width="55.6328125" style="1" bestFit="1" customWidth="1"/>
    <col min="1525" max="1525" width="5" style="1" bestFit="1" customWidth="1"/>
    <col min="1526" max="1526" width="11.26953125" style="1" bestFit="1" customWidth="1"/>
    <col min="1527" max="1527" width="13.26953125" style="1" bestFit="1" customWidth="1"/>
    <col min="1528" max="1528" width="7.08984375" style="1" customWidth="1"/>
    <col min="1529" max="1529" width="10.08984375" style="1" bestFit="1" customWidth="1"/>
    <col min="1530" max="1530" width="14.36328125" style="1" bestFit="1" customWidth="1"/>
    <col min="1531" max="1531" width="8.81640625" style="1" bestFit="1" customWidth="1"/>
    <col min="1532" max="1532" width="7.6328125" style="1" bestFit="1" customWidth="1"/>
    <col min="1533" max="1533" width="19" style="1" bestFit="1" customWidth="1"/>
    <col min="1534" max="1772" width="9.08984375" style="1"/>
    <col min="1773" max="1774" width="9.08984375" style="1" customWidth="1"/>
    <col min="1775" max="1777" width="1.81640625" style="1" bestFit="1" customWidth="1"/>
    <col min="1778" max="1778" width="2.7265625" style="1" bestFit="1" customWidth="1"/>
    <col min="1779" max="1779" width="3.6328125" style="1" bestFit="1" customWidth="1"/>
    <col min="1780" max="1780" width="55.6328125" style="1" bestFit="1" customWidth="1"/>
    <col min="1781" max="1781" width="5" style="1" bestFit="1" customWidth="1"/>
    <col min="1782" max="1782" width="11.26953125" style="1" bestFit="1" customWidth="1"/>
    <col min="1783" max="1783" width="13.26953125" style="1" bestFit="1" customWidth="1"/>
    <col min="1784" max="1784" width="7.08984375" style="1" customWidth="1"/>
    <col min="1785" max="1785" width="10.08984375" style="1" bestFit="1" customWidth="1"/>
    <col min="1786" max="1786" width="14.36328125" style="1" bestFit="1" customWidth="1"/>
    <col min="1787" max="1787" width="8.81640625" style="1" bestFit="1" customWidth="1"/>
    <col min="1788" max="1788" width="7.6328125" style="1" bestFit="1" customWidth="1"/>
    <col min="1789" max="1789" width="19" style="1" bestFit="1" customWidth="1"/>
    <col min="1790" max="2028" width="9.08984375" style="1"/>
    <col min="2029" max="2030" width="9.08984375" style="1" customWidth="1"/>
    <col min="2031" max="2033" width="1.81640625" style="1" bestFit="1" customWidth="1"/>
    <col min="2034" max="2034" width="2.7265625" style="1" bestFit="1" customWidth="1"/>
    <col min="2035" max="2035" width="3.6328125" style="1" bestFit="1" customWidth="1"/>
    <col min="2036" max="2036" width="55.6328125" style="1" bestFit="1" customWidth="1"/>
    <col min="2037" max="2037" width="5" style="1" bestFit="1" customWidth="1"/>
    <col min="2038" max="2038" width="11.26953125" style="1" bestFit="1" customWidth="1"/>
    <col min="2039" max="2039" width="13.26953125" style="1" bestFit="1" customWidth="1"/>
    <col min="2040" max="2040" width="7.08984375" style="1" customWidth="1"/>
    <col min="2041" max="2041" width="10.08984375" style="1" bestFit="1" customWidth="1"/>
    <col min="2042" max="2042" width="14.36328125" style="1" bestFit="1" customWidth="1"/>
    <col min="2043" max="2043" width="8.81640625" style="1" bestFit="1" customWidth="1"/>
    <col min="2044" max="2044" width="7.6328125" style="1" bestFit="1" customWidth="1"/>
    <col min="2045" max="2045" width="19" style="1" bestFit="1" customWidth="1"/>
    <col min="2046" max="2284" width="9.08984375" style="1"/>
    <col min="2285" max="2286" width="9.08984375" style="1" customWidth="1"/>
    <col min="2287" max="2289" width="1.81640625" style="1" bestFit="1" customWidth="1"/>
    <col min="2290" max="2290" width="2.7265625" style="1" bestFit="1" customWidth="1"/>
    <col min="2291" max="2291" width="3.6328125" style="1" bestFit="1" customWidth="1"/>
    <col min="2292" max="2292" width="55.6328125" style="1" bestFit="1" customWidth="1"/>
    <col min="2293" max="2293" width="5" style="1" bestFit="1" customWidth="1"/>
    <col min="2294" max="2294" width="11.26953125" style="1" bestFit="1" customWidth="1"/>
    <col min="2295" max="2295" width="13.26953125" style="1" bestFit="1" customWidth="1"/>
    <col min="2296" max="2296" width="7.08984375" style="1" customWidth="1"/>
    <col min="2297" max="2297" width="10.08984375" style="1" bestFit="1" customWidth="1"/>
    <col min="2298" max="2298" width="14.36328125" style="1" bestFit="1" customWidth="1"/>
    <col min="2299" max="2299" width="8.81640625" style="1" bestFit="1" customWidth="1"/>
    <col min="2300" max="2300" width="7.6328125" style="1" bestFit="1" customWidth="1"/>
    <col min="2301" max="2301" width="19" style="1" bestFit="1" customWidth="1"/>
    <col min="2302" max="2540" width="9.08984375" style="1"/>
    <col min="2541" max="2542" width="9.08984375" style="1" customWidth="1"/>
    <col min="2543" max="2545" width="1.81640625" style="1" bestFit="1" customWidth="1"/>
    <col min="2546" max="2546" width="2.7265625" style="1" bestFit="1" customWidth="1"/>
    <col min="2547" max="2547" width="3.6328125" style="1" bestFit="1" customWidth="1"/>
    <col min="2548" max="2548" width="55.6328125" style="1" bestFit="1" customWidth="1"/>
    <col min="2549" max="2549" width="5" style="1" bestFit="1" customWidth="1"/>
    <col min="2550" max="2550" width="11.26953125" style="1" bestFit="1" customWidth="1"/>
    <col min="2551" max="2551" width="13.26953125" style="1" bestFit="1" customWidth="1"/>
    <col min="2552" max="2552" width="7.08984375" style="1" customWidth="1"/>
    <col min="2553" max="2553" width="10.08984375" style="1" bestFit="1" customWidth="1"/>
    <col min="2554" max="2554" width="14.36328125" style="1" bestFit="1" customWidth="1"/>
    <col min="2555" max="2555" width="8.81640625" style="1" bestFit="1" customWidth="1"/>
    <col min="2556" max="2556" width="7.6328125" style="1" bestFit="1" customWidth="1"/>
    <col min="2557" max="2557" width="19" style="1" bestFit="1" customWidth="1"/>
    <col min="2558" max="2796" width="9.08984375" style="1"/>
    <col min="2797" max="2798" width="9.08984375" style="1" customWidth="1"/>
    <col min="2799" max="2801" width="1.81640625" style="1" bestFit="1" customWidth="1"/>
    <col min="2802" max="2802" width="2.7265625" style="1" bestFit="1" customWidth="1"/>
    <col min="2803" max="2803" width="3.6328125" style="1" bestFit="1" customWidth="1"/>
    <col min="2804" max="2804" width="55.6328125" style="1" bestFit="1" customWidth="1"/>
    <col min="2805" max="2805" width="5" style="1" bestFit="1" customWidth="1"/>
    <col min="2806" max="2806" width="11.26953125" style="1" bestFit="1" customWidth="1"/>
    <col min="2807" max="2807" width="13.26953125" style="1" bestFit="1" customWidth="1"/>
    <col min="2808" max="2808" width="7.08984375" style="1" customWidth="1"/>
    <col min="2809" max="2809" width="10.08984375" style="1" bestFit="1" customWidth="1"/>
    <col min="2810" max="2810" width="14.36328125" style="1" bestFit="1" customWidth="1"/>
    <col min="2811" max="2811" width="8.81640625" style="1" bestFit="1" customWidth="1"/>
    <col min="2812" max="2812" width="7.6328125" style="1" bestFit="1" customWidth="1"/>
    <col min="2813" max="2813" width="19" style="1" bestFit="1" customWidth="1"/>
    <col min="2814" max="3052" width="9.08984375" style="1"/>
    <col min="3053" max="3054" width="9.08984375" style="1" customWidth="1"/>
    <col min="3055" max="3057" width="1.81640625" style="1" bestFit="1" customWidth="1"/>
    <col min="3058" max="3058" width="2.7265625" style="1" bestFit="1" customWidth="1"/>
    <col min="3059" max="3059" width="3.6328125" style="1" bestFit="1" customWidth="1"/>
    <col min="3060" max="3060" width="55.6328125" style="1" bestFit="1" customWidth="1"/>
    <col min="3061" max="3061" width="5" style="1" bestFit="1" customWidth="1"/>
    <col min="3062" max="3062" width="11.26953125" style="1" bestFit="1" customWidth="1"/>
    <col min="3063" max="3063" width="13.26953125" style="1" bestFit="1" customWidth="1"/>
    <col min="3064" max="3064" width="7.08984375" style="1" customWidth="1"/>
    <col min="3065" max="3065" width="10.08984375" style="1" bestFit="1" customWidth="1"/>
    <col min="3066" max="3066" width="14.36328125" style="1" bestFit="1" customWidth="1"/>
    <col min="3067" max="3067" width="8.81640625" style="1" bestFit="1" customWidth="1"/>
    <col min="3068" max="3068" width="7.6328125" style="1" bestFit="1" customWidth="1"/>
    <col min="3069" max="3069" width="19" style="1" bestFit="1" customWidth="1"/>
    <col min="3070" max="3308" width="9.08984375" style="1"/>
    <col min="3309" max="3310" width="9.08984375" style="1" customWidth="1"/>
    <col min="3311" max="3313" width="1.81640625" style="1" bestFit="1" customWidth="1"/>
    <col min="3314" max="3314" width="2.7265625" style="1" bestFit="1" customWidth="1"/>
    <col min="3315" max="3315" width="3.6328125" style="1" bestFit="1" customWidth="1"/>
    <col min="3316" max="3316" width="55.6328125" style="1" bestFit="1" customWidth="1"/>
    <col min="3317" max="3317" width="5" style="1" bestFit="1" customWidth="1"/>
    <col min="3318" max="3318" width="11.26953125" style="1" bestFit="1" customWidth="1"/>
    <col min="3319" max="3319" width="13.26953125" style="1" bestFit="1" customWidth="1"/>
    <col min="3320" max="3320" width="7.08984375" style="1" customWidth="1"/>
    <col min="3321" max="3321" width="10.08984375" style="1" bestFit="1" customWidth="1"/>
    <col min="3322" max="3322" width="14.36328125" style="1" bestFit="1" customWidth="1"/>
    <col min="3323" max="3323" width="8.81640625" style="1" bestFit="1" customWidth="1"/>
    <col min="3324" max="3324" width="7.6328125" style="1" bestFit="1" customWidth="1"/>
    <col min="3325" max="3325" width="19" style="1" bestFit="1" customWidth="1"/>
    <col min="3326" max="3564" width="9.08984375" style="1"/>
    <col min="3565" max="3566" width="9.08984375" style="1" customWidth="1"/>
    <col min="3567" max="3569" width="1.81640625" style="1" bestFit="1" customWidth="1"/>
    <col min="3570" max="3570" width="2.7265625" style="1" bestFit="1" customWidth="1"/>
    <col min="3571" max="3571" width="3.6328125" style="1" bestFit="1" customWidth="1"/>
    <col min="3572" max="3572" width="55.6328125" style="1" bestFit="1" customWidth="1"/>
    <col min="3573" max="3573" width="5" style="1" bestFit="1" customWidth="1"/>
    <col min="3574" max="3574" width="11.26953125" style="1" bestFit="1" customWidth="1"/>
    <col min="3575" max="3575" width="13.26953125" style="1" bestFit="1" customWidth="1"/>
    <col min="3576" max="3576" width="7.08984375" style="1" customWidth="1"/>
    <col min="3577" max="3577" width="10.08984375" style="1" bestFit="1" customWidth="1"/>
    <col min="3578" max="3578" width="14.36328125" style="1" bestFit="1" customWidth="1"/>
    <col min="3579" max="3579" width="8.81640625" style="1" bestFit="1" customWidth="1"/>
    <col min="3580" max="3580" width="7.6328125" style="1" bestFit="1" customWidth="1"/>
    <col min="3581" max="3581" width="19" style="1" bestFit="1" customWidth="1"/>
    <col min="3582" max="3820" width="9.08984375" style="1"/>
    <col min="3821" max="3822" width="9.08984375" style="1" customWidth="1"/>
    <col min="3823" max="3825" width="1.81640625" style="1" bestFit="1" customWidth="1"/>
    <col min="3826" max="3826" width="2.7265625" style="1" bestFit="1" customWidth="1"/>
    <col min="3827" max="3827" width="3.6328125" style="1" bestFit="1" customWidth="1"/>
    <col min="3828" max="3828" width="55.6328125" style="1" bestFit="1" customWidth="1"/>
    <col min="3829" max="3829" width="5" style="1" bestFit="1" customWidth="1"/>
    <col min="3830" max="3830" width="11.26953125" style="1" bestFit="1" customWidth="1"/>
    <col min="3831" max="3831" width="13.26953125" style="1" bestFit="1" customWidth="1"/>
    <col min="3832" max="3832" width="7.08984375" style="1" customWidth="1"/>
    <col min="3833" max="3833" width="10.08984375" style="1" bestFit="1" customWidth="1"/>
    <col min="3834" max="3834" width="14.36328125" style="1" bestFit="1" customWidth="1"/>
    <col min="3835" max="3835" width="8.81640625" style="1" bestFit="1" customWidth="1"/>
    <col min="3836" max="3836" width="7.6328125" style="1" bestFit="1" customWidth="1"/>
    <col min="3837" max="3837" width="19" style="1" bestFit="1" customWidth="1"/>
    <col min="3838" max="4076" width="9.08984375" style="1"/>
    <col min="4077" max="4078" width="9.08984375" style="1" customWidth="1"/>
    <col min="4079" max="4081" width="1.81640625" style="1" bestFit="1" customWidth="1"/>
    <col min="4082" max="4082" width="2.7265625" style="1" bestFit="1" customWidth="1"/>
    <col min="4083" max="4083" width="3.6328125" style="1" bestFit="1" customWidth="1"/>
    <col min="4084" max="4084" width="55.6328125" style="1" bestFit="1" customWidth="1"/>
    <col min="4085" max="4085" width="5" style="1" bestFit="1" customWidth="1"/>
    <col min="4086" max="4086" width="11.26953125" style="1" bestFit="1" customWidth="1"/>
    <col min="4087" max="4087" width="13.26953125" style="1" bestFit="1" customWidth="1"/>
    <col min="4088" max="4088" width="7.08984375" style="1" customWidth="1"/>
    <col min="4089" max="4089" width="10.08984375" style="1" bestFit="1" customWidth="1"/>
    <col min="4090" max="4090" width="14.36328125" style="1" bestFit="1" customWidth="1"/>
    <col min="4091" max="4091" width="8.81640625" style="1" bestFit="1" customWidth="1"/>
    <col min="4092" max="4092" width="7.6328125" style="1" bestFit="1" customWidth="1"/>
    <col min="4093" max="4093" width="19" style="1" bestFit="1" customWidth="1"/>
    <col min="4094" max="4332" width="9.08984375" style="1"/>
    <col min="4333" max="4334" width="9.08984375" style="1" customWidth="1"/>
    <col min="4335" max="4337" width="1.81640625" style="1" bestFit="1" customWidth="1"/>
    <col min="4338" max="4338" width="2.7265625" style="1" bestFit="1" customWidth="1"/>
    <col min="4339" max="4339" width="3.6328125" style="1" bestFit="1" customWidth="1"/>
    <col min="4340" max="4340" width="55.6328125" style="1" bestFit="1" customWidth="1"/>
    <col min="4341" max="4341" width="5" style="1" bestFit="1" customWidth="1"/>
    <col min="4342" max="4342" width="11.26953125" style="1" bestFit="1" customWidth="1"/>
    <col min="4343" max="4343" width="13.26953125" style="1" bestFit="1" customWidth="1"/>
    <col min="4344" max="4344" width="7.08984375" style="1" customWidth="1"/>
    <col min="4345" max="4345" width="10.08984375" style="1" bestFit="1" customWidth="1"/>
    <col min="4346" max="4346" width="14.36328125" style="1" bestFit="1" customWidth="1"/>
    <col min="4347" max="4347" width="8.81640625" style="1" bestFit="1" customWidth="1"/>
    <col min="4348" max="4348" width="7.6328125" style="1" bestFit="1" customWidth="1"/>
    <col min="4349" max="4349" width="19" style="1" bestFit="1" customWidth="1"/>
    <col min="4350" max="4588" width="9.08984375" style="1"/>
    <col min="4589" max="4590" width="9.08984375" style="1" customWidth="1"/>
    <col min="4591" max="4593" width="1.81640625" style="1" bestFit="1" customWidth="1"/>
    <col min="4594" max="4594" width="2.7265625" style="1" bestFit="1" customWidth="1"/>
    <col min="4595" max="4595" width="3.6328125" style="1" bestFit="1" customWidth="1"/>
    <col min="4596" max="4596" width="55.6328125" style="1" bestFit="1" customWidth="1"/>
    <col min="4597" max="4597" width="5" style="1" bestFit="1" customWidth="1"/>
    <col min="4598" max="4598" width="11.26953125" style="1" bestFit="1" customWidth="1"/>
    <col min="4599" max="4599" width="13.26953125" style="1" bestFit="1" customWidth="1"/>
    <col min="4600" max="4600" width="7.08984375" style="1" customWidth="1"/>
    <col min="4601" max="4601" width="10.08984375" style="1" bestFit="1" customWidth="1"/>
    <col min="4602" max="4602" width="14.36328125" style="1" bestFit="1" customWidth="1"/>
    <col min="4603" max="4603" width="8.81640625" style="1" bestFit="1" customWidth="1"/>
    <col min="4604" max="4604" width="7.6328125" style="1" bestFit="1" customWidth="1"/>
    <col min="4605" max="4605" width="19" style="1" bestFit="1" customWidth="1"/>
    <col min="4606" max="4844" width="9.08984375" style="1"/>
    <col min="4845" max="4846" width="9.08984375" style="1" customWidth="1"/>
    <col min="4847" max="4849" width="1.81640625" style="1" bestFit="1" customWidth="1"/>
    <col min="4850" max="4850" width="2.7265625" style="1" bestFit="1" customWidth="1"/>
    <col min="4851" max="4851" width="3.6328125" style="1" bestFit="1" customWidth="1"/>
    <col min="4852" max="4852" width="55.6328125" style="1" bestFit="1" customWidth="1"/>
    <col min="4853" max="4853" width="5" style="1" bestFit="1" customWidth="1"/>
    <col min="4854" max="4854" width="11.26953125" style="1" bestFit="1" customWidth="1"/>
    <col min="4855" max="4855" width="13.26953125" style="1" bestFit="1" customWidth="1"/>
    <col min="4856" max="4856" width="7.08984375" style="1" customWidth="1"/>
    <col min="4857" max="4857" width="10.08984375" style="1" bestFit="1" customWidth="1"/>
    <col min="4858" max="4858" width="14.36328125" style="1" bestFit="1" customWidth="1"/>
    <col min="4859" max="4859" width="8.81640625" style="1" bestFit="1" customWidth="1"/>
    <col min="4860" max="4860" width="7.6328125" style="1" bestFit="1" customWidth="1"/>
    <col min="4861" max="4861" width="19" style="1" bestFit="1" customWidth="1"/>
    <col min="4862" max="5100" width="9.08984375" style="1"/>
    <col min="5101" max="5102" width="9.08984375" style="1" customWidth="1"/>
    <col min="5103" max="5105" width="1.81640625" style="1" bestFit="1" customWidth="1"/>
    <col min="5106" max="5106" width="2.7265625" style="1" bestFit="1" customWidth="1"/>
    <col min="5107" max="5107" width="3.6328125" style="1" bestFit="1" customWidth="1"/>
    <col min="5108" max="5108" width="55.6328125" style="1" bestFit="1" customWidth="1"/>
    <col min="5109" max="5109" width="5" style="1" bestFit="1" customWidth="1"/>
    <col min="5110" max="5110" width="11.26953125" style="1" bestFit="1" customWidth="1"/>
    <col min="5111" max="5111" width="13.26953125" style="1" bestFit="1" customWidth="1"/>
    <col min="5112" max="5112" width="7.08984375" style="1" customWidth="1"/>
    <col min="5113" max="5113" width="10.08984375" style="1" bestFit="1" customWidth="1"/>
    <col min="5114" max="5114" width="14.36328125" style="1" bestFit="1" customWidth="1"/>
    <col min="5115" max="5115" width="8.81640625" style="1" bestFit="1" customWidth="1"/>
    <col min="5116" max="5116" width="7.6328125" style="1" bestFit="1" customWidth="1"/>
    <col min="5117" max="5117" width="19" style="1" bestFit="1" customWidth="1"/>
    <col min="5118" max="5356" width="9.08984375" style="1"/>
    <col min="5357" max="5358" width="9.08984375" style="1" customWidth="1"/>
    <col min="5359" max="5361" width="1.81640625" style="1" bestFit="1" customWidth="1"/>
    <col min="5362" max="5362" width="2.7265625" style="1" bestFit="1" customWidth="1"/>
    <col min="5363" max="5363" width="3.6328125" style="1" bestFit="1" customWidth="1"/>
    <col min="5364" max="5364" width="55.6328125" style="1" bestFit="1" customWidth="1"/>
    <col min="5365" max="5365" width="5" style="1" bestFit="1" customWidth="1"/>
    <col min="5366" max="5366" width="11.26953125" style="1" bestFit="1" customWidth="1"/>
    <col min="5367" max="5367" width="13.26953125" style="1" bestFit="1" customWidth="1"/>
    <col min="5368" max="5368" width="7.08984375" style="1" customWidth="1"/>
    <col min="5369" max="5369" width="10.08984375" style="1" bestFit="1" customWidth="1"/>
    <col min="5370" max="5370" width="14.36328125" style="1" bestFit="1" customWidth="1"/>
    <col min="5371" max="5371" width="8.81640625" style="1" bestFit="1" customWidth="1"/>
    <col min="5372" max="5372" width="7.6328125" style="1" bestFit="1" customWidth="1"/>
    <col min="5373" max="5373" width="19" style="1" bestFit="1" customWidth="1"/>
    <col min="5374" max="5612" width="9.08984375" style="1"/>
    <col min="5613" max="5614" width="9.08984375" style="1" customWidth="1"/>
    <col min="5615" max="5617" width="1.81640625" style="1" bestFit="1" customWidth="1"/>
    <col min="5618" max="5618" width="2.7265625" style="1" bestFit="1" customWidth="1"/>
    <col min="5619" max="5619" width="3.6328125" style="1" bestFit="1" customWidth="1"/>
    <col min="5620" max="5620" width="55.6328125" style="1" bestFit="1" customWidth="1"/>
    <col min="5621" max="5621" width="5" style="1" bestFit="1" customWidth="1"/>
    <col min="5622" max="5622" width="11.26953125" style="1" bestFit="1" customWidth="1"/>
    <col min="5623" max="5623" width="13.26953125" style="1" bestFit="1" customWidth="1"/>
    <col min="5624" max="5624" width="7.08984375" style="1" customWidth="1"/>
    <col min="5625" max="5625" width="10.08984375" style="1" bestFit="1" customWidth="1"/>
    <col min="5626" max="5626" width="14.36328125" style="1" bestFit="1" customWidth="1"/>
    <col min="5627" max="5627" width="8.81640625" style="1" bestFit="1" customWidth="1"/>
    <col min="5628" max="5628" width="7.6328125" style="1" bestFit="1" customWidth="1"/>
    <col min="5629" max="5629" width="19" style="1" bestFit="1" customWidth="1"/>
    <col min="5630" max="5868" width="9.08984375" style="1"/>
    <col min="5869" max="5870" width="9.08984375" style="1" customWidth="1"/>
    <col min="5871" max="5873" width="1.81640625" style="1" bestFit="1" customWidth="1"/>
    <col min="5874" max="5874" width="2.7265625" style="1" bestFit="1" customWidth="1"/>
    <col min="5875" max="5875" width="3.6328125" style="1" bestFit="1" customWidth="1"/>
    <col min="5876" max="5876" width="55.6328125" style="1" bestFit="1" customWidth="1"/>
    <col min="5877" max="5877" width="5" style="1" bestFit="1" customWidth="1"/>
    <col min="5878" max="5878" width="11.26953125" style="1" bestFit="1" customWidth="1"/>
    <col min="5879" max="5879" width="13.26953125" style="1" bestFit="1" customWidth="1"/>
    <col min="5880" max="5880" width="7.08984375" style="1" customWidth="1"/>
    <col min="5881" max="5881" width="10.08984375" style="1" bestFit="1" customWidth="1"/>
    <col min="5882" max="5882" width="14.36328125" style="1" bestFit="1" customWidth="1"/>
    <col min="5883" max="5883" width="8.81640625" style="1" bestFit="1" customWidth="1"/>
    <col min="5884" max="5884" width="7.6328125" style="1" bestFit="1" customWidth="1"/>
    <col min="5885" max="5885" width="19" style="1" bestFit="1" customWidth="1"/>
    <col min="5886" max="6124" width="9.08984375" style="1"/>
    <col min="6125" max="6126" width="9.08984375" style="1" customWidth="1"/>
    <col min="6127" max="6129" width="1.81640625" style="1" bestFit="1" customWidth="1"/>
    <col min="6130" max="6130" width="2.7265625" style="1" bestFit="1" customWidth="1"/>
    <col min="6131" max="6131" width="3.6328125" style="1" bestFit="1" customWidth="1"/>
    <col min="6132" max="6132" width="55.6328125" style="1" bestFit="1" customWidth="1"/>
    <col min="6133" max="6133" width="5" style="1" bestFit="1" customWidth="1"/>
    <col min="6134" max="6134" width="11.26953125" style="1" bestFit="1" customWidth="1"/>
    <col min="6135" max="6135" width="13.26953125" style="1" bestFit="1" customWidth="1"/>
    <col min="6136" max="6136" width="7.08984375" style="1" customWidth="1"/>
    <col min="6137" max="6137" width="10.08984375" style="1" bestFit="1" customWidth="1"/>
    <col min="6138" max="6138" width="14.36328125" style="1" bestFit="1" customWidth="1"/>
    <col min="6139" max="6139" width="8.81640625" style="1" bestFit="1" customWidth="1"/>
    <col min="6140" max="6140" width="7.6328125" style="1" bestFit="1" customWidth="1"/>
    <col min="6141" max="6141" width="19" style="1" bestFit="1" customWidth="1"/>
    <col min="6142" max="6380" width="9.08984375" style="1"/>
    <col min="6381" max="6382" width="9.08984375" style="1" customWidth="1"/>
    <col min="6383" max="6385" width="1.81640625" style="1" bestFit="1" customWidth="1"/>
    <col min="6386" max="6386" width="2.7265625" style="1" bestFit="1" customWidth="1"/>
    <col min="6387" max="6387" width="3.6328125" style="1" bestFit="1" customWidth="1"/>
    <col min="6388" max="6388" width="55.6328125" style="1" bestFit="1" customWidth="1"/>
    <col min="6389" max="6389" width="5" style="1" bestFit="1" customWidth="1"/>
    <col min="6390" max="6390" width="11.26953125" style="1" bestFit="1" customWidth="1"/>
    <col min="6391" max="6391" width="13.26953125" style="1" bestFit="1" customWidth="1"/>
    <col min="6392" max="6392" width="7.08984375" style="1" customWidth="1"/>
    <col min="6393" max="6393" width="10.08984375" style="1" bestFit="1" customWidth="1"/>
    <col min="6394" max="6394" width="14.36328125" style="1" bestFit="1" customWidth="1"/>
    <col min="6395" max="6395" width="8.81640625" style="1" bestFit="1" customWidth="1"/>
    <col min="6396" max="6396" width="7.6328125" style="1" bestFit="1" customWidth="1"/>
    <col min="6397" max="6397" width="19" style="1" bestFit="1" customWidth="1"/>
    <col min="6398" max="6636" width="9.08984375" style="1"/>
    <col min="6637" max="6638" width="9.08984375" style="1" customWidth="1"/>
    <col min="6639" max="6641" width="1.81640625" style="1" bestFit="1" customWidth="1"/>
    <col min="6642" max="6642" width="2.7265625" style="1" bestFit="1" customWidth="1"/>
    <col min="6643" max="6643" width="3.6328125" style="1" bestFit="1" customWidth="1"/>
    <col min="6644" max="6644" width="55.6328125" style="1" bestFit="1" customWidth="1"/>
    <col min="6645" max="6645" width="5" style="1" bestFit="1" customWidth="1"/>
    <col min="6646" max="6646" width="11.26953125" style="1" bestFit="1" customWidth="1"/>
    <col min="6647" max="6647" width="13.26953125" style="1" bestFit="1" customWidth="1"/>
    <col min="6648" max="6648" width="7.08984375" style="1" customWidth="1"/>
    <col min="6649" max="6649" width="10.08984375" style="1" bestFit="1" customWidth="1"/>
    <col min="6650" max="6650" width="14.36328125" style="1" bestFit="1" customWidth="1"/>
    <col min="6651" max="6651" width="8.81640625" style="1" bestFit="1" customWidth="1"/>
    <col min="6652" max="6652" width="7.6328125" style="1" bestFit="1" customWidth="1"/>
    <col min="6653" max="6653" width="19" style="1" bestFit="1" customWidth="1"/>
    <col min="6654" max="6892" width="9.08984375" style="1"/>
    <col min="6893" max="6894" width="9.08984375" style="1" customWidth="1"/>
    <col min="6895" max="6897" width="1.81640625" style="1" bestFit="1" customWidth="1"/>
    <col min="6898" max="6898" width="2.7265625" style="1" bestFit="1" customWidth="1"/>
    <col min="6899" max="6899" width="3.6328125" style="1" bestFit="1" customWidth="1"/>
    <col min="6900" max="6900" width="55.6328125" style="1" bestFit="1" customWidth="1"/>
    <col min="6901" max="6901" width="5" style="1" bestFit="1" customWidth="1"/>
    <col min="6902" max="6902" width="11.26953125" style="1" bestFit="1" customWidth="1"/>
    <col min="6903" max="6903" width="13.26953125" style="1" bestFit="1" customWidth="1"/>
    <col min="6904" max="6904" width="7.08984375" style="1" customWidth="1"/>
    <col min="6905" max="6905" width="10.08984375" style="1" bestFit="1" customWidth="1"/>
    <col min="6906" max="6906" width="14.36328125" style="1" bestFit="1" customWidth="1"/>
    <col min="6907" max="6907" width="8.81640625" style="1" bestFit="1" customWidth="1"/>
    <col min="6908" max="6908" width="7.6328125" style="1" bestFit="1" customWidth="1"/>
    <col min="6909" max="6909" width="19" style="1" bestFit="1" customWidth="1"/>
    <col min="6910" max="7148" width="9.08984375" style="1"/>
    <col min="7149" max="7150" width="9.08984375" style="1" customWidth="1"/>
    <col min="7151" max="7153" width="1.81640625" style="1" bestFit="1" customWidth="1"/>
    <col min="7154" max="7154" width="2.7265625" style="1" bestFit="1" customWidth="1"/>
    <col min="7155" max="7155" width="3.6328125" style="1" bestFit="1" customWidth="1"/>
    <col min="7156" max="7156" width="55.6328125" style="1" bestFit="1" customWidth="1"/>
    <col min="7157" max="7157" width="5" style="1" bestFit="1" customWidth="1"/>
    <col min="7158" max="7158" width="11.26953125" style="1" bestFit="1" customWidth="1"/>
    <col min="7159" max="7159" width="13.26953125" style="1" bestFit="1" customWidth="1"/>
    <col min="7160" max="7160" width="7.08984375" style="1" customWidth="1"/>
    <col min="7161" max="7161" width="10.08984375" style="1" bestFit="1" customWidth="1"/>
    <col min="7162" max="7162" width="14.36328125" style="1" bestFit="1" customWidth="1"/>
    <col min="7163" max="7163" width="8.81640625" style="1" bestFit="1" customWidth="1"/>
    <col min="7164" max="7164" width="7.6328125" style="1" bestFit="1" customWidth="1"/>
    <col min="7165" max="7165" width="19" style="1" bestFit="1" customWidth="1"/>
    <col min="7166" max="7404" width="9.08984375" style="1"/>
    <col min="7405" max="7406" width="9.08984375" style="1" customWidth="1"/>
    <col min="7407" max="7409" width="1.81640625" style="1" bestFit="1" customWidth="1"/>
    <col min="7410" max="7410" width="2.7265625" style="1" bestFit="1" customWidth="1"/>
    <col min="7411" max="7411" width="3.6328125" style="1" bestFit="1" customWidth="1"/>
    <col min="7412" max="7412" width="55.6328125" style="1" bestFit="1" customWidth="1"/>
    <col min="7413" max="7413" width="5" style="1" bestFit="1" customWidth="1"/>
    <col min="7414" max="7414" width="11.26953125" style="1" bestFit="1" customWidth="1"/>
    <col min="7415" max="7415" width="13.26953125" style="1" bestFit="1" customWidth="1"/>
    <col min="7416" max="7416" width="7.08984375" style="1" customWidth="1"/>
    <col min="7417" max="7417" width="10.08984375" style="1" bestFit="1" customWidth="1"/>
    <col min="7418" max="7418" width="14.36328125" style="1" bestFit="1" customWidth="1"/>
    <col min="7419" max="7419" width="8.81640625" style="1" bestFit="1" customWidth="1"/>
    <col min="7420" max="7420" width="7.6328125" style="1" bestFit="1" customWidth="1"/>
    <col min="7421" max="7421" width="19" style="1" bestFit="1" customWidth="1"/>
    <col min="7422" max="7660" width="9.08984375" style="1"/>
    <col min="7661" max="7662" width="9.08984375" style="1" customWidth="1"/>
    <col min="7663" max="7665" width="1.81640625" style="1" bestFit="1" customWidth="1"/>
    <col min="7666" max="7666" width="2.7265625" style="1" bestFit="1" customWidth="1"/>
    <col min="7667" max="7667" width="3.6328125" style="1" bestFit="1" customWidth="1"/>
    <col min="7668" max="7668" width="55.6328125" style="1" bestFit="1" customWidth="1"/>
    <col min="7669" max="7669" width="5" style="1" bestFit="1" customWidth="1"/>
    <col min="7670" max="7670" width="11.26953125" style="1" bestFit="1" customWidth="1"/>
    <col min="7671" max="7671" width="13.26953125" style="1" bestFit="1" customWidth="1"/>
    <col min="7672" max="7672" width="7.08984375" style="1" customWidth="1"/>
    <col min="7673" max="7673" width="10.08984375" style="1" bestFit="1" customWidth="1"/>
    <col min="7674" max="7674" width="14.36328125" style="1" bestFit="1" customWidth="1"/>
    <col min="7675" max="7675" width="8.81640625" style="1" bestFit="1" customWidth="1"/>
    <col min="7676" max="7676" width="7.6328125" style="1" bestFit="1" customWidth="1"/>
    <col min="7677" max="7677" width="19" style="1" bestFit="1" customWidth="1"/>
    <col min="7678" max="7916" width="9.08984375" style="1"/>
    <col min="7917" max="7918" width="9.08984375" style="1" customWidth="1"/>
    <col min="7919" max="7921" width="1.81640625" style="1" bestFit="1" customWidth="1"/>
    <col min="7922" max="7922" width="2.7265625" style="1" bestFit="1" customWidth="1"/>
    <col min="7923" max="7923" width="3.6328125" style="1" bestFit="1" customWidth="1"/>
    <col min="7924" max="7924" width="55.6328125" style="1" bestFit="1" customWidth="1"/>
    <col min="7925" max="7925" width="5" style="1" bestFit="1" customWidth="1"/>
    <col min="7926" max="7926" width="11.26953125" style="1" bestFit="1" customWidth="1"/>
    <col min="7927" max="7927" width="13.26953125" style="1" bestFit="1" customWidth="1"/>
    <col min="7928" max="7928" width="7.08984375" style="1" customWidth="1"/>
    <col min="7929" max="7929" width="10.08984375" style="1" bestFit="1" customWidth="1"/>
    <col min="7930" max="7930" width="14.36328125" style="1" bestFit="1" customWidth="1"/>
    <col min="7931" max="7931" width="8.81640625" style="1" bestFit="1" customWidth="1"/>
    <col min="7932" max="7932" width="7.6328125" style="1" bestFit="1" customWidth="1"/>
    <col min="7933" max="7933" width="19" style="1" bestFit="1" customWidth="1"/>
    <col min="7934" max="8172" width="9.08984375" style="1"/>
    <col min="8173" max="8174" width="9.08984375" style="1" customWidth="1"/>
    <col min="8175" max="8177" width="1.81640625" style="1" bestFit="1" customWidth="1"/>
    <col min="8178" max="8178" width="2.7265625" style="1" bestFit="1" customWidth="1"/>
    <col min="8179" max="8179" width="3.6328125" style="1" bestFit="1" customWidth="1"/>
    <col min="8180" max="8180" width="55.6328125" style="1" bestFit="1" customWidth="1"/>
    <col min="8181" max="8181" width="5" style="1" bestFit="1" customWidth="1"/>
    <col min="8182" max="8182" width="11.26953125" style="1" bestFit="1" customWidth="1"/>
    <col min="8183" max="8183" width="13.26953125" style="1" bestFit="1" customWidth="1"/>
    <col min="8184" max="8184" width="7.08984375" style="1" customWidth="1"/>
    <col min="8185" max="8185" width="10.08984375" style="1" bestFit="1" customWidth="1"/>
    <col min="8186" max="8186" width="14.36328125" style="1" bestFit="1" customWidth="1"/>
    <col min="8187" max="8187" width="8.81640625" style="1" bestFit="1" customWidth="1"/>
    <col min="8188" max="8188" width="7.6328125" style="1" bestFit="1" customWidth="1"/>
    <col min="8189" max="8189" width="19" style="1" bestFit="1" customWidth="1"/>
    <col min="8190" max="8428" width="9.08984375" style="1"/>
    <col min="8429" max="8430" width="9.08984375" style="1" customWidth="1"/>
    <col min="8431" max="8433" width="1.81640625" style="1" bestFit="1" customWidth="1"/>
    <col min="8434" max="8434" width="2.7265625" style="1" bestFit="1" customWidth="1"/>
    <col min="8435" max="8435" width="3.6328125" style="1" bestFit="1" customWidth="1"/>
    <col min="8436" max="8436" width="55.6328125" style="1" bestFit="1" customWidth="1"/>
    <col min="8437" max="8437" width="5" style="1" bestFit="1" customWidth="1"/>
    <col min="8438" max="8438" width="11.26953125" style="1" bestFit="1" customWidth="1"/>
    <col min="8439" max="8439" width="13.26953125" style="1" bestFit="1" customWidth="1"/>
    <col min="8440" max="8440" width="7.08984375" style="1" customWidth="1"/>
    <col min="8441" max="8441" width="10.08984375" style="1" bestFit="1" customWidth="1"/>
    <col min="8442" max="8442" width="14.36328125" style="1" bestFit="1" customWidth="1"/>
    <col min="8443" max="8443" width="8.81640625" style="1" bestFit="1" customWidth="1"/>
    <col min="8444" max="8444" width="7.6328125" style="1" bestFit="1" customWidth="1"/>
    <col min="8445" max="8445" width="19" style="1" bestFit="1" customWidth="1"/>
    <col min="8446" max="8684" width="9.08984375" style="1"/>
    <col min="8685" max="8686" width="9.08984375" style="1" customWidth="1"/>
    <col min="8687" max="8689" width="1.81640625" style="1" bestFit="1" customWidth="1"/>
    <col min="8690" max="8690" width="2.7265625" style="1" bestFit="1" customWidth="1"/>
    <col min="8691" max="8691" width="3.6328125" style="1" bestFit="1" customWidth="1"/>
    <col min="8692" max="8692" width="55.6328125" style="1" bestFit="1" customWidth="1"/>
    <col min="8693" max="8693" width="5" style="1" bestFit="1" customWidth="1"/>
    <col min="8694" max="8694" width="11.26953125" style="1" bestFit="1" customWidth="1"/>
    <col min="8695" max="8695" width="13.26953125" style="1" bestFit="1" customWidth="1"/>
    <col min="8696" max="8696" width="7.08984375" style="1" customWidth="1"/>
    <col min="8697" max="8697" width="10.08984375" style="1" bestFit="1" customWidth="1"/>
    <col min="8698" max="8698" width="14.36328125" style="1" bestFit="1" customWidth="1"/>
    <col min="8699" max="8699" width="8.81640625" style="1" bestFit="1" customWidth="1"/>
    <col min="8700" max="8700" width="7.6328125" style="1" bestFit="1" customWidth="1"/>
    <col min="8701" max="8701" width="19" style="1" bestFit="1" customWidth="1"/>
    <col min="8702" max="8940" width="9.08984375" style="1"/>
    <col min="8941" max="8942" width="9.08984375" style="1" customWidth="1"/>
    <col min="8943" max="8945" width="1.81640625" style="1" bestFit="1" customWidth="1"/>
    <col min="8946" max="8946" width="2.7265625" style="1" bestFit="1" customWidth="1"/>
    <col min="8947" max="8947" width="3.6328125" style="1" bestFit="1" customWidth="1"/>
    <col min="8948" max="8948" width="55.6328125" style="1" bestFit="1" customWidth="1"/>
    <col min="8949" max="8949" width="5" style="1" bestFit="1" customWidth="1"/>
    <col min="8950" max="8950" width="11.26953125" style="1" bestFit="1" customWidth="1"/>
    <col min="8951" max="8951" width="13.26953125" style="1" bestFit="1" customWidth="1"/>
    <col min="8952" max="8952" width="7.08984375" style="1" customWidth="1"/>
    <col min="8953" max="8953" width="10.08984375" style="1" bestFit="1" customWidth="1"/>
    <col min="8954" max="8954" width="14.36328125" style="1" bestFit="1" customWidth="1"/>
    <col min="8955" max="8955" width="8.81640625" style="1" bestFit="1" customWidth="1"/>
    <col min="8956" max="8956" width="7.6328125" style="1" bestFit="1" customWidth="1"/>
    <col min="8957" max="8957" width="19" style="1" bestFit="1" customWidth="1"/>
    <col min="8958" max="9196" width="9.08984375" style="1"/>
    <col min="9197" max="9198" width="9.08984375" style="1" customWidth="1"/>
    <col min="9199" max="9201" width="1.81640625" style="1" bestFit="1" customWidth="1"/>
    <col min="9202" max="9202" width="2.7265625" style="1" bestFit="1" customWidth="1"/>
    <col min="9203" max="9203" width="3.6328125" style="1" bestFit="1" customWidth="1"/>
    <col min="9204" max="9204" width="55.6328125" style="1" bestFit="1" customWidth="1"/>
    <col min="9205" max="9205" width="5" style="1" bestFit="1" customWidth="1"/>
    <col min="9206" max="9206" width="11.26953125" style="1" bestFit="1" customWidth="1"/>
    <col min="9207" max="9207" width="13.26953125" style="1" bestFit="1" customWidth="1"/>
    <col min="9208" max="9208" width="7.08984375" style="1" customWidth="1"/>
    <col min="9209" max="9209" width="10.08984375" style="1" bestFit="1" customWidth="1"/>
    <col min="9210" max="9210" width="14.36328125" style="1" bestFit="1" customWidth="1"/>
    <col min="9211" max="9211" width="8.81640625" style="1" bestFit="1" customWidth="1"/>
    <col min="9212" max="9212" width="7.6328125" style="1" bestFit="1" customWidth="1"/>
    <col min="9213" max="9213" width="19" style="1" bestFit="1" customWidth="1"/>
    <col min="9214" max="9452" width="9.08984375" style="1"/>
    <col min="9453" max="9454" width="9.08984375" style="1" customWidth="1"/>
    <col min="9455" max="9457" width="1.81640625" style="1" bestFit="1" customWidth="1"/>
    <col min="9458" max="9458" width="2.7265625" style="1" bestFit="1" customWidth="1"/>
    <col min="9459" max="9459" width="3.6328125" style="1" bestFit="1" customWidth="1"/>
    <col min="9460" max="9460" width="55.6328125" style="1" bestFit="1" customWidth="1"/>
    <col min="9461" max="9461" width="5" style="1" bestFit="1" customWidth="1"/>
    <col min="9462" max="9462" width="11.26953125" style="1" bestFit="1" customWidth="1"/>
    <col min="9463" max="9463" width="13.26953125" style="1" bestFit="1" customWidth="1"/>
    <col min="9464" max="9464" width="7.08984375" style="1" customWidth="1"/>
    <col min="9465" max="9465" width="10.08984375" style="1" bestFit="1" customWidth="1"/>
    <col min="9466" max="9466" width="14.36328125" style="1" bestFit="1" customWidth="1"/>
    <col min="9467" max="9467" width="8.81640625" style="1" bestFit="1" customWidth="1"/>
    <col min="9468" max="9468" width="7.6328125" style="1" bestFit="1" customWidth="1"/>
    <col min="9469" max="9469" width="19" style="1" bestFit="1" customWidth="1"/>
    <col min="9470" max="9708" width="9.08984375" style="1"/>
    <col min="9709" max="9710" width="9.08984375" style="1" customWidth="1"/>
    <col min="9711" max="9713" width="1.81640625" style="1" bestFit="1" customWidth="1"/>
    <col min="9714" max="9714" width="2.7265625" style="1" bestFit="1" customWidth="1"/>
    <col min="9715" max="9715" width="3.6328125" style="1" bestFit="1" customWidth="1"/>
    <col min="9716" max="9716" width="55.6328125" style="1" bestFit="1" customWidth="1"/>
    <col min="9717" max="9717" width="5" style="1" bestFit="1" customWidth="1"/>
    <col min="9718" max="9718" width="11.26953125" style="1" bestFit="1" customWidth="1"/>
    <col min="9719" max="9719" width="13.26953125" style="1" bestFit="1" customWidth="1"/>
    <col min="9720" max="9720" width="7.08984375" style="1" customWidth="1"/>
    <col min="9721" max="9721" width="10.08984375" style="1" bestFit="1" customWidth="1"/>
    <col min="9722" max="9722" width="14.36328125" style="1" bestFit="1" customWidth="1"/>
    <col min="9723" max="9723" width="8.81640625" style="1" bestFit="1" customWidth="1"/>
    <col min="9724" max="9724" width="7.6328125" style="1" bestFit="1" customWidth="1"/>
    <col min="9725" max="9725" width="19" style="1" bestFit="1" customWidth="1"/>
    <col min="9726" max="9964" width="9.08984375" style="1"/>
    <col min="9965" max="9966" width="9.08984375" style="1" customWidth="1"/>
    <col min="9967" max="9969" width="1.81640625" style="1" bestFit="1" customWidth="1"/>
    <col min="9970" max="9970" width="2.7265625" style="1" bestFit="1" customWidth="1"/>
    <col min="9971" max="9971" width="3.6328125" style="1" bestFit="1" customWidth="1"/>
    <col min="9972" max="9972" width="55.6328125" style="1" bestFit="1" customWidth="1"/>
    <col min="9973" max="9973" width="5" style="1" bestFit="1" customWidth="1"/>
    <col min="9974" max="9974" width="11.26953125" style="1" bestFit="1" customWidth="1"/>
    <col min="9975" max="9975" width="13.26953125" style="1" bestFit="1" customWidth="1"/>
    <col min="9976" max="9976" width="7.08984375" style="1" customWidth="1"/>
    <col min="9977" max="9977" width="10.08984375" style="1" bestFit="1" customWidth="1"/>
    <col min="9978" max="9978" width="14.36328125" style="1" bestFit="1" customWidth="1"/>
    <col min="9979" max="9979" width="8.81640625" style="1" bestFit="1" customWidth="1"/>
    <col min="9980" max="9980" width="7.6328125" style="1" bestFit="1" customWidth="1"/>
    <col min="9981" max="9981" width="19" style="1" bestFit="1" customWidth="1"/>
    <col min="9982" max="10220" width="9.08984375" style="1"/>
    <col min="10221" max="10222" width="9.08984375" style="1" customWidth="1"/>
    <col min="10223" max="10225" width="1.81640625" style="1" bestFit="1" customWidth="1"/>
    <col min="10226" max="10226" width="2.7265625" style="1" bestFit="1" customWidth="1"/>
    <col min="10227" max="10227" width="3.6328125" style="1" bestFit="1" customWidth="1"/>
    <col min="10228" max="10228" width="55.6328125" style="1" bestFit="1" customWidth="1"/>
    <col min="10229" max="10229" width="5" style="1" bestFit="1" customWidth="1"/>
    <col min="10230" max="10230" width="11.26953125" style="1" bestFit="1" customWidth="1"/>
    <col min="10231" max="10231" width="13.26953125" style="1" bestFit="1" customWidth="1"/>
    <col min="10232" max="10232" width="7.08984375" style="1" customWidth="1"/>
    <col min="10233" max="10233" width="10.08984375" style="1" bestFit="1" customWidth="1"/>
    <col min="10234" max="10234" width="14.36328125" style="1" bestFit="1" customWidth="1"/>
    <col min="10235" max="10235" width="8.81640625" style="1" bestFit="1" customWidth="1"/>
    <col min="10236" max="10236" width="7.6328125" style="1" bestFit="1" customWidth="1"/>
    <col min="10237" max="10237" width="19" style="1" bestFit="1" customWidth="1"/>
    <col min="10238" max="10476" width="9.08984375" style="1"/>
    <col min="10477" max="10478" width="9.08984375" style="1" customWidth="1"/>
    <col min="10479" max="10481" width="1.81640625" style="1" bestFit="1" customWidth="1"/>
    <col min="10482" max="10482" width="2.7265625" style="1" bestFit="1" customWidth="1"/>
    <col min="10483" max="10483" width="3.6328125" style="1" bestFit="1" customWidth="1"/>
    <col min="10484" max="10484" width="55.6328125" style="1" bestFit="1" customWidth="1"/>
    <col min="10485" max="10485" width="5" style="1" bestFit="1" customWidth="1"/>
    <col min="10486" max="10486" width="11.26953125" style="1" bestFit="1" customWidth="1"/>
    <col min="10487" max="10487" width="13.26953125" style="1" bestFit="1" customWidth="1"/>
    <col min="10488" max="10488" width="7.08984375" style="1" customWidth="1"/>
    <col min="10489" max="10489" width="10.08984375" style="1" bestFit="1" customWidth="1"/>
    <col min="10490" max="10490" width="14.36328125" style="1" bestFit="1" customWidth="1"/>
    <col min="10491" max="10491" width="8.81640625" style="1" bestFit="1" customWidth="1"/>
    <col min="10492" max="10492" width="7.6328125" style="1" bestFit="1" customWidth="1"/>
    <col min="10493" max="10493" width="19" style="1" bestFit="1" customWidth="1"/>
    <col min="10494" max="10732" width="9.08984375" style="1"/>
    <col min="10733" max="10734" width="9.08984375" style="1" customWidth="1"/>
    <col min="10735" max="10737" width="1.81640625" style="1" bestFit="1" customWidth="1"/>
    <col min="10738" max="10738" width="2.7265625" style="1" bestFit="1" customWidth="1"/>
    <col min="10739" max="10739" width="3.6328125" style="1" bestFit="1" customWidth="1"/>
    <col min="10740" max="10740" width="55.6328125" style="1" bestFit="1" customWidth="1"/>
    <col min="10741" max="10741" width="5" style="1" bestFit="1" customWidth="1"/>
    <col min="10742" max="10742" width="11.26953125" style="1" bestFit="1" customWidth="1"/>
    <col min="10743" max="10743" width="13.26953125" style="1" bestFit="1" customWidth="1"/>
    <col min="10744" max="10744" width="7.08984375" style="1" customWidth="1"/>
    <col min="10745" max="10745" width="10.08984375" style="1" bestFit="1" customWidth="1"/>
    <col min="10746" max="10746" width="14.36328125" style="1" bestFit="1" customWidth="1"/>
    <col min="10747" max="10747" width="8.81640625" style="1" bestFit="1" customWidth="1"/>
    <col min="10748" max="10748" width="7.6328125" style="1" bestFit="1" customWidth="1"/>
    <col min="10749" max="10749" width="19" style="1" bestFit="1" customWidth="1"/>
    <col min="10750" max="10988" width="9.08984375" style="1"/>
    <col min="10989" max="10990" width="9.08984375" style="1" customWidth="1"/>
    <col min="10991" max="10993" width="1.81640625" style="1" bestFit="1" customWidth="1"/>
    <col min="10994" max="10994" width="2.7265625" style="1" bestFit="1" customWidth="1"/>
    <col min="10995" max="10995" width="3.6328125" style="1" bestFit="1" customWidth="1"/>
    <col min="10996" max="10996" width="55.6328125" style="1" bestFit="1" customWidth="1"/>
    <col min="10997" max="10997" width="5" style="1" bestFit="1" customWidth="1"/>
    <col min="10998" max="10998" width="11.26953125" style="1" bestFit="1" customWidth="1"/>
    <col min="10999" max="10999" width="13.26953125" style="1" bestFit="1" customWidth="1"/>
    <col min="11000" max="11000" width="7.08984375" style="1" customWidth="1"/>
    <col min="11001" max="11001" width="10.08984375" style="1" bestFit="1" customWidth="1"/>
    <col min="11002" max="11002" width="14.36328125" style="1" bestFit="1" customWidth="1"/>
    <col min="11003" max="11003" width="8.81640625" style="1" bestFit="1" customWidth="1"/>
    <col min="11004" max="11004" width="7.6328125" style="1" bestFit="1" customWidth="1"/>
    <col min="11005" max="11005" width="19" style="1" bestFit="1" customWidth="1"/>
    <col min="11006" max="11244" width="9.08984375" style="1"/>
    <col min="11245" max="11246" width="9.08984375" style="1" customWidth="1"/>
    <col min="11247" max="11249" width="1.81640625" style="1" bestFit="1" customWidth="1"/>
    <col min="11250" max="11250" width="2.7265625" style="1" bestFit="1" customWidth="1"/>
    <col min="11251" max="11251" width="3.6328125" style="1" bestFit="1" customWidth="1"/>
    <col min="11252" max="11252" width="55.6328125" style="1" bestFit="1" customWidth="1"/>
    <col min="11253" max="11253" width="5" style="1" bestFit="1" customWidth="1"/>
    <col min="11254" max="11254" width="11.26953125" style="1" bestFit="1" customWidth="1"/>
    <col min="11255" max="11255" width="13.26953125" style="1" bestFit="1" customWidth="1"/>
    <col min="11256" max="11256" width="7.08984375" style="1" customWidth="1"/>
    <col min="11257" max="11257" width="10.08984375" style="1" bestFit="1" customWidth="1"/>
    <col min="11258" max="11258" width="14.36328125" style="1" bestFit="1" customWidth="1"/>
    <col min="11259" max="11259" width="8.81640625" style="1" bestFit="1" customWidth="1"/>
    <col min="11260" max="11260" width="7.6328125" style="1" bestFit="1" customWidth="1"/>
    <col min="11261" max="11261" width="19" style="1" bestFit="1" customWidth="1"/>
    <col min="11262" max="11500" width="9.08984375" style="1"/>
    <col min="11501" max="11502" width="9.08984375" style="1" customWidth="1"/>
    <col min="11503" max="11505" width="1.81640625" style="1" bestFit="1" customWidth="1"/>
    <col min="11506" max="11506" width="2.7265625" style="1" bestFit="1" customWidth="1"/>
    <col min="11507" max="11507" width="3.6328125" style="1" bestFit="1" customWidth="1"/>
    <col min="11508" max="11508" width="55.6328125" style="1" bestFit="1" customWidth="1"/>
    <col min="11509" max="11509" width="5" style="1" bestFit="1" customWidth="1"/>
    <col min="11510" max="11510" width="11.26953125" style="1" bestFit="1" customWidth="1"/>
    <col min="11511" max="11511" width="13.26953125" style="1" bestFit="1" customWidth="1"/>
    <col min="11512" max="11512" width="7.08984375" style="1" customWidth="1"/>
    <col min="11513" max="11513" width="10.08984375" style="1" bestFit="1" customWidth="1"/>
    <col min="11514" max="11514" width="14.36328125" style="1" bestFit="1" customWidth="1"/>
    <col min="11515" max="11515" width="8.81640625" style="1" bestFit="1" customWidth="1"/>
    <col min="11516" max="11516" width="7.6328125" style="1" bestFit="1" customWidth="1"/>
    <col min="11517" max="11517" width="19" style="1" bestFit="1" customWidth="1"/>
    <col min="11518" max="11756" width="9.08984375" style="1"/>
    <col min="11757" max="11758" width="9.08984375" style="1" customWidth="1"/>
    <col min="11759" max="11761" width="1.81640625" style="1" bestFit="1" customWidth="1"/>
    <col min="11762" max="11762" width="2.7265625" style="1" bestFit="1" customWidth="1"/>
    <col min="11763" max="11763" width="3.6328125" style="1" bestFit="1" customWidth="1"/>
    <col min="11764" max="11764" width="55.6328125" style="1" bestFit="1" customWidth="1"/>
    <col min="11765" max="11765" width="5" style="1" bestFit="1" customWidth="1"/>
    <col min="11766" max="11766" width="11.26953125" style="1" bestFit="1" customWidth="1"/>
    <col min="11767" max="11767" width="13.26953125" style="1" bestFit="1" customWidth="1"/>
    <col min="11768" max="11768" width="7.08984375" style="1" customWidth="1"/>
    <col min="11769" max="11769" width="10.08984375" style="1" bestFit="1" customWidth="1"/>
    <col min="11770" max="11770" width="14.36328125" style="1" bestFit="1" customWidth="1"/>
    <col min="11771" max="11771" width="8.81640625" style="1" bestFit="1" customWidth="1"/>
    <col min="11772" max="11772" width="7.6328125" style="1" bestFit="1" customWidth="1"/>
    <col min="11773" max="11773" width="19" style="1" bestFit="1" customWidth="1"/>
    <col min="11774" max="12012" width="9.08984375" style="1"/>
    <col min="12013" max="12014" width="9.08984375" style="1" customWidth="1"/>
    <col min="12015" max="12017" width="1.81640625" style="1" bestFit="1" customWidth="1"/>
    <col min="12018" max="12018" width="2.7265625" style="1" bestFit="1" customWidth="1"/>
    <col min="12019" max="12019" width="3.6328125" style="1" bestFit="1" customWidth="1"/>
    <col min="12020" max="12020" width="55.6328125" style="1" bestFit="1" customWidth="1"/>
    <col min="12021" max="12021" width="5" style="1" bestFit="1" customWidth="1"/>
    <col min="12022" max="12022" width="11.26953125" style="1" bestFit="1" customWidth="1"/>
    <col min="12023" max="12023" width="13.26953125" style="1" bestFit="1" customWidth="1"/>
    <col min="12024" max="12024" width="7.08984375" style="1" customWidth="1"/>
    <col min="12025" max="12025" width="10.08984375" style="1" bestFit="1" customWidth="1"/>
    <col min="12026" max="12026" width="14.36328125" style="1" bestFit="1" customWidth="1"/>
    <col min="12027" max="12027" width="8.81640625" style="1" bestFit="1" customWidth="1"/>
    <col min="12028" max="12028" width="7.6328125" style="1" bestFit="1" customWidth="1"/>
    <col min="12029" max="12029" width="19" style="1" bestFit="1" customWidth="1"/>
    <col min="12030" max="12268" width="9.08984375" style="1"/>
    <col min="12269" max="12270" width="9.08984375" style="1" customWidth="1"/>
    <col min="12271" max="12273" width="1.81640625" style="1" bestFit="1" customWidth="1"/>
    <col min="12274" max="12274" width="2.7265625" style="1" bestFit="1" customWidth="1"/>
    <col min="12275" max="12275" width="3.6328125" style="1" bestFit="1" customWidth="1"/>
    <col min="12276" max="12276" width="55.6328125" style="1" bestFit="1" customWidth="1"/>
    <col min="12277" max="12277" width="5" style="1" bestFit="1" customWidth="1"/>
    <col min="12278" max="12278" width="11.26953125" style="1" bestFit="1" customWidth="1"/>
    <col min="12279" max="12279" width="13.26953125" style="1" bestFit="1" customWidth="1"/>
    <col min="12280" max="12280" width="7.08984375" style="1" customWidth="1"/>
    <col min="12281" max="12281" width="10.08984375" style="1" bestFit="1" customWidth="1"/>
    <col min="12282" max="12282" width="14.36328125" style="1" bestFit="1" customWidth="1"/>
    <col min="12283" max="12283" width="8.81640625" style="1" bestFit="1" customWidth="1"/>
    <col min="12284" max="12284" width="7.6328125" style="1" bestFit="1" customWidth="1"/>
    <col min="12285" max="12285" width="19" style="1" bestFit="1" customWidth="1"/>
    <col min="12286" max="12524" width="9.08984375" style="1"/>
    <col min="12525" max="12526" width="9.08984375" style="1" customWidth="1"/>
    <col min="12527" max="12529" width="1.81640625" style="1" bestFit="1" customWidth="1"/>
    <col min="12530" max="12530" width="2.7265625" style="1" bestFit="1" customWidth="1"/>
    <col min="12531" max="12531" width="3.6328125" style="1" bestFit="1" customWidth="1"/>
    <col min="12532" max="12532" width="55.6328125" style="1" bestFit="1" customWidth="1"/>
    <col min="12533" max="12533" width="5" style="1" bestFit="1" customWidth="1"/>
    <col min="12534" max="12534" width="11.26953125" style="1" bestFit="1" customWidth="1"/>
    <col min="12535" max="12535" width="13.26953125" style="1" bestFit="1" customWidth="1"/>
    <col min="12536" max="12536" width="7.08984375" style="1" customWidth="1"/>
    <col min="12537" max="12537" width="10.08984375" style="1" bestFit="1" customWidth="1"/>
    <col min="12538" max="12538" width="14.36328125" style="1" bestFit="1" customWidth="1"/>
    <col min="12539" max="12539" width="8.81640625" style="1" bestFit="1" customWidth="1"/>
    <col min="12540" max="12540" width="7.6328125" style="1" bestFit="1" customWidth="1"/>
    <col min="12541" max="12541" width="19" style="1" bestFit="1" customWidth="1"/>
    <col min="12542" max="12780" width="9.08984375" style="1"/>
    <col min="12781" max="12782" width="9.08984375" style="1" customWidth="1"/>
    <col min="12783" max="12785" width="1.81640625" style="1" bestFit="1" customWidth="1"/>
    <col min="12786" max="12786" width="2.7265625" style="1" bestFit="1" customWidth="1"/>
    <col min="12787" max="12787" width="3.6328125" style="1" bestFit="1" customWidth="1"/>
    <col min="12788" max="12788" width="55.6328125" style="1" bestFit="1" customWidth="1"/>
    <col min="12789" max="12789" width="5" style="1" bestFit="1" customWidth="1"/>
    <col min="12790" max="12790" width="11.26953125" style="1" bestFit="1" customWidth="1"/>
    <col min="12791" max="12791" width="13.26953125" style="1" bestFit="1" customWidth="1"/>
    <col min="12792" max="12792" width="7.08984375" style="1" customWidth="1"/>
    <col min="12793" max="12793" width="10.08984375" style="1" bestFit="1" customWidth="1"/>
    <col min="12794" max="12794" width="14.36328125" style="1" bestFit="1" customWidth="1"/>
    <col min="12795" max="12795" width="8.81640625" style="1" bestFit="1" customWidth="1"/>
    <col min="12796" max="12796" width="7.6328125" style="1" bestFit="1" customWidth="1"/>
    <col min="12797" max="12797" width="19" style="1" bestFit="1" customWidth="1"/>
    <col min="12798" max="13036" width="9.08984375" style="1"/>
    <col min="13037" max="13038" width="9.08984375" style="1" customWidth="1"/>
    <col min="13039" max="13041" width="1.81640625" style="1" bestFit="1" customWidth="1"/>
    <col min="13042" max="13042" width="2.7265625" style="1" bestFit="1" customWidth="1"/>
    <col min="13043" max="13043" width="3.6328125" style="1" bestFit="1" customWidth="1"/>
    <col min="13044" max="13044" width="55.6328125" style="1" bestFit="1" customWidth="1"/>
    <col min="13045" max="13045" width="5" style="1" bestFit="1" customWidth="1"/>
    <col min="13046" max="13046" width="11.26953125" style="1" bestFit="1" customWidth="1"/>
    <col min="13047" max="13047" width="13.26953125" style="1" bestFit="1" customWidth="1"/>
    <col min="13048" max="13048" width="7.08984375" style="1" customWidth="1"/>
    <col min="13049" max="13049" width="10.08984375" style="1" bestFit="1" customWidth="1"/>
    <col min="13050" max="13050" width="14.36328125" style="1" bestFit="1" customWidth="1"/>
    <col min="13051" max="13051" width="8.81640625" style="1" bestFit="1" customWidth="1"/>
    <col min="13052" max="13052" width="7.6328125" style="1" bestFit="1" customWidth="1"/>
    <col min="13053" max="13053" width="19" style="1" bestFit="1" customWidth="1"/>
    <col min="13054" max="13292" width="9.08984375" style="1"/>
    <col min="13293" max="13294" width="9.08984375" style="1" customWidth="1"/>
    <col min="13295" max="13297" width="1.81640625" style="1" bestFit="1" customWidth="1"/>
    <col min="13298" max="13298" width="2.7265625" style="1" bestFit="1" customWidth="1"/>
    <col min="13299" max="13299" width="3.6328125" style="1" bestFit="1" customWidth="1"/>
    <col min="13300" max="13300" width="55.6328125" style="1" bestFit="1" customWidth="1"/>
    <col min="13301" max="13301" width="5" style="1" bestFit="1" customWidth="1"/>
    <col min="13302" max="13302" width="11.26953125" style="1" bestFit="1" customWidth="1"/>
    <col min="13303" max="13303" width="13.26953125" style="1" bestFit="1" customWidth="1"/>
    <col min="13304" max="13304" width="7.08984375" style="1" customWidth="1"/>
    <col min="13305" max="13305" width="10.08984375" style="1" bestFit="1" customWidth="1"/>
    <col min="13306" max="13306" width="14.36328125" style="1" bestFit="1" customWidth="1"/>
    <col min="13307" max="13307" width="8.81640625" style="1" bestFit="1" customWidth="1"/>
    <col min="13308" max="13308" width="7.6328125" style="1" bestFit="1" customWidth="1"/>
    <col min="13309" max="13309" width="19" style="1" bestFit="1" customWidth="1"/>
    <col min="13310" max="13548" width="9.08984375" style="1"/>
    <col min="13549" max="13550" width="9.08984375" style="1" customWidth="1"/>
    <col min="13551" max="13553" width="1.81640625" style="1" bestFit="1" customWidth="1"/>
    <col min="13554" max="13554" width="2.7265625" style="1" bestFit="1" customWidth="1"/>
    <col min="13555" max="13555" width="3.6328125" style="1" bestFit="1" customWidth="1"/>
    <col min="13556" max="13556" width="55.6328125" style="1" bestFit="1" customWidth="1"/>
    <col min="13557" max="13557" width="5" style="1" bestFit="1" customWidth="1"/>
    <col min="13558" max="13558" width="11.26953125" style="1" bestFit="1" customWidth="1"/>
    <col min="13559" max="13559" width="13.26953125" style="1" bestFit="1" customWidth="1"/>
    <col min="13560" max="13560" width="7.08984375" style="1" customWidth="1"/>
    <col min="13561" max="13561" width="10.08984375" style="1" bestFit="1" customWidth="1"/>
    <col min="13562" max="13562" width="14.36328125" style="1" bestFit="1" customWidth="1"/>
    <col min="13563" max="13563" width="8.81640625" style="1" bestFit="1" customWidth="1"/>
    <col min="13564" max="13564" width="7.6328125" style="1" bestFit="1" customWidth="1"/>
    <col min="13565" max="13565" width="19" style="1" bestFit="1" customWidth="1"/>
    <col min="13566" max="13804" width="9.08984375" style="1"/>
    <col min="13805" max="13806" width="9.08984375" style="1" customWidth="1"/>
    <col min="13807" max="13809" width="1.81640625" style="1" bestFit="1" customWidth="1"/>
    <col min="13810" max="13810" width="2.7265625" style="1" bestFit="1" customWidth="1"/>
    <col min="13811" max="13811" width="3.6328125" style="1" bestFit="1" customWidth="1"/>
    <col min="13812" max="13812" width="55.6328125" style="1" bestFit="1" customWidth="1"/>
    <col min="13813" max="13813" width="5" style="1" bestFit="1" customWidth="1"/>
    <col min="13814" max="13814" width="11.26953125" style="1" bestFit="1" customWidth="1"/>
    <col min="13815" max="13815" width="13.26953125" style="1" bestFit="1" customWidth="1"/>
    <col min="13816" max="13816" width="7.08984375" style="1" customWidth="1"/>
    <col min="13817" max="13817" width="10.08984375" style="1" bestFit="1" customWidth="1"/>
    <col min="13818" max="13818" width="14.36328125" style="1" bestFit="1" customWidth="1"/>
    <col min="13819" max="13819" width="8.81640625" style="1" bestFit="1" customWidth="1"/>
    <col min="13820" max="13820" width="7.6328125" style="1" bestFit="1" customWidth="1"/>
    <col min="13821" max="13821" width="19" style="1" bestFit="1" customWidth="1"/>
    <col min="13822" max="14060" width="9.08984375" style="1"/>
    <col min="14061" max="14062" width="9.08984375" style="1" customWidth="1"/>
    <col min="14063" max="14065" width="1.81640625" style="1" bestFit="1" customWidth="1"/>
    <col min="14066" max="14066" width="2.7265625" style="1" bestFit="1" customWidth="1"/>
    <col min="14067" max="14067" width="3.6328125" style="1" bestFit="1" customWidth="1"/>
    <col min="14068" max="14068" width="55.6328125" style="1" bestFit="1" customWidth="1"/>
    <col min="14069" max="14069" width="5" style="1" bestFit="1" customWidth="1"/>
    <col min="14070" max="14070" width="11.26953125" style="1" bestFit="1" customWidth="1"/>
    <col min="14071" max="14071" width="13.26953125" style="1" bestFit="1" customWidth="1"/>
    <col min="14072" max="14072" width="7.08984375" style="1" customWidth="1"/>
    <col min="14073" max="14073" width="10.08984375" style="1" bestFit="1" customWidth="1"/>
    <col min="14074" max="14074" width="14.36328125" style="1" bestFit="1" customWidth="1"/>
    <col min="14075" max="14075" width="8.81640625" style="1" bestFit="1" customWidth="1"/>
    <col min="14076" max="14076" width="7.6328125" style="1" bestFit="1" customWidth="1"/>
    <col min="14077" max="14077" width="19" style="1" bestFit="1" customWidth="1"/>
    <col min="14078" max="14316" width="9.08984375" style="1"/>
    <col min="14317" max="14318" width="9.08984375" style="1" customWidth="1"/>
    <col min="14319" max="14321" width="1.81640625" style="1" bestFit="1" customWidth="1"/>
    <col min="14322" max="14322" width="2.7265625" style="1" bestFit="1" customWidth="1"/>
    <col min="14323" max="14323" width="3.6328125" style="1" bestFit="1" customWidth="1"/>
    <col min="14324" max="14324" width="55.6328125" style="1" bestFit="1" customWidth="1"/>
    <col min="14325" max="14325" width="5" style="1" bestFit="1" customWidth="1"/>
    <col min="14326" max="14326" width="11.26953125" style="1" bestFit="1" customWidth="1"/>
    <col min="14327" max="14327" width="13.26953125" style="1" bestFit="1" customWidth="1"/>
    <col min="14328" max="14328" width="7.08984375" style="1" customWidth="1"/>
    <col min="14329" max="14329" width="10.08984375" style="1" bestFit="1" customWidth="1"/>
    <col min="14330" max="14330" width="14.36328125" style="1" bestFit="1" customWidth="1"/>
    <col min="14331" max="14331" width="8.81640625" style="1" bestFit="1" customWidth="1"/>
    <col min="14332" max="14332" width="7.6328125" style="1" bestFit="1" customWidth="1"/>
    <col min="14333" max="14333" width="19" style="1" bestFit="1" customWidth="1"/>
    <col min="14334" max="14572" width="9.08984375" style="1"/>
    <col min="14573" max="14574" width="9.08984375" style="1" customWidth="1"/>
    <col min="14575" max="14577" width="1.81640625" style="1" bestFit="1" customWidth="1"/>
    <col min="14578" max="14578" width="2.7265625" style="1" bestFit="1" customWidth="1"/>
    <col min="14579" max="14579" width="3.6328125" style="1" bestFit="1" customWidth="1"/>
    <col min="14580" max="14580" width="55.6328125" style="1" bestFit="1" customWidth="1"/>
    <col min="14581" max="14581" width="5" style="1" bestFit="1" customWidth="1"/>
    <col min="14582" max="14582" width="11.26953125" style="1" bestFit="1" customWidth="1"/>
    <col min="14583" max="14583" width="13.26953125" style="1" bestFit="1" customWidth="1"/>
    <col min="14584" max="14584" width="7.08984375" style="1" customWidth="1"/>
    <col min="14585" max="14585" width="10.08984375" style="1" bestFit="1" customWidth="1"/>
    <col min="14586" max="14586" width="14.36328125" style="1" bestFit="1" customWidth="1"/>
    <col min="14587" max="14587" width="8.81640625" style="1" bestFit="1" customWidth="1"/>
    <col min="14588" max="14588" width="7.6328125" style="1" bestFit="1" customWidth="1"/>
    <col min="14589" max="14589" width="19" style="1" bestFit="1" customWidth="1"/>
    <col min="14590" max="14828" width="9.08984375" style="1"/>
    <col min="14829" max="14830" width="9.08984375" style="1" customWidth="1"/>
    <col min="14831" max="14833" width="1.81640625" style="1" bestFit="1" customWidth="1"/>
    <col min="14834" max="14834" width="2.7265625" style="1" bestFit="1" customWidth="1"/>
    <col min="14835" max="14835" width="3.6328125" style="1" bestFit="1" customWidth="1"/>
    <col min="14836" max="14836" width="55.6328125" style="1" bestFit="1" customWidth="1"/>
    <col min="14837" max="14837" width="5" style="1" bestFit="1" customWidth="1"/>
    <col min="14838" max="14838" width="11.26953125" style="1" bestFit="1" customWidth="1"/>
    <col min="14839" max="14839" width="13.26953125" style="1" bestFit="1" customWidth="1"/>
    <col min="14840" max="14840" width="7.08984375" style="1" customWidth="1"/>
    <col min="14841" max="14841" width="10.08984375" style="1" bestFit="1" customWidth="1"/>
    <col min="14842" max="14842" width="14.36328125" style="1" bestFit="1" customWidth="1"/>
    <col min="14843" max="14843" width="8.81640625" style="1" bestFit="1" customWidth="1"/>
    <col min="14844" max="14844" width="7.6328125" style="1" bestFit="1" customWidth="1"/>
    <col min="14845" max="14845" width="19" style="1" bestFit="1" customWidth="1"/>
    <col min="14846" max="15084" width="9.08984375" style="1"/>
    <col min="15085" max="15086" width="9.08984375" style="1" customWidth="1"/>
    <col min="15087" max="15089" width="1.81640625" style="1" bestFit="1" customWidth="1"/>
    <col min="15090" max="15090" width="2.7265625" style="1" bestFit="1" customWidth="1"/>
    <col min="15091" max="15091" width="3.6328125" style="1" bestFit="1" customWidth="1"/>
    <col min="15092" max="15092" width="55.6328125" style="1" bestFit="1" customWidth="1"/>
    <col min="15093" max="15093" width="5" style="1" bestFit="1" customWidth="1"/>
    <col min="15094" max="15094" width="11.26953125" style="1" bestFit="1" customWidth="1"/>
    <col min="15095" max="15095" width="13.26953125" style="1" bestFit="1" customWidth="1"/>
    <col min="15096" max="15096" width="7.08984375" style="1" customWidth="1"/>
    <col min="15097" max="15097" width="10.08984375" style="1" bestFit="1" customWidth="1"/>
    <col min="15098" max="15098" width="14.36328125" style="1" bestFit="1" customWidth="1"/>
    <col min="15099" max="15099" width="8.81640625" style="1" bestFit="1" customWidth="1"/>
    <col min="15100" max="15100" width="7.6328125" style="1" bestFit="1" customWidth="1"/>
    <col min="15101" max="15101" width="19" style="1" bestFit="1" customWidth="1"/>
    <col min="15102" max="15340" width="9.08984375" style="1"/>
    <col min="15341" max="15342" width="9.08984375" style="1" customWidth="1"/>
    <col min="15343" max="15345" width="1.81640625" style="1" bestFit="1" customWidth="1"/>
    <col min="15346" max="15346" width="2.7265625" style="1" bestFit="1" customWidth="1"/>
    <col min="15347" max="15347" width="3.6328125" style="1" bestFit="1" customWidth="1"/>
    <col min="15348" max="15348" width="55.6328125" style="1" bestFit="1" customWidth="1"/>
    <col min="15349" max="15349" width="5" style="1" bestFit="1" customWidth="1"/>
    <col min="15350" max="15350" width="11.26953125" style="1" bestFit="1" customWidth="1"/>
    <col min="15351" max="15351" width="13.26953125" style="1" bestFit="1" customWidth="1"/>
    <col min="15352" max="15352" width="7.08984375" style="1" customWidth="1"/>
    <col min="15353" max="15353" width="10.08984375" style="1" bestFit="1" customWidth="1"/>
    <col min="15354" max="15354" width="14.36328125" style="1" bestFit="1" customWidth="1"/>
    <col min="15355" max="15355" width="8.81640625" style="1" bestFit="1" customWidth="1"/>
    <col min="15356" max="15356" width="7.6328125" style="1" bestFit="1" customWidth="1"/>
    <col min="15357" max="15357" width="19" style="1" bestFit="1" customWidth="1"/>
    <col min="15358" max="15596" width="9.08984375" style="1"/>
    <col min="15597" max="15598" width="9.08984375" style="1" customWidth="1"/>
    <col min="15599" max="15601" width="1.81640625" style="1" bestFit="1" customWidth="1"/>
    <col min="15602" max="15602" width="2.7265625" style="1" bestFit="1" customWidth="1"/>
    <col min="15603" max="15603" width="3.6328125" style="1" bestFit="1" customWidth="1"/>
    <col min="15604" max="15604" width="55.6328125" style="1" bestFit="1" customWidth="1"/>
    <col min="15605" max="15605" width="5" style="1" bestFit="1" customWidth="1"/>
    <col min="15606" max="15606" width="11.26953125" style="1" bestFit="1" customWidth="1"/>
    <col min="15607" max="15607" width="13.26953125" style="1" bestFit="1" customWidth="1"/>
    <col min="15608" max="15608" width="7.08984375" style="1" customWidth="1"/>
    <col min="15609" max="15609" width="10.08984375" style="1" bestFit="1" customWidth="1"/>
    <col min="15610" max="15610" width="14.36328125" style="1" bestFit="1" customWidth="1"/>
    <col min="15611" max="15611" width="8.81640625" style="1" bestFit="1" customWidth="1"/>
    <col min="15612" max="15612" width="7.6328125" style="1" bestFit="1" customWidth="1"/>
    <col min="15613" max="15613" width="19" style="1" bestFit="1" customWidth="1"/>
    <col min="15614" max="15852" width="9.08984375" style="1"/>
    <col min="15853" max="15854" width="9.08984375" style="1" customWidth="1"/>
    <col min="15855" max="15857" width="1.81640625" style="1" bestFit="1" customWidth="1"/>
    <col min="15858" max="15858" width="2.7265625" style="1" bestFit="1" customWidth="1"/>
    <col min="15859" max="15859" width="3.6328125" style="1" bestFit="1" customWidth="1"/>
    <col min="15860" max="15860" width="55.6328125" style="1" bestFit="1" customWidth="1"/>
    <col min="15861" max="15861" width="5" style="1" bestFit="1" customWidth="1"/>
    <col min="15862" max="15862" width="11.26953125" style="1" bestFit="1" customWidth="1"/>
    <col min="15863" max="15863" width="13.26953125" style="1" bestFit="1" customWidth="1"/>
    <col min="15864" max="15864" width="7.08984375" style="1" customWidth="1"/>
    <col min="15865" max="15865" width="10.08984375" style="1" bestFit="1" customWidth="1"/>
    <col min="15866" max="15866" width="14.36328125" style="1" bestFit="1" customWidth="1"/>
    <col min="15867" max="15867" width="8.81640625" style="1" bestFit="1" customWidth="1"/>
    <col min="15868" max="15868" width="7.6328125" style="1" bestFit="1" customWidth="1"/>
    <col min="15869" max="15869" width="19" style="1" bestFit="1" customWidth="1"/>
    <col min="15870" max="16108" width="9.08984375" style="1"/>
    <col min="16109" max="16110" width="9.08984375" style="1" customWidth="1"/>
    <col min="16111" max="16113" width="1.81640625" style="1" bestFit="1" customWidth="1"/>
    <col min="16114" max="16114" width="2.7265625" style="1" bestFit="1" customWidth="1"/>
    <col min="16115" max="16115" width="3.6328125" style="1" bestFit="1" customWidth="1"/>
    <col min="16116" max="16116" width="55.6328125" style="1" bestFit="1" customWidth="1"/>
    <col min="16117" max="16117" width="5" style="1" bestFit="1" customWidth="1"/>
    <col min="16118" max="16118" width="11.26953125" style="1" bestFit="1" customWidth="1"/>
    <col min="16119" max="16119" width="13.26953125" style="1" bestFit="1" customWidth="1"/>
    <col min="16120" max="16120" width="7.08984375" style="1" customWidth="1"/>
    <col min="16121" max="16121" width="10.08984375" style="1" bestFit="1" customWidth="1"/>
    <col min="16122" max="16122" width="14.36328125" style="1" bestFit="1" customWidth="1"/>
    <col min="16123" max="16123" width="8.81640625" style="1" bestFit="1" customWidth="1"/>
    <col min="16124" max="16124" width="7.6328125" style="1" bestFit="1" customWidth="1"/>
    <col min="16125" max="16125" width="19" style="1" bestFit="1" customWidth="1"/>
    <col min="16126" max="16384" width="9.08984375" style="1"/>
  </cols>
  <sheetData>
    <row r="1" spans="1:17" ht="15" customHeight="1" x14ac:dyDescent="0.25">
      <c r="A1" s="317" t="s">
        <v>16</v>
      </c>
      <c r="B1" s="317"/>
      <c r="C1" s="317"/>
      <c r="D1" s="317"/>
      <c r="E1" s="317"/>
      <c r="F1" s="317" t="s">
        <v>17</v>
      </c>
      <c r="G1" s="317" t="s">
        <v>18</v>
      </c>
      <c r="H1" s="317" t="s">
        <v>19</v>
      </c>
      <c r="I1" s="316" t="s">
        <v>878</v>
      </c>
      <c r="J1" s="316"/>
      <c r="K1" s="316"/>
      <c r="L1" s="24" t="s">
        <v>908</v>
      </c>
    </row>
    <row r="2" spans="1:17" x14ac:dyDescent="0.25">
      <c r="A2" s="318"/>
      <c r="B2" s="318"/>
      <c r="C2" s="318"/>
      <c r="D2" s="318"/>
      <c r="E2" s="318"/>
      <c r="F2" s="318"/>
      <c r="G2" s="318"/>
      <c r="H2" s="318"/>
      <c r="I2" s="6" t="s">
        <v>904</v>
      </c>
      <c r="J2" s="6" t="s">
        <v>906</v>
      </c>
      <c r="K2" s="6" t="s">
        <v>905</v>
      </c>
      <c r="L2" s="2" t="s">
        <v>907</v>
      </c>
    </row>
    <row r="3" spans="1:17" s="2" customFormat="1" x14ac:dyDescent="0.35">
      <c r="A3" s="7"/>
      <c r="B3" s="7"/>
      <c r="C3" s="7"/>
      <c r="D3" s="7"/>
      <c r="E3" s="7"/>
      <c r="F3" s="7"/>
      <c r="G3" s="7"/>
      <c r="H3" s="7"/>
      <c r="L3" s="2" t="s">
        <v>910</v>
      </c>
      <c r="M3" s="2" t="s">
        <v>911</v>
      </c>
      <c r="N3" s="2" t="s">
        <v>912</v>
      </c>
    </row>
    <row r="4" spans="1:17" x14ac:dyDescent="0.25">
      <c r="A4" s="8" t="s">
        <v>20</v>
      </c>
      <c r="B4" s="8"/>
      <c r="C4" s="8"/>
      <c r="D4" s="8"/>
      <c r="E4" s="8"/>
      <c r="F4" s="9" t="s">
        <v>21</v>
      </c>
      <c r="G4" s="10" t="s">
        <v>22</v>
      </c>
      <c r="H4" s="10" t="s">
        <v>23</v>
      </c>
      <c r="I4" s="10" t="s">
        <v>907</v>
      </c>
      <c r="J4" s="10" t="s">
        <v>907</v>
      </c>
      <c r="K4" s="10" t="s">
        <v>907</v>
      </c>
      <c r="M4" s="10" t="s">
        <v>907</v>
      </c>
      <c r="N4" s="10"/>
      <c r="P4" s="1" t="str">
        <f>CONCATENATE(A4,B4,C4,D4,E4)</f>
        <v>1</v>
      </c>
    </row>
    <row r="5" spans="1:17" x14ac:dyDescent="0.25">
      <c r="A5" s="12" t="s">
        <v>20</v>
      </c>
      <c r="B5" s="12" t="s">
        <v>20</v>
      </c>
      <c r="C5" s="12"/>
      <c r="D5" s="12"/>
      <c r="E5" s="12"/>
      <c r="F5" s="13" t="s">
        <v>24</v>
      </c>
      <c r="G5" s="14" t="s">
        <v>22</v>
      </c>
      <c r="H5" s="14" t="s">
        <v>23</v>
      </c>
      <c r="I5" s="14" t="s">
        <v>907</v>
      </c>
      <c r="J5" s="14" t="s">
        <v>907</v>
      </c>
      <c r="K5" s="14" t="s">
        <v>907</v>
      </c>
      <c r="M5" s="14" t="s">
        <v>907</v>
      </c>
      <c r="N5" s="14"/>
      <c r="P5" s="1" t="str">
        <f t="shared" ref="P5:P68" si="0">CONCATENATE(A5,B5,C5,D5,E5)</f>
        <v>11</v>
      </c>
    </row>
    <row r="6" spans="1:17" x14ac:dyDescent="0.25">
      <c r="A6" s="16" t="s">
        <v>20</v>
      </c>
      <c r="B6" s="16" t="s">
        <v>20</v>
      </c>
      <c r="C6" s="17" t="s">
        <v>20</v>
      </c>
      <c r="D6" s="16"/>
      <c r="E6" s="16"/>
      <c r="F6" s="18" t="s">
        <v>25</v>
      </c>
      <c r="G6" s="19" t="s">
        <v>22</v>
      </c>
      <c r="H6" s="19" t="s">
        <v>23</v>
      </c>
      <c r="I6" s="19" t="s">
        <v>907</v>
      </c>
      <c r="J6" s="19" t="s">
        <v>907</v>
      </c>
      <c r="K6" s="19" t="s">
        <v>907</v>
      </c>
      <c r="M6" s="19" t="s">
        <v>907</v>
      </c>
      <c r="N6" s="19"/>
      <c r="P6" s="1" t="str">
        <f t="shared" si="0"/>
        <v>111</v>
      </c>
    </row>
    <row r="7" spans="1:17" x14ac:dyDescent="0.25">
      <c r="A7" s="20" t="s">
        <v>20</v>
      </c>
      <c r="B7" s="20" t="s">
        <v>20</v>
      </c>
      <c r="C7" s="20">
        <v>1</v>
      </c>
      <c r="D7" s="21" t="s">
        <v>0</v>
      </c>
      <c r="E7" s="20"/>
      <c r="F7" s="22" t="s">
        <v>26</v>
      </c>
      <c r="G7" s="23" t="s">
        <v>22</v>
      </c>
      <c r="H7" s="23" t="s">
        <v>23</v>
      </c>
      <c r="I7" s="23" t="s">
        <v>907</v>
      </c>
      <c r="J7" s="23" t="s">
        <v>907</v>
      </c>
      <c r="K7" s="23" t="s">
        <v>907</v>
      </c>
      <c r="M7" s="23" t="s">
        <v>907</v>
      </c>
      <c r="N7" s="23"/>
      <c r="P7" s="1" t="str">
        <f t="shared" si="0"/>
        <v>11101</v>
      </c>
    </row>
    <row r="8" spans="1:17" x14ac:dyDescent="0.25">
      <c r="A8" s="24" t="s">
        <v>20</v>
      </c>
      <c r="B8" s="24" t="s">
        <v>20</v>
      </c>
      <c r="C8" s="24">
        <v>1</v>
      </c>
      <c r="D8" s="24" t="s">
        <v>0</v>
      </c>
      <c r="E8" s="25" t="s">
        <v>1</v>
      </c>
      <c r="F8" s="5" t="s">
        <v>27</v>
      </c>
      <c r="G8" s="2" t="s">
        <v>22</v>
      </c>
      <c r="H8" s="2" t="s">
        <v>23</v>
      </c>
      <c r="I8" s="24" t="s">
        <v>908</v>
      </c>
      <c r="J8" s="24" t="s">
        <v>908</v>
      </c>
      <c r="K8" s="24" t="s">
        <v>908</v>
      </c>
      <c r="M8" s="24" t="s">
        <v>908</v>
      </c>
      <c r="N8" s="24"/>
      <c r="P8" s="1" t="str">
        <f t="shared" si="0"/>
        <v>11101001</v>
      </c>
      <c r="Q8" s="263" t="str">
        <f>F8</f>
        <v>House Bank Main Safe</v>
      </c>
    </row>
    <row r="9" spans="1:17" x14ac:dyDescent="0.25">
      <c r="A9" s="24" t="s">
        <v>20</v>
      </c>
      <c r="B9" s="24" t="s">
        <v>20</v>
      </c>
      <c r="C9" s="24">
        <v>1</v>
      </c>
      <c r="D9" s="24" t="s">
        <v>0</v>
      </c>
      <c r="E9" s="25" t="s">
        <v>3</v>
      </c>
      <c r="F9" s="5" t="s">
        <v>28</v>
      </c>
      <c r="G9" s="2" t="s">
        <v>22</v>
      </c>
      <c r="H9" s="2" t="s">
        <v>23</v>
      </c>
      <c r="I9" s="24" t="s">
        <v>908</v>
      </c>
      <c r="J9" s="24" t="s">
        <v>908</v>
      </c>
      <c r="K9" s="24" t="s">
        <v>908</v>
      </c>
      <c r="M9" s="24" t="s">
        <v>908</v>
      </c>
      <c r="N9" s="24"/>
      <c r="P9" s="1" t="str">
        <f t="shared" si="0"/>
        <v>11101002</v>
      </c>
      <c r="Q9" s="263" t="str">
        <f t="shared" ref="Q9:Q72" si="1">F9</f>
        <v>House Bank Front Office</v>
      </c>
    </row>
    <row r="10" spans="1:17" x14ac:dyDescent="0.25">
      <c r="A10" s="24" t="s">
        <v>20</v>
      </c>
      <c r="B10" s="24" t="s">
        <v>20</v>
      </c>
      <c r="C10" s="24">
        <v>1</v>
      </c>
      <c r="D10" s="24" t="s">
        <v>0</v>
      </c>
      <c r="E10" s="25" t="s">
        <v>5</v>
      </c>
      <c r="F10" s="5" t="s">
        <v>29</v>
      </c>
      <c r="G10" s="2" t="s">
        <v>22</v>
      </c>
      <c r="H10" s="2" t="s">
        <v>23</v>
      </c>
      <c r="I10" s="24" t="s">
        <v>907</v>
      </c>
      <c r="J10" s="24" t="s">
        <v>910</v>
      </c>
      <c r="K10" s="24" t="s">
        <v>908</v>
      </c>
      <c r="M10" s="24" t="s">
        <v>907</v>
      </c>
      <c r="N10" s="24"/>
      <c r="P10" s="1" t="str">
        <f t="shared" si="0"/>
        <v>11101003</v>
      </c>
      <c r="Q10" s="263" t="str">
        <f t="shared" si="1"/>
        <v>House Bank FB</v>
      </c>
    </row>
    <row r="11" spans="1:17" x14ac:dyDescent="0.25">
      <c r="A11" s="24" t="s">
        <v>20</v>
      </c>
      <c r="B11" s="24" t="s">
        <v>20</v>
      </c>
      <c r="C11" s="24">
        <v>1</v>
      </c>
      <c r="D11" s="24" t="s">
        <v>0</v>
      </c>
      <c r="E11" s="25" t="s">
        <v>7</v>
      </c>
      <c r="F11" s="5" t="s">
        <v>30</v>
      </c>
      <c r="G11" s="2" t="s">
        <v>22</v>
      </c>
      <c r="H11" s="2" t="s">
        <v>23</v>
      </c>
      <c r="I11" s="24" t="s">
        <v>907</v>
      </c>
      <c r="J11" s="24" t="s">
        <v>910</v>
      </c>
      <c r="K11" s="24" t="s">
        <v>910</v>
      </c>
      <c r="M11" s="24" t="s">
        <v>907</v>
      </c>
      <c r="N11" s="24"/>
      <c r="P11" s="1" t="str">
        <f t="shared" si="0"/>
        <v>11101004</v>
      </c>
      <c r="Q11" s="263" t="str">
        <f t="shared" si="1"/>
        <v>House Bank Spa</v>
      </c>
    </row>
    <row r="12" spans="1:17" x14ac:dyDescent="0.25">
      <c r="A12" s="24" t="s">
        <v>20</v>
      </c>
      <c r="B12" s="24" t="s">
        <v>20</v>
      </c>
      <c r="C12" s="24">
        <v>1</v>
      </c>
      <c r="D12" s="24" t="s">
        <v>0</v>
      </c>
      <c r="E12" s="25" t="s">
        <v>9</v>
      </c>
      <c r="F12" s="5" t="s">
        <v>812</v>
      </c>
      <c r="G12" s="2" t="s">
        <v>22</v>
      </c>
      <c r="H12" s="2" t="s">
        <v>23</v>
      </c>
      <c r="I12" s="2" t="s">
        <v>908</v>
      </c>
      <c r="J12" s="2" t="s">
        <v>908</v>
      </c>
      <c r="K12" s="2" t="s">
        <v>908</v>
      </c>
      <c r="L12" s="2" t="s">
        <v>909</v>
      </c>
      <c r="M12" s="2" t="s">
        <v>908</v>
      </c>
      <c r="N12" s="2"/>
      <c r="P12" s="1" t="str">
        <f t="shared" si="0"/>
        <v>11101005</v>
      </c>
      <c r="Q12" s="263" t="str">
        <f t="shared" si="1"/>
        <v>Front Office Cash Clearance</v>
      </c>
    </row>
    <row r="13" spans="1:17" x14ac:dyDescent="0.25">
      <c r="A13" s="24" t="s">
        <v>20</v>
      </c>
      <c r="B13" s="24" t="s">
        <v>20</v>
      </c>
      <c r="C13" s="24">
        <v>1</v>
      </c>
      <c r="D13" s="24" t="s">
        <v>0</v>
      </c>
      <c r="E13" s="25" t="s">
        <v>10</v>
      </c>
      <c r="F13" s="5" t="s">
        <v>813</v>
      </c>
      <c r="G13" s="2" t="s">
        <v>22</v>
      </c>
      <c r="H13" s="2" t="s">
        <v>23</v>
      </c>
      <c r="I13" s="24" t="s">
        <v>908</v>
      </c>
      <c r="J13" s="24" t="s">
        <v>908</v>
      </c>
      <c r="K13" s="24" t="s">
        <v>908</v>
      </c>
      <c r="L13" s="2" t="s">
        <v>909</v>
      </c>
      <c r="M13" s="24" t="s">
        <v>908</v>
      </c>
      <c r="N13" s="24"/>
      <c r="P13" s="1" t="str">
        <f t="shared" si="0"/>
        <v>11101006</v>
      </c>
      <c r="Q13" s="263" t="str">
        <f t="shared" si="1"/>
        <v>Back Office Cash Clearance</v>
      </c>
    </row>
    <row r="14" spans="1:17" x14ac:dyDescent="0.25">
      <c r="A14" s="20" t="s">
        <v>20</v>
      </c>
      <c r="B14" s="20" t="s">
        <v>20</v>
      </c>
      <c r="C14" s="20">
        <v>1</v>
      </c>
      <c r="D14" s="20" t="s">
        <v>2</v>
      </c>
      <c r="E14" s="20"/>
      <c r="F14" s="22" t="s">
        <v>31</v>
      </c>
      <c r="G14" s="23" t="s">
        <v>22</v>
      </c>
      <c r="H14" s="23" t="s">
        <v>23</v>
      </c>
      <c r="I14" s="23" t="s">
        <v>907</v>
      </c>
      <c r="J14" s="23" t="s">
        <v>907</v>
      </c>
      <c r="K14" s="23" t="s">
        <v>907</v>
      </c>
      <c r="M14" s="23" t="s">
        <v>907</v>
      </c>
      <c r="N14" s="23"/>
      <c r="P14" s="1" t="str">
        <f t="shared" si="0"/>
        <v>11102</v>
      </c>
      <c r="Q14" s="263" t="str">
        <f t="shared" si="1"/>
        <v>Bank</v>
      </c>
    </row>
    <row r="15" spans="1:17" x14ac:dyDescent="0.25">
      <c r="A15" s="24" t="s">
        <v>20</v>
      </c>
      <c r="B15" s="24" t="s">
        <v>20</v>
      </c>
      <c r="C15" s="24">
        <v>1</v>
      </c>
      <c r="D15" s="24" t="s">
        <v>2</v>
      </c>
      <c r="E15" s="25" t="s">
        <v>1</v>
      </c>
      <c r="F15" s="5" t="s">
        <v>556</v>
      </c>
      <c r="G15" s="2" t="s">
        <v>22</v>
      </c>
      <c r="H15" s="2" t="s">
        <v>23</v>
      </c>
      <c r="I15" s="24" t="s">
        <v>908</v>
      </c>
      <c r="J15" s="24" t="s">
        <v>908</v>
      </c>
      <c r="K15" s="24" t="s">
        <v>908</v>
      </c>
      <c r="M15" s="24" t="s">
        <v>908</v>
      </c>
      <c r="N15" s="24"/>
      <c r="P15" s="1" t="str">
        <f t="shared" si="0"/>
        <v>11102001</v>
      </c>
      <c r="Q15" s="263" t="str">
        <f t="shared" si="1"/>
        <v>Bank In ………………………………</v>
      </c>
    </row>
    <row r="16" spans="1:17" x14ac:dyDescent="0.25">
      <c r="A16" s="24" t="s">
        <v>20</v>
      </c>
      <c r="B16" s="24" t="s">
        <v>20</v>
      </c>
      <c r="C16" s="24">
        <v>1</v>
      </c>
      <c r="D16" s="24" t="s">
        <v>2</v>
      </c>
      <c r="E16" s="25" t="s">
        <v>3</v>
      </c>
      <c r="F16" s="5" t="s">
        <v>556</v>
      </c>
      <c r="G16" s="2" t="s">
        <v>22</v>
      </c>
      <c r="H16" s="2" t="s">
        <v>23</v>
      </c>
      <c r="I16" s="24" t="s">
        <v>908</v>
      </c>
      <c r="J16" s="24" t="s">
        <v>908</v>
      </c>
      <c r="K16" s="24" t="s">
        <v>908</v>
      </c>
      <c r="M16" s="24" t="s">
        <v>908</v>
      </c>
      <c r="N16" s="24"/>
      <c r="P16" s="1" t="str">
        <f t="shared" si="0"/>
        <v>11102002</v>
      </c>
      <c r="Q16" s="263" t="str">
        <f t="shared" si="1"/>
        <v>Bank In ………………………………</v>
      </c>
    </row>
    <row r="17" spans="1:17" x14ac:dyDescent="0.25">
      <c r="A17" s="24" t="s">
        <v>20</v>
      </c>
      <c r="B17" s="24" t="s">
        <v>20</v>
      </c>
      <c r="C17" s="24">
        <v>1</v>
      </c>
      <c r="D17" s="24" t="s">
        <v>2</v>
      </c>
      <c r="E17" s="25" t="s">
        <v>5</v>
      </c>
      <c r="F17" s="5" t="s">
        <v>557</v>
      </c>
      <c r="G17" s="2" t="s">
        <v>22</v>
      </c>
      <c r="H17" s="2" t="s">
        <v>23</v>
      </c>
      <c r="I17" s="24" t="s">
        <v>908</v>
      </c>
      <c r="J17" s="24" t="s">
        <v>908</v>
      </c>
      <c r="K17" s="24" t="s">
        <v>908</v>
      </c>
      <c r="M17" s="24" t="s">
        <v>908</v>
      </c>
      <c r="N17" s="24"/>
      <c r="P17" s="1" t="str">
        <f t="shared" si="0"/>
        <v>11102003</v>
      </c>
      <c r="Q17" s="263" t="str">
        <f t="shared" si="1"/>
        <v>Bank Out………………………………</v>
      </c>
    </row>
    <row r="18" spans="1:17" x14ac:dyDescent="0.25">
      <c r="A18" s="24" t="s">
        <v>20</v>
      </c>
      <c r="B18" s="24" t="s">
        <v>20</v>
      </c>
      <c r="C18" s="24">
        <v>1</v>
      </c>
      <c r="D18" s="24" t="s">
        <v>2</v>
      </c>
      <c r="E18" s="25" t="s">
        <v>7</v>
      </c>
      <c r="F18" s="5" t="s">
        <v>557</v>
      </c>
      <c r="G18" s="2" t="s">
        <v>22</v>
      </c>
      <c r="H18" s="2" t="s">
        <v>23</v>
      </c>
      <c r="I18" s="24" t="s">
        <v>908</v>
      </c>
      <c r="J18" s="24" t="s">
        <v>908</v>
      </c>
      <c r="K18" s="24" t="s">
        <v>908</v>
      </c>
      <c r="M18" s="24" t="s">
        <v>908</v>
      </c>
      <c r="N18" s="24"/>
      <c r="P18" s="1" t="str">
        <f t="shared" si="0"/>
        <v>11102004</v>
      </c>
      <c r="Q18" s="263" t="str">
        <f t="shared" si="1"/>
        <v>Bank Out………………………………</v>
      </c>
    </row>
    <row r="19" spans="1:17" x14ac:dyDescent="0.25">
      <c r="A19" s="24" t="s">
        <v>20</v>
      </c>
      <c r="B19" s="24" t="s">
        <v>20</v>
      </c>
      <c r="C19" s="24">
        <v>1</v>
      </c>
      <c r="D19" s="24" t="s">
        <v>2</v>
      </c>
      <c r="E19" s="25" t="s">
        <v>9</v>
      </c>
      <c r="F19" s="5" t="s">
        <v>814</v>
      </c>
      <c r="G19" s="2" t="s">
        <v>22</v>
      </c>
      <c r="H19" s="2" t="s">
        <v>23</v>
      </c>
      <c r="I19" s="24" t="s">
        <v>907</v>
      </c>
      <c r="J19" s="24" t="s">
        <v>907</v>
      </c>
      <c r="K19" s="24" t="s">
        <v>907</v>
      </c>
      <c r="M19" s="24" t="s">
        <v>907</v>
      </c>
      <c r="N19" s="24"/>
      <c r="P19" s="1" t="str">
        <f t="shared" si="0"/>
        <v>11102005</v>
      </c>
      <c r="Q19" s="263" t="str">
        <f t="shared" si="1"/>
        <v>Bank FF&amp;E Reserve ………………………………</v>
      </c>
    </row>
    <row r="20" spans="1:17" x14ac:dyDescent="0.25">
      <c r="A20" s="20" t="s">
        <v>20</v>
      </c>
      <c r="B20" s="20" t="s">
        <v>20</v>
      </c>
      <c r="C20" s="20">
        <v>1</v>
      </c>
      <c r="D20" s="20" t="s">
        <v>4</v>
      </c>
      <c r="E20" s="20"/>
      <c r="F20" s="22" t="s">
        <v>815</v>
      </c>
      <c r="G20" s="23" t="s">
        <v>22</v>
      </c>
      <c r="H20" s="23" t="s">
        <v>23</v>
      </c>
      <c r="I20" s="23" t="s">
        <v>907</v>
      </c>
      <c r="J20" s="23" t="s">
        <v>907</v>
      </c>
      <c r="K20" s="23" t="s">
        <v>907</v>
      </c>
      <c r="M20" s="23" t="s">
        <v>907</v>
      </c>
      <c r="N20" s="23"/>
      <c r="P20" s="1" t="str">
        <f t="shared" si="0"/>
        <v>11103</v>
      </c>
      <c r="Q20" s="263" t="str">
        <f t="shared" si="1"/>
        <v>Time Deposit*</v>
      </c>
    </row>
    <row r="21" spans="1:17" x14ac:dyDescent="0.25">
      <c r="A21" s="24" t="s">
        <v>20</v>
      </c>
      <c r="B21" s="24" t="s">
        <v>20</v>
      </c>
      <c r="C21" s="24">
        <v>1</v>
      </c>
      <c r="D21" s="24" t="s">
        <v>4</v>
      </c>
      <c r="E21" s="25" t="s">
        <v>1</v>
      </c>
      <c r="F21" s="5" t="s">
        <v>32</v>
      </c>
      <c r="G21" s="2" t="s">
        <v>22</v>
      </c>
      <c r="H21" s="2" t="s">
        <v>23</v>
      </c>
      <c r="I21" s="24" t="s">
        <v>908</v>
      </c>
      <c r="J21" s="24" t="s">
        <v>908</v>
      </c>
      <c r="K21" s="24" t="s">
        <v>908</v>
      </c>
      <c r="M21" s="24" t="s">
        <v>908</v>
      </c>
      <c r="N21" s="24"/>
      <c r="P21" s="1" t="str">
        <f t="shared" si="0"/>
        <v>11103001</v>
      </c>
      <c r="Q21" s="263" t="str">
        <f t="shared" si="1"/>
        <v>Time Deposit</v>
      </c>
    </row>
    <row r="22" spans="1:17" x14ac:dyDescent="0.25">
      <c r="A22" s="16" t="s">
        <v>20</v>
      </c>
      <c r="B22" s="16" t="s">
        <v>20</v>
      </c>
      <c r="C22" s="17" t="s">
        <v>33</v>
      </c>
      <c r="D22" s="16"/>
      <c r="E22" s="16"/>
      <c r="F22" s="18" t="s">
        <v>34</v>
      </c>
      <c r="G22" s="19" t="s">
        <v>22</v>
      </c>
      <c r="H22" s="19" t="s">
        <v>23</v>
      </c>
      <c r="I22" s="19" t="s">
        <v>907</v>
      </c>
      <c r="J22" s="19" t="s">
        <v>907</v>
      </c>
      <c r="K22" s="19" t="s">
        <v>907</v>
      </c>
      <c r="M22" s="19" t="s">
        <v>907</v>
      </c>
      <c r="N22" s="19"/>
      <c r="P22" s="1" t="str">
        <f t="shared" si="0"/>
        <v>112</v>
      </c>
      <c r="Q22" s="263" t="str">
        <f t="shared" si="1"/>
        <v>Accounts Receivable</v>
      </c>
    </row>
    <row r="23" spans="1:17" x14ac:dyDescent="0.25">
      <c r="A23" s="20" t="s">
        <v>20</v>
      </c>
      <c r="B23" s="20" t="s">
        <v>20</v>
      </c>
      <c r="C23" s="20">
        <v>2</v>
      </c>
      <c r="D23" s="20" t="s">
        <v>0</v>
      </c>
      <c r="E23" s="20"/>
      <c r="F23" s="15" t="s">
        <v>816</v>
      </c>
      <c r="G23" s="23" t="s">
        <v>22</v>
      </c>
      <c r="H23" s="23" t="s">
        <v>23</v>
      </c>
      <c r="I23" s="20" t="s">
        <v>907</v>
      </c>
      <c r="J23" s="20" t="s">
        <v>907</v>
      </c>
      <c r="K23" s="20" t="s">
        <v>907</v>
      </c>
      <c r="M23" s="20" t="s">
        <v>907</v>
      </c>
      <c r="N23" s="20"/>
      <c r="P23" s="1" t="str">
        <f t="shared" si="0"/>
        <v>11201</v>
      </c>
      <c r="Q23" s="263" t="str">
        <f t="shared" si="1"/>
        <v>A/R Trade</v>
      </c>
    </row>
    <row r="24" spans="1:17" x14ac:dyDescent="0.25">
      <c r="A24" s="24" t="s">
        <v>20</v>
      </c>
      <c r="B24" s="24" t="s">
        <v>20</v>
      </c>
      <c r="C24" s="24">
        <v>2</v>
      </c>
      <c r="D24" s="24" t="s">
        <v>0</v>
      </c>
      <c r="E24" s="25" t="s">
        <v>1</v>
      </c>
      <c r="F24" s="5" t="s">
        <v>35</v>
      </c>
      <c r="G24" s="2" t="s">
        <v>22</v>
      </c>
      <c r="H24" s="2" t="s">
        <v>23</v>
      </c>
      <c r="I24" s="24" t="s">
        <v>908</v>
      </c>
      <c r="J24" s="24" t="s">
        <v>908</v>
      </c>
      <c r="K24" s="24" t="s">
        <v>908</v>
      </c>
      <c r="M24" s="24" t="s">
        <v>908</v>
      </c>
      <c r="N24" s="24"/>
      <c r="P24" s="1" t="str">
        <f t="shared" si="0"/>
        <v>11201001</v>
      </c>
      <c r="Q24" s="263" t="str">
        <f t="shared" si="1"/>
        <v>A/R Guest Ledger</v>
      </c>
    </row>
    <row r="25" spans="1:17" x14ac:dyDescent="0.25">
      <c r="A25" s="24" t="s">
        <v>20</v>
      </c>
      <c r="B25" s="24" t="s">
        <v>20</v>
      </c>
      <c r="C25" s="24">
        <v>2</v>
      </c>
      <c r="D25" s="24" t="s">
        <v>0</v>
      </c>
      <c r="E25" s="25" t="s">
        <v>3</v>
      </c>
      <c r="F25" s="5" t="s">
        <v>36</v>
      </c>
      <c r="G25" s="2" t="s">
        <v>22</v>
      </c>
      <c r="H25" s="2" t="s">
        <v>23</v>
      </c>
      <c r="I25" s="24" t="s">
        <v>908</v>
      </c>
      <c r="J25" s="24" t="s">
        <v>908</v>
      </c>
      <c r="K25" s="24" t="s">
        <v>908</v>
      </c>
      <c r="M25" s="24" t="s">
        <v>908</v>
      </c>
      <c r="N25" s="24"/>
      <c r="P25" s="1" t="str">
        <f t="shared" si="0"/>
        <v>11201002</v>
      </c>
      <c r="Q25" s="263" t="str">
        <f t="shared" si="1"/>
        <v>A/R City Ledger Travel</v>
      </c>
    </row>
    <row r="26" spans="1:17" x14ac:dyDescent="0.25">
      <c r="A26" s="24" t="s">
        <v>20</v>
      </c>
      <c r="B26" s="24" t="s">
        <v>20</v>
      </c>
      <c r="C26" s="24">
        <v>2</v>
      </c>
      <c r="D26" s="24" t="s">
        <v>0</v>
      </c>
      <c r="E26" s="25" t="s">
        <v>5</v>
      </c>
      <c r="F26" s="5" t="s">
        <v>37</v>
      </c>
      <c r="G26" s="2" t="s">
        <v>22</v>
      </c>
      <c r="H26" s="2" t="s">
        <v>23</v>
      </c>
      <c r="I26" s="24" t="s">
        <v>908</v>
      </c>
      <c r="J26" s="24" t="s">
        <v>908</v>
      </c>
      <c r="K26" s="24" t="s">
        <v>908</v>
      </c>
      <c r="M26" s="24" t="s">
        <v>908</v>
      </c>
      <c r="N26" s="24"/>
      <c r="P26" s="1" t="str">
        <f t="shared" si="0"/>
        <v>11201003</v>
      </c>
      <c r="Q26" s="263" t="str">
        <f t="shared" si="1"/>
        <v>A/R City Ledger Corporate</v>
      </c>
    </row>
    <row r="27" spans="1:17" x14ac:dyDescent="0.25">
      <c r="A27" s="24" t="s">
        <v>20</v>
      </c>
      <c r="B27" s="24" t="s">
        <v>20</v>
      </c>
      <c r="C27" s="24">
        <v>2</v>
      </c>
      <c r="D27" s="24" t="s">
        <v>0</v>
      </c>
      <c r="E27" s="25" t="s">
        <v>7</v>
      </c>
      <c r="F27" s="5" t="s">
        <v>928</v>
      </c>
      <c r="G27" s="2" t="s">
        <v>22</v>
      </c>
      <c r="H27" s="2" t="s">
        <v>23</v>
      </c>
      <c r="I27" s="24" t="s">
        <v>908</v>
      </c>
      <c r="J27" s="24" t="s">
        <v>908</v>
      </c>
      <c r="K27" s="24" t="s">
        <v>908</v>
      </c>
      <c r="M27" s="24" t="s">
        <v>908</v>
      </c>
      <c r="N27" s="24"/>
      <c r="P27" s="1" t="str">
        <f t="shared" si="0"/>
        <v>11201004</v>
      </c>
      <c r="Q27" s="263" t="str">
        <f t="shared" si="1"/>
        <v>A/R City Ledger Government</v>
      </c>
    </row>
    <row r="28" spans="1:17" x14ac:dyDescent="0.25">
      <c r="A28" s="24" t="s">
        <v>20</v>
      </c>
      <c r="B28" s="24" t="s">
        <v>20</v>
      </c>
      <c r="C28" s="24">
        <v>2</v>
      </c>
      <c r="D28" s="24" t="s">
        <v>0</v>
      </c>
      <c r="E28" s="25" t="s">
        <v>9</v>
      </c>
      <c r="F28" s="5" t="s">
        <v>922</v>
      </c>
      <c r="G28" s="2" t="s">
        <v>22</v>
      </c>
      <c r="H28" s="2" t="s">
        <v>23</v>
      </c>
      <c r="I28" s="24" t="s">
        <v>908</v>
      </c>
      <c r="J28" s="24" t="s">
        <v>908</v>
      </c>
      <c r="K28" s="24" t="s">
        <v>908</v>
      </c>
      <c r="M28" s="24" t="s">
        <v>908</v>
      </c>
      <c r="N28" s="24"/>
      <c r="P28" s="1" t="str">
        <f t="shared" si="0"/>
        <v>11201005</v>
      </c>
      <c r="Q28" s="263" t="str">
        <f t="shared" si="1"/>
        <v>A/R Credit Card Visa BCA</v>
      </c>
    </row>
    <row r="29" spans="1:17" x14ac:dyDescent="0.25">
      <c r="A29" s="24" t="s">
        <v>20</v>
      </c>
      <c r="B29" s="24" t="s">
        <v>20</v>
      </c>
      <c r="C29" s="24">
        <v>2</v>
      </c>
      <c r="D29" s="24" t="s">
        <v>0</v>
      </c>
      <c r="E29" s="25" t="s">
        <v>10</v>
      </c>
      <c r="F29" s="5" t="s">
        <v>923</v>
      </c>
      <c r="G29" s="2" t="s">
        <v>22</v>
      </c>
      <c r="H29" s="2" t="s">
        <v>23</v>
      </c>
      <c r="I29" s="24" t="s">
        <v>908</v>
      </c>
      <c r="J29" s="24" t="s">
        <v>908</v>
      </c>
      <c r="K29" s="24" t="s">
        <v>908</v>
      </c>
      <c r="M29" s="24" t="s">
        <v>908</v>
      </c>
      <c r="N29" s="24"/>
      <c r="P29" s="1" t="str">
        <f t="shared" si="0"/>
        <v>11201006</v>
      </c>
      <c r="Q29" s="263" t="str">
        <f t="shared" si="1"/>
        <v>A/R Credit Card Master BCA</v>
      </c>
    </row>
    <row r="30" spans="1:17" x14ac:dyDescent="0.25">
      <c r="A30" s="24" t="s">
        <v>20</v>
      </c>
      <c r="B30" s="24" t="s">
        <v>20</v>
      </c>
      <c r="C30" s="24">
        <v>2</v>
      </c>
      <c r="D30" s="24" t="s">
        <v>0</v>
      </c>
      <c r="E30" s="25" t="s">
        <v>11</v>
      </c>
      <c r="F30" s="5" t="s">
        <v>927</v>
      </c>
      <c r="G30" s="2" t="s">
        <v>22</v>
      </c>
      <c r="H30" s="2" t="s">
        <v>23</v>
      </c>
      <c r="I30" s="24" t="s">
        <v>908</v>
      </c>
      <c r="J30" s="24" t="s">
        <v>908</v>
      </c>
      <c r="K30" s="24" t="s">
        <v>908</v>
      </c>
      <c r="M30" s="24" t="s">
        <v>908</v>
      </c>
      <c r="N30" s="24"/>
      <c r="P30" s="1" t="str">
        <f t="shared" si="0"/>
        <v>11201007</v>
      </c>
      <c r="Q30" s="263" t="str">
        <f t="shared" si="1"/>
        <v>A/R BCA Card</v>
      </c>
    </row>
    <row r="31" spans="1:17" x14ac:dyDescent="0.25">
      <c r="A31" s="24" t="s">
        <v>20</v>
      </c>
      <c r="B31" s="24" t="s">
        <v>20</v>
      </c>
      <c r="C31" s="24">
        <v>2</v>
      </c>
      <c r="D31" s="24" t="s">
        <v>0</v>
      </c>
      <c r="E31" s="25" t="s">
        <v>13</v>
      </c>
      <c r="F31" s="5" t="s">
        <v>924</v>
      </c>
      <c r="G31" s="2" t="s">
        <v>22</v>
      </c>
      <c r="H31" s="2" t="s">
        <v>23</v>
      </c>
      <c r="I31" s="24" t="s">
        <v>908</v>
      </c>
      <c r="J31" s="24" t="s">
        <v>908</v>
      </c>
      <c r="K31" s="24" t="s">
        <v>908</v>
      </c>
      <c r="M31" s="24" t="s">
        <v>908</v>
      </c>
      <c r="N31" s="24"/>
      <c r="P31" s="1" t="str">
        <f t="shared" si="0"/>
        <v>11201008</v>
      </c>
      <c r="Q31" s="263" t="str">
        <f t="shared" si="1"/>
        <v>A/R Credit Card Visa Mandiri</v>
      </c>
    </row>
    <row r="32" spans="1:17" x14ac:dyDescent="0.25">
      <c r="A32" s="24" t="s">
        <v>20</v>
      </c>
      <c r="B32" s="24" t="s">
        <v>20</v>
      </c>
      <c r="C32" s="24">
        <v>2</v>
      </c>
      <c r="D32" s="24" t="s">
        <v>0</v>
      </c>
      <c r="E32" s="25" t="s">
        <v>15</v>
      </c>
      <c r="F32" s="5" t="s">
        <v>925</v>
      </c>
      <c r="G32" s="2" t="s">
        <v>22</v>
      </c>
      <c r="H32" s="2" t="s">
        <v>23</v>
      </c>
      <c r="I32" s="24" t="s">
        <v>908</v>
      </c>
      <c r="J32" s="24" t="s">
        <v>908</v>
      </c>
      <c r="K32" s="24" t="s">
        <v>908</v>
      </c>
      <c r="M32" s="24" t="s">
        <v>908</v>
      </c>
      <c r="N32" s="24"/>
      <c r="P32" s="1" t="str">
        <f t="shared" si="0"/>
        <v>11201009</v>
      </c>
      <c r="Q32" s="263" t="str">
        <f t="shared" si="1"/>
        <v>A/R Credit Card Master Mandiri</v>
      </c>
    </row>
    <row r="33" spans="1:17" x14ac:dyDescent="0.25">
      <c r="A33" s="24" t="s">
        <v>20</v>
      </c>
      <c r="B33" s="24" t="s">
        <v>20</v>
      </c>
      <c r="C33" s="24">
        <v>2</v>
      </c>
      <c r="D33" s="24" t="s">
        <v>0</v>
      </c>
      <c r="E33" s="25" t="s">
        <v>238</v>
      </c>
      <c r="F33" s="5" t="s">
        <v>926</v>
      </c>
      <c r="G33" s="2" t="s">
        <v>22</v>
      </c>
      <c r="H33" s="2" t="s">
        <v>23</v>
      </c>
      <c r="I33" s="24" t="s">
        <v>908</v>
      </c>
      <c r="J33" s="24" t="s">
        <v>908</v>
      </c>
      <c r="K33" s="24" t="s">
        <v>908</v>
      </c>
      <c r="M33" s="24" t="s">
        <v>908</v>
      </c>
      <c r="N33" s="24"/>
      <c r="P33" s="1" t="str">
        <f t="shared" si="0"/>
        <v>11201010</v>
      </c>
      <c r="Q33" s="263" t="str">
        <f t="shared" si="1"/>
        <v>A/R Credit Card Visa Other</v>
      </c>
    </row>
    <row r="34" spans="1:17" x14ac:dyDescent="0.25">
      <c r="A34" s="24" t="s">
        <v>20</v>
      </c>
      <c r="B34" s="24" t="s">
        <v>20</v>
      </c>
      <c r="C34" s="24">
        <v>2</v>
      </c>
      <c r="D34" s="24" t="s">
        <v>0</v>
      </c>
      <c r="E34" s="25" t="s">
        <v>240</v>
      </c>
      <c r="F34" s="5" t="s">
        <v>929</v>
      </c>
      <c r="G34" s="2" t="s">
        <v>22</v>
      </c>
      <c r="H34" s="2" t="s">
        <v>23</v>
      </c>
      <c r="I34" s="24" t="s">
        <v>908</v>
      </c>
      <c r="J34" s="24" t="s">
        <v>908</v>
      </c>
      <c r="K34" s="24" t="s">
        <v>908</v>
      </c>
      <c r="M34" s="24" t="s">
        <v>908</v>
      </c>
      <c r="N34" s="24"/>
      <c r="P34" s="1" t="str">
        <f t="shared" si="0"/>
        <v>11201011</v>
      </c>
      <c r="Q34" s="263" t="str">
        <f t="shared" si="1"/>
        <v>A/R Credit Card Master Other</v>
      </c>
    </row>
    <row r="35" spans="1:17" x14ac:dyDescent="0.25">
      <c r="A35" s="24" t="s">
        <v>20</v>
      </c>
      <c r="B35" s="24" t="s">
        <v>20</v>
      </c>
      <c r="C35" s="24">
        <v>2</v>
      </c>
      <c r="D35" s="24" t="s">
        <v>0</v>
      </c>
      <c r="E35" s="25" t="s">
        <v>331</v>
      </c>
      <c r="F35" s="5" t="s">
        <v>817</v>
      </c>
      <c r="G35" s="2" t="s">
        <v>22</v>
      </c>
      <c r="H35" s="2" t="s">
        <v>23</v>
      </c>
      <c r="I35" s="24" t="s">
        <v>908</v>
      </c>
      <c r="J35" s="24" t="s">
        <v>908</v>
      </c>
      <c r="K35" s="24" t="s">
        <v>908</v>
      </c>
      <c r="L35" s="2" t="s">
        <v>909</v>
      </c>
      <c r="M35" s="24" t="s">
        <v>908</v>
      </c>
      <c r="N35" s="24"/>
      <c r="P35" s="1" t="str">
        <f t="shared" si="0"/>
        <v>11201012</v>
      </c>
      <c r="Q35" s="263" t="str">
        <f t="shared" si="1"/>
        <v>Pre Account Receiveable</v>
      </c>
    </row>
    <row r="36" spans="1:17" x14ac:dyDescent="0.25">
      <c r="A36" s="24" t="s">
        <v>20</v>
      </c>
      <c r="B36" s="24" t="s">
        <v>20</v>
      </c>
      <c r="C36" s="24">
        <v>2</v>
      </c>
      <c r="D36" s="24" t="s">
        <v>0</v>
      </c>
      <c r="E36" s="25" t="s">
        <v>333</v>
      </c>
      <c r="F36" s="5" t="s">
        <v>818</v>
      </c>
      <c r="G36" s="2" t="s">
        <v>22</v>
      </c>
      <c r="H36" s="2" t="s">
        <v>23</v>
      </c>
      <c r="I36" s="24" t="s">
        <v>908</v>
      </c>
      <c r="J36" s="24" t="s">
        <v>908</v>
      </c>
      <c r="K36" s="24" t="s">
        <v>908</v>
      </c>
      <c r="L36" s="2" t="s">
        <v>909</v>
      </c>
      <c r="M36" s="24" t="s">
        <v>908</v>
      </c>
      <c r="N36" s="24"/>
      <c r="P36" s="1" t="str">
        <f t="shared" si="0"/>
        <v>11201013</v>
      </c>
      <c r="Q36" s="263" t="str">
        <f t="shared" si="1"/>
        <v>Pre Credit Card</v>
      </c>
    </row>
    <row r="37" spans="1:17" x14ac:dyDescent="0.25">
      <c r="A37" s="20" t="s">
        <v>20</v>
      </c>
      <c r="B37" s="20" t="s">
        <v>20</v>
      </c>
      <c r="C37" s="20">
        <v>2</v>
      </c>
      <c r="D37" s="20" t="s">
        <v>4</v>
      </c>
      <c r="E37" s="20"/>
      <c r="F37" s="22" t="s">
        <v>819</v>
      </c>
      <c r="G37" s="23" t="s">
        <v>22</v>
      </c>
      <c r="H37" s="23" t="s">
        <v>23</v>
      </c>
      <c r="I37" s="23" t="s">
        <v>907</v>
      </c>
      <c r="J37" s="23" t="s">
        <v>907</v>
      </c>
      <c r="K37" s="23" t="s">
        <v>907</v>
      </c>
      <c r="M37" s="23" t="s">
        <v>907</v>
      </c>
      <c r="N37" s="23"/>
      <c r="P37" s="1" t="str">
        <f t="shared" si="0"/>
        <v>11203</v>
      </c>
      <c r="Q37" s="263" t="str">
        <f t="shared" si="1"/>
        <v>A/R Affiliate</v>
      </c>
    </row>
    <row r="38" spans="1:17" x14ac:dyDescent="0.25">
      <c r="A38" s="24" t="s">
        <v>20</v>
      </c>
      <c r="B38" s="24" t="s">
        <v>20</v>
      </c>
      <c r="C38" s="24">
        <v>2</v>
      </c>
      <c r="D38" s="24" t="s">
        <v>4</v>
      </c>
      <c r="E38" s="25" t="s">
        <v>1</v>
      </c>
      <c r="F38" s="5" t="s">
        <v>39</v>
      </c>
      <c r="G38" s="2" t="s">
        <v>22</v>
      </c>
      <c r="H38" s="2" t="s">
        <v>23</v>
      </c>
      <c r="I38" s="24" t="s">
        <v>908</v>
      </c>
      <c r="J38" s="24" t="s">
        <v>908</v>
      </c>
      <c r="K38" s="24" t="s">
        <v>908</v>
      </c>
      <c r="M38" s="24" t="s">
        <v>908</v>
      </c>
      <c r="N38" s="24"/>
      <c r="P38" s="1" t="str">
        <f t="shared" si="0"/>
        <v>11203001</v>
      </c>
      <c r="Q38" s="263" t="str">
        <f t="shared" si="1"/>
        <v>A/R Affiliated PT. ……………………………</v>
      </c>
    </row>
    <row r="39" spans="1:17" x14ac:dyDescent="0.25">
      <c r="A39" s="24" t="s">
        <v>20</v>
      </c>
      <c r="B39" s="24" t="s">
        <v>20</v>
      </c>
      <c r="C39" s="24">
        <v>2</v>
      </c>
      <c r="D39" s="24" t="s">
        <v>4</v>
      </c>
      <c r="E39" s="25" t="s">
        <v>3</v>
      </c>
      <c r="F39" s="5" t="s">
        <v>39</v>
      </c>
      <c r="G39" s="2" t="s">
        <v>22</v>
      </c>
      <c r="H39" s="2" t="s">
        <v>23</v>
      </c>
      <c r="I39" s="24" t="s">
        <v>908</v>
      </c>
      <c r="J39" s="24" t="s">
        <v>908</v>
      </c>
      <c r="K39" s="24" t="s">
        <v>908</v>
      </c>
      <c r="M39" s="24" t="s">
        <v>908</v>
      </c>
      <c r="N39" s="24"/>
      <c r="P39" s="1" t="str">
        <f t="shared" si="0"/>
        <v>11203002</v>
      </c>
      <c r="Q39" s="263" t="str">
        <f t="shared" si="1"/>
        <v>A/R Affiliated PT. ……………………………</v>
      </c>
    </row>
    <row r="40" spans="1:17" x14ac:dyDescent="0.25">
      <c r="A40" s="20" t="s">
        <v>20</v>
      </c>
      <c r="B40" s="20" t="s">
        <v>20</v>
      </c>
      <c r="C40" s="20">
        <v>2</v>
      </c>
      <c r="D40" s="20" t="s">
        <v>6</v>
      </c>
      <c r="E40" s="20"/>
      <c r="F40" s="22" t="s">
        <v>40</v>
      </c>
      <c r="G40" s="23" t="s">
        <v>22</v>
      </c>
      <c r="H40" s="23" t="s">
        <v>23</v>
      </c>
      <c r="I40" s="23" t="s">
        <v>907</v>
      </c>
      <c r="J40" s="23" t="s">
        <v>907</v>
      </c>
      <c r="K40" s="23" t="s">
        <v>907</v>
      </c>
      <c r="M40" s="23" t="s">
        <v>907</v>
      </c>
      <c r="N40" s="23"/>
      <c r="P40" s="1" t="str">
        <f t="shared" si="0"/>
        <v>11204</v>
      </c>
      <c r="Q40" s="263" t="str">
        <f t="shared" si="1"/>
        <v>Other Receivable</v>
      </c>
    </row>
    <row r="41" spans="1:17" x14ac:dyDescent="0.25">
      <c r="A41" s="24" t="s">
        <v>20</v>
      </c>
      <c r="B41" s="24" t="s">
        <v>20</v>
      </c>
      <c r="C41" s="24">
        <v>2</v>
      </c>
      <c r="D41" s="24" t="s">
        <v>6</v>
      </c>
      <c r="E41" s="24" t="s">
        <v>1</v>
      </c>
      <c r="F41" s="5" t="s">
        <v>820</v>
      </c>
      <c r="G41" s="2" t="s">
        <v>22</v>
      </c>
      <c r="H41" s="2" t="s">
        <v>23</v>
      </c>
      <c r="I41" s="24" t="s">
        <v>908</v>
      </c>
      <c r="J41" s="24" t="s">
        <v>908</v>
      </c>
      <c r="K41" s="24" t="s">
        <v>908</v>
      </c>
      <c r="M41" s="24" t="s">
        <v>908</v>
      </c>
      <c r="N41" s="24"/>
      <c r="P41" s="1" t="str">
        <f t="shared" si="0"/>
        <v>11204001</v>
      </c>
      <c r="Q41" s="263" t="str">
        <f t="shared" si="1"/>
        <v>A/R Employee</v>
      </c>
    </row>
    <row r="42" spans="1:17" x14ac:dyDescent="0.25">
      <c r="A42" s="24" t="s">
        <v>20</v>
      </c>
      <c r="B42" s="24" t="s">
        <v>20</v>
      </c>
      <c r="C42" s="24">
        <v>2</v>
      </c>
      <c r="D42" s="24" t="s">
        <v>6</v>
      </c>
      <c r="E42" s="24" t="s">
        <v>3</v>
      </c>
      <c r="F42" s="4" t="s">
        <v>41</v>
      </c>
      <c r="G42" s="2" t="s">
        <v>22</v>
      </c>
      <c r="H42" s="2" t="s">
        <v>23</v>
      </c>
      <c r="I42" s="24" t="s">
        <v>908</v>
      </c>
      <c r="J42" s="24" t="s">
        <v>908</v>
      </c>
      <c r="K42" s="24" t="s">
        <v>908</v>
      </c>
      <c r="M42" s="24" t="s">
        <v>908</v>
      </c>
      <c r="N42" s="24"/>
      <c r="P42" s="1" t="str">
        <f t="shared" si="0"/>
        <v>11204002</v>
      </c>
      <c r="Q42" s="263" t="str">
        <f t="shared" si="1"/>
        <v>Notes Receivable</v>
      </c>
    </row>
    <row r="43" spans="1:17" x14ac:dyDescent="0.25">
      <c r="A43" s="24" t="s">
        <v>20</v>
      </c>
      <c r="B43" s="24" t="s">
        <v>20</v>
      </c>
      <c r="C43" s="24">
        <v>2</v>
      </c>
      <c r="D43" s="24" t="s">
        <v>6</v>
      </c>
      <c r="E43" s="24" t="s">
        <v>5</v>
      </c>
      <c r="F43" s="4" t="s">
        <v>42</v>
      </c>
      <c r="G43" s="2" t="s">
        <v>22</v>
      </c>
      <c r="H43" s="2" t="s">
        <v>23</v>
      </c>
      <c r="I43" s="24" t="s">
        <v>908</v>
      </c>
      <c r="J43" s="24" t="s">
        <v>908</v>
      </c>
      <c r="K43" s="24" t="s">
        <v>908</v>
      </c>
      <c r="M43" s="24" t="s">
        <v>908</v>
      </c>
      <c r="N43" s="24"/>
      <c r="P43" s="1" t="str">
        <f t="shared" si="0"/>
        <v>11204003</v>
      </c>
      <c r="Q43" s="263" t="str">
        <f t="shared" si="1"/>
        <v>Deposit In Transit</v>
      </c>
    </row>
    <row r="44" spans="1:17" x14ac:dyDescent="0.25">
      <c r="A44" s="24" t="s">
        <v>20</v>
      </c>
      <c r="B44" s="24" t="s">
        <v>20</v>
      </c>
      <c r="C44" s="24" t="s">
        <v>33</v>
      </c>
      <c r="D44" s="25" t="s">
        <v>6</v>
      </c>
      <c r="E44" s="25" t="s">
        <v>7</v>
      </c>
      <c r="F44" s="4" t="s">
        <v>821</v>
      </c>
      <c r="G44" s="2" t="s">
        <v>22</v>
      </c>
      <c r="H44" s="2" t="s">
        <v>23</v>
      </c>
      <c r="I44" s="24" t="s">
        <v>908</v>
      </c>
      <c r="J44" s="24" t="s">
        <v>908</v>
      </c>
      <c r="K44" s="24" t="s">
        <v>908</v>
      </c>
      <c r="M44" s="24" t="s">
        <v>908</v>
      </c>
      <c r="N44" s="24"/>
      <c r="P44" s="1" t="str">
        <f t="shared" si="0"/>
        <v>11204004</v>
      </c>
      <c r="Q44" s="263" t="str">
        <f t="shared" si="1"/>
        <v>A/R Owner</v>
      </c>
    </row>
    <row r="45" spans="1:17" x14ac:dyDescent="0.25">
      <c r="A45" s="24" t="s">
        <v>20</v>
      </c>
      <c r="B45" s="24" t="s">
        <v>20</v>
      </c>
      <c r="C45" s="24" t="s">
        <v>33</v>
      </c>
      <c r="D45" s="24" t="s">
        <v>6</v>
      </c>
      <c r="E45" s="24" t="s">
        <v>9</v>
      </c>
      <c r="F45" s="4" t="s">
        <v>113</v>
      </c>
      <c r="G45" s="2" t="s">
        <v>22</v>
      </c>
      <c r="H45" s="2" t="s">
        <v>23</v>
      </c>
      <c r="I45" s="24" t="s">
        <v>908</v>
      </c>
      <c r="J45" s="24" t="s">
        <v>908</v>
      </c>
      <c r="K45" s="24" t="s">
        <v>908</v>
      </c>
      <c r="L45" s="2" t="s">
        <v>909</v>
      </c>
      <c r="M45" s="24" t="s">
        <v>908</v>
      </c>
      <c r="N45" s="24"/>
      <c r="P45" s="1" t="str">
        <f t="shared" si="0"/>
        <v>11204005</v>
      </c>
      <c r="Q45" s="263" t="str">
        <f t="shared" si="1"/>
        <v>Pre Paid A/P</v>
      </c>
    </row>
    <row r="46" spans="1:17" x14ac:dyDescent="0.25">
      <c r="A46" s="24" t="s">
        <v>20</v>
      </c>
      <c r="B46" s="24" t="s">
        <v>20</v>
      </c>
      <c r="C46" s="24">
        <v>2</v>
      </c>
      <c r="D46" s="24" t="s">
        <v>6</v>
      </c>
      <c r="E46" s="24" t="s">
        <v>43</v>
      </c>
      <c r="F46" s="5" t="s">
        <v>578</v>
      </c>
      <c r="G46" s="2" t="s">
        <v>22</v>
      </c>
      <c r="H46" s="2" t="s">
        <v>23</v>
      </c>
      <c r="I46" s="24" t="s">
        <v>908</v>
      </c>
      <c r="J46" s="24" t="s">
        <v>908</v>
      </c>
      <c r="K46" s="24" t="s">
        <v>908</v>
      </c>
      <c r="M46" s="24" t="s">
        <v>908</v>
      </c>
      <c r="N46" s="24"/>
      <c r="P46" s="1" t="str">
        <f t="shared" si="0"/>
        <v>11204999</v>
      </c>
      <c r="Q46" s="263" t="str">
        <f t="shared" si="1"/>
        <v>Other - Other Receivable</v>
      </c>
    </row>
    <row r="47" spans="1:17" x14ac:dyDescent="0.25">
      <c r="A47" s="16" t="s">
        <v>20</v>
      </c>
      <c r="B47" s="16" t="s">
        <v>20</v>
      </c>
      <c r="C47" s="17" t="s">
        <v>44</v>
      </c>
      <c r="D47" s="16"/>
      <c r="E47" s="16"/>
      <c r="F47" s="18" t="s">
        <v>822</v>
      </c>
      <c r="G47" s="19" t="s">
        <v>22</v>
      </c>
      <c r="H47" s="19" t="s">
        <v>23</v>
      </c>
      <c r="I47" s="19" t="s">
        <v>907</v>
      </c>
      <c r="J47" s="19" t="s">
        <v>907</v>
      </c>
      <c r="K47" s="19" t="s">
        <v>907</v>
      </c>
      <c r="M47" s="19" t="s">
        <v>907</v>
      </c>
      <c r="N47" s="19"/>
      <c r="P47" s="1" t="str">
        <f t="shared" si="0"/>
        <v>113</v>
      </c>
      <c r="Q47" s="263" t="str">
        <f t="shared" si="1"/>
        <v>Inventory &amp; Supplies</v>
      </c>
    </row>
    <row r="48" spans="1:17" x14ac:dyDescent="0.25">
      <c r="A48" s="20" t="s">
        <v>20</v>
      </c>
      <c r="B48" s="20" t="s">
        <v>20</v>
      </c>
      <c r="C48" s="20">
        <v>3</v>
      </c>
      <c r="D48" s="20" t="s">
        <v>0</v>
      </c>
      <c r="E48" s="20"/>
      <c r="F48" s="219" t="s">
        <v>794</v>
      </c>
      <c r="G48" s="23" t="s">
        <v>22</v>
      </c>
      <c r="H48" s="23" t="s">
        <v>23</v>
      </c>
      <c r="I48" s="23" t="s">
        <v>907</v>
      </c>
      <c r="J48" s="23" t="s">
        <v>907</v>
      </c>
      <c r="K48" s="23" t="s">
        <v>907</v>
      </c>
      <c r="M48" s="23" t="s">
        <v>907</v>
      </c>
      <c r="N48" s="23"/>
      <c r="P48" s="1" t="str">
        <f t="shared" si="0"/>
        <v>11301</v>
      </c>
      <c r="Q48" s="263" t="str">
        <f t="shared" si="1"/>
        <v>Inventory</v>
      </c>
    </row>
    <row r="49" spans="1:17" x14ac:dyDescent="0.25">
      <c r="A49" s="24" t="s">
        <v>20</v>
      </c>
      <c r="B49" s="24" t="s">
        <v>20</v>
      </c>
      <c r="C49" s="24">
        <v>3</v>
      </c>
      <c r="D49" s="24" t="s">
        <v>0</v>
      </c>
      <c r="E49" s="24" t="s">
        <v>1</v>
      </c>
      <c r="F49" s="5" t="s">
        <v>45</v>
      </c>
      <c r="G49" s="2" t="s">
        <v>22</v>
      </c>
      <c r="H49" s="2" t="s">
        <v>23</v>
      </c>
      <c r="I49" s="24" t="s">
        <v>908</v>
      </c>
      <c r="J49" s="24" t="s">
        <v>908</v>
      </c>
      <c r="K49" s="24" t="s">
        <v>908</v>
      </c>
      <c r="M49" s="24" t="s">
        <v>908</v>
      </c>
      <c r="N49" s="24"/>
      <c r="P49" s="1" t="str">
        <f t="shared" si="0"/>
        <v>11301001</v>
      </c>
      <c r="Q49" s="263" t="str">
        <f t="shared" si="1"/>
        <v>Food Inventory</v>
      </c>
    </row>
    <row r="50" spans="1:17" x14ac:dyDescent="0.25">
      <c r="A50" s="24" t="s">
        <v>20</v>
      </c>
      <c r="B50" s="24" t="s">
        <v>20</v>
      </c>
      <c r="C50" s="24">
        <v>3</v>
      </c>
      <c r="D50" s="24" t="s">
        <v>0</v>
      </c>
      <c r="E50" s="24" t="s">
        <v>3</v>
      </c>
      <c r="F50" s="5" t="s">
        <v>46</v>
      </c>
      <c r="G50" s="2" t="s">
        <v>22</v>
      </c>
      <c r="H50" s="2" t="s">
        <v>23</v>
      </c>
      <c r="I50" s="24" t="s">
        <v>908</v>
      </c>
      <c r="J50" s="24" t="s">
        <v>908</v>
      </c>
      <c r="K50" s="24" t="s">
        <v>908</v>
      </c>
      <c r="M50" s="24" t="s">
        <v>908</v>
      </c>
      <c r="N50" s="24"/>
      <c r="P50" s="1" t="str">
        <f t="shared" si="0"/>
        <v>11301002</v>
      </c>
      <c r="Q50" s="263" t="str">
        <f t="shared" si="1"/>
        <v>Beverage Inventory</v>
      </c>
    </row>
    <row r="51" spans="1:17" x14ac:dyDescent="0.25">
      <c r="A51" s="24" t="s">
        <v>20</v>
      </c>
      <c r="B51" s="24" t="s">
        <v>20</v>
      </c>
      <c r="C51" s="24">
        <v>3</v>
      </c>
      <c r="D51" s="24" t="s">
        <v>0</v>
      </c>
      <c r="E51" s="24" t="s">
        <v>5</v>
      </c>
      <c r="F51" s="4" t="s">
        <v>563</v>
      </c>
      <c r="G51" s="24" t="s">
        <v>22</v>
      </c>
      <c r="H51" s="2" t="s">
        <v>23</v>
      </c>
      <c r="I51" s="24" t="s">
        <v>908</v>
      </c>
      <c r="J51" s="24" t="s">
        <v>908</v>
      </c>
      <c r="K51" s="24" t="s">
        <v>908</v>
      </c>
      <c r="M51" s="24" t="s">
        <v>908</v>
      </c>
      <c r="N51" s="24"/>
      <c r="P51" s="1" t="str">
        <f t="shared" si="0"/>
        <v>11301003</v>
      </c>
      <c r="Q51" s="263" t="str">
        <f t="shared" si="1"/>
        <v>China/Glass/Silverware</v>
      </c>
    </row>
    <row r="52" spans="1:17" x14ac:dyDescent="0.25">
      <c r="A52" s="24" t="s">
        <v>20</v>
      </c>
      <c r="B52" s="24" t="s">
        <v>20</v>
      </c>
      <c r="C52" s="24">
        <v>3</v>
      </c>
      <c r="D52" s="24" t="s">
        <v>0</v>
      </c>
      <c r="E52" s="24" t="s">
        <v>7</v>
      </c>
      <c r="F52" s="4" t="s">
        <v>823</v>
      </c>
      <c r="G52" s="24" t="s">
        <v>22</v>
      </c>
      <c r="H52" s="2" t="s">
        <v>23</v>
      </c>
      <c r="I52" s="24" t="s">
        <v>908</v>
      </c>
      <c r="J52" s="24" t="s">
        <v>908</v>
      </c>
      <c r="K52" s="24" t="s">
        <v>908</v>
      </c>
      <c r="M52" s="24" t="s">
        <v>908</v>
      </c>
      <c r="N52" s="24"/>
      <c r="P52" s="1" t="str">
        <f t="shared" si="0"/>
        <v>11301004</v>
      </c>
      <c r="Q52" s="263" t="str">
        <f t="shared" si="1"/>
        <v>Linen HK</v>
      </c>
    </row>
    <row r="53" spans="1:17" x14ac:dyDescent="0.25">
      <c r="A53" s="24" t="s">
        <v>20</v>
      </c>
      <c r="B53" s="24" t="s">
        <v>20</v>
      </c>
      <c r="C53" s="24">
        <v>3</v>
      </c>
      <c r="D53" s="24" t="s">
        <v>0</v>
      </c>
      <c r="E53" s="24" t="s">
        <v>9</v>
      </c>
      <c r="F53" s="4" t="s">
        <v>824</v>
      </c>
      <c r="G53" s="2" t="s">
        <v>22</v>
      </c>
      <c r="H53" s="2" t="s">
        <v>23</v>
      </c>
      <c r="I53" s="24" t="s">
        <v>907</v>
      </c>
      <c r="J53" s="24" t="s">
        <v>910</v>
      </c>
      <c r="K53" s="24" t="s">
        <v>910</v>
      </c>
      <c r="M53" s="24" t="s">
        <v>907</v>
      </c>
      <c r="N53" s="24"/>
      <c r="P53" s="1" t="str">
        <f t="shared" si="0"/>
        <v>11301005</v>
      </c>
      <c r="Q53" s="263" t="str">
        <f t="shared" si="1"/>
        <v>Linen FB</v>
      </c>
    </row>
    <row r="54" spans="1:17" x14ac:dyDescent="0.25">
      <c r="A54" s="24" t="s">
        <v>20</v>
      </c>
      <c r="B54" s="24" t="s">
        <v>20</v>
      </c>
      <c r="C54" s="24">
        <v>3</v>
      </c>
      <c r="D54" s="24" t="s">
        <v>0</v>
      </c>
      <c r="E54" s="24" t="s">
        <v>10</v>
      </c>
      <c r="F54" s="5" t="s">
        <v>825</v>
      </c>
      <c r="G54" s="2" t="s">
        <v>22</v>
      </c>
      <c r="H54" s="2" t="s">
        <v>23</v>
      </c>
      <c r="I54" s="24" t="s">
        <v>908</v>
      </c>
      <c r="J54" s="24" t="s">
        <v>908</v>
      </c>
      <c r="K54" s="24" t="s">
        <v>908</v>
      </c>
      <c r="M54" s="24" t="s">
        <v>908</v>
      </c>
      <c r="N54" s="24"/>
      <c r="P54" s="1" t="str">
        <f t="shared" si="0"/>
        <v>11301006</v>
      </c>
      <c r="Q54" s="263" t="str">
        <f t="shared" si="1"/>
        <v>Uniform</v>
      </c>
    </row>
    <row r="55" spans="1:17" x14ac:dyDescent="0.25">
      <c r="A55" s="24" t="s">
        <v>20</v>
      </c>
      <c r="B55" s="24" t="s">
        <v>20</v>
      </c>
      <c r="C55" s="24">
        <v>3</v>
      </c>
      <c r="D55" s="24" t="s">
        <v>0</v>
      </c>
      <c r="E55" s="24" t="s">
        <v>11</v>
      </c>
      <c r="F55" s="5" t="s">
        <v>56</v>
      </c>
      <c r="G55" s="2" t="s">
        <v>22</v>
      </c>
      <c r="H55" s="2" t="s">
        <v>23</v>
      </c>
      <c r="I55" s="24" t="s">
        <v>908</v>
      </c>
      <c r="J55" s="24" t="s">
        <v>908</v>
      </c>
      <c r="K55" s="24" t="s">
        <v>908</v>
      </c>
      <c r="M55" s="24" t="s">
        <v>908</v>
      </c>
      <c r="N55" s="24"/>
      <c r="P55" s="1" t="str">
        <f t="shared" si="0"/>
        <v>11301007</v>
      </c>
      <c r="Q55" s="263" t="str">
        <f t="shared" si="1"/>
        <v>Kitchen Utensil</v>
      </c>
    </row>
    <row r="56" spans="1:17" x14ac:dyDescent="0.25">
      <c r="A56" s="24" t="s">
        <v>20</v>
      </c>
      <c r="B56" s="24" t="s">
        <v>20</v>
      </c>
      <c r="C56" s="24">
        <v>3</v>
      </c>
      <c r="D56" s="24" t="s">
        <v>0</v>
      </c>
      <c r="E56" s="24" t="s">
        <v>13</v>
      </c>
      <c r="F56" s="5" t="s">
        <v>57</v>
      </c>
      <c r="G56" s="2" t="s">
        <v>22</v>
      </c>
      <c r="H56" s="2" t="s">
        <v>23</v>
      </c>
      <c r="I56" s="24" t="s">
        <v>908</v>
      </c>
      <c r="J56" s="24" t="s">
        <v>908</v>
      </c>
      <c r="K56" s="24" t="s">
        <v>908</v>
      </c>
      <c r="M56" s="24" t="s">
        <v>908</v>
      </c>
      <c r="N56" s="24"/>
      <c r="P56" s="1" t="str">
        <f t="shared" si="0"/>
        <v>11301008</v>
      </c>
      <c r="Q56" s="263" t="str">
        <f t="shared" si="1"/>
        <v xml:space="preserve">Bottle &amp; Container </v>
      </c>
    </row>
    <row r="57" spans="1:17" x14ac:dyDescent="0.25">
      <c r="A57" s="24" t="s">
        <v>20</v>
      </c>
      <c r="B57" s="24" t="s">
        <v>20</v>
      </c>
      <c r="C57" s="24">
        <v>3</v>
      </c>
      <c r="D57" s="24" t="s">
        <v>0</v>
      </c>
      <c r="E57" s="24" t="s">
        <v>15</v>
      </c>
      <c r="F57" s="5" t="s">
        <v>55</v>
      </c>
      <c r="G57" s="24" t="s">
        <v>22</v>
      </c>
      <c r="H57" s="2" t="s">
        <v>23</v>
      </c>
      <c r="I57" s="24" t="s">
        <v>908</v>
      </c>
      <c r="J57" s="24" t="s">
        <v>908</v>
      </c>
      <c r="K57" s="24" t="s">
        <v>908</v>
      </c>
      <c r="M57" s="24" t="s">
        <v>908</v>
      </c>
      <c r="N57" s="24"/>
      <c r="P57" s="1" t="str">
        <f t="shared" si="0"/>
        <v>11301009</v>
      </c>
      <c r="Q57" s="263" t="str">
        <f t="shared" si="1"/>
        <v>Non Capitalized Asset</v>
      </c>
    </row>
    <row r="58" spans="1:17" x14ac:dyDescent="0.25">
      <c r="A58" s="24" t="s">
        <v>20</v>
      </c>
      <c r="B58" s="24" t="s">
        <v>20</v>
      </c>
      <c r="C58" s="24">
        <v>3</v>
      </c>
      <c r="D58" s="24" t="s">
        <v>0</v>
      </c>
      <c r="E58" s="24" t="s">
        <v>238</v>
      </c>
      <c r="F58" s="5" t="s">
        <v>826</v>
      </c>
      <c r="G58" s="24" t="s">
        <v>22</v>
      </c>
      <c r="H58" s="2" t="s">
        <v>23</v>
      </c>
      <c r="I58" s="24" t="s">
        <v>908</v>
      </c>
      <c r="J58" s="24" t="s">
        <v>908</v>
      </c>
      <c r="K58" s="24" t="s">
        <v>908</v>
      </c>
      <c r="M58" s="24" t="s">
        <v>908</v>
      </c>
      <c r="N58" s="24"/>
      <c r="P58" s="1" t="str">
        <f t="shared" si="0"/>
        <v>11301010</v>
      </c>
      <c r="Q58" s="263" t="str">
        <f t="shared" si="1"/>
        <v>Painting &amp; Decoration</v>
      </c>
    </row>
    <row r="59" spans="1:17" x14ac:dyDescent="0.25">
      <c r="A59" s="24" t="s">
        <v>20</v>
      </c>
      <c r="B59" s="24" t="s">
        <v>20</v>
      </c>
      <c r="C59" s="24">
        <v>3</v>
      </c>
      <c r="D59" s="24" t="s">
        <v>0</v>
      </c>
      <c r="E59" s="24" t="s">
        <v>240</v>
      </c>
      <c r="F59" s="5" t="s">
        <v>827</v>
      </c>
      <c r="G59" s="24" t="s">
        <v>22</v>
      </c>
      <c r="H59" s="2" t="s">
        <v>23</v>
      </c>
      <c r="I59" s="24" t="s">
        <v>908</v>
      </c>
      <c r="J59" s="24" t="s">
        <v>908</v>
      </c>
      <c r="K59" s="24" t="s">
        <v>908</v>
      </c>
      <c r="M59" s="24" t="s">
        <v>908</v>
      </c>
      <c r="N59" s="24"/>
      <c r="P59" s="1" t="str">
        <f t="shared" si="0"/>
        <v>11301011</v>
      </c>
      <c r="Q59" s="263" t="str">
        <f t="shared" si="1"/>
        <v>Fuel</v>
      </c>
    </row>
    <row r="60" spans="1:17" x14ac:dyDescent="0.25">
      <c r="A60" s="24" t="s">
        <v>20</v>
      </c>
      <c r="B60" s="24" t="s">
        <v>20</v>
      </c>
      <c r="C60" s="24">
        <v>3</v>
      </c>
      <c r="D60" s="24" t="s">
        <v>0</v>
      </c>
      <c r="E60" s="24" t="s">
        <v>331</v>
      </c>
      <c r="F60" s="5" t="s">
        <v>828</v>
      </c>
      <c r="G60" s="24" t="s">
        <v>22</v>
      </c>
      <c r="H60" s="2" t="s">
        <v>23</v>
      </c>
      <c r="I60" s="24" t="s">
        <v>908</v>
      </c>
      <c r="J60" s="24" t="s">
        <v>908</v>
      </c>
      <c r="K60" s="24" t="s">
        <v>908</v>
      </c>
      <c r="M60" s="24" t="s">
        <v>908</v>
      </c>
      <c r="N60" s="24"/>
      <c r="P60" s="1" t="str">
        <f t="shared" si="0"/>
        <v>11301012</v>
      </c>
      <c r="Q60" s="263" t="str">
        <f t="shared" si="1"/>
        <v>Engineering Tools</v>
      </c>
    </row>
    <row r="61" spans="1:17" x14ac:dyDescent="0.25">
      <c r="A61" s="24" t="s">
        <v>20</v>
      </c>
      <c r="B61" s="24" t="s">
        <v>20</v>
      </c>
      <c r="C61" s="24">
        <v>3</v>
      </c>
      <c r="D61" s="24" t="s">
        <v>0</v>
      </c>
      <c r="E61" s="24" t="s">
        <v>43</v>
      </c>
      <c r="F61" s="5" t="s">
        <v>829</v>
      </c>
      <c r="G61" s="24" t="s">
        <v>22</v>
      </c>
      <c r="H61" s="2" t="s">
        <v>23</v>
      </c>
      <c r="I61" s="24" t="s">
        <v>908</v>
      </c>
      <c r="J61" s="24" t="s">
        <v>908</v>
      </c>
      <c r="K61" s="24" t="s">
        <v>908</v>
      </c>
      <c r="M61" s="24" t="s">
        <v>908</v>
      </c>
      <c r="N61" s="24"/>
      <c r="P61" s="1" t="str">
        <f t="shared" si="0"/>
        <v>11301999</v>
      </c>
      <c r="Q61" s="263" t="str">
        <f t="shared" si="1"/>
        <v>Other Inventory</v>
      </c>
    </row>
    <row r="62" spans="1:17" x14ac:dyDescent="0.25">
      <c r="A62" s="20" t="s">
        <v>20</v>
      </c>
      <c r="B62" s="20" t="s">
        <v>20</v>
      </c>
      <c r="C62" s="20">
        <v>3</v>
      </c>
      <c r="D62" s="20" t="s">
        <v>2</v>
      </c>
      <c r="E62" s="20"/>
      <c r="F62" s="22" t="s">
        <v>550</v>
      </c>
      <c r="G62" s="23" t="s">
        <v>22</v>
      </c>
      <c r="H62" s="23" t="s">
        <v>23</v>
      </c>
      <c r="I62" s="23" t="s">
        <v>907</v>
      </c>
      <c r="J62" s="23" t="s">
        <v>907</v>
      </c>
      <c r="K62" s="23" t="s">
        <v>907</v>
      </c>
      <c r="M62" s="23" t="s">
        <v>907</v>
      </c>
      <c r="N62" s="23"/>
      <c r="P62" s="1" t="str">
        <f t="shared" si="0"/>
        <v>11302</v>
      </c>
      <c r="Q62" s="263" t="str">
        <f t="shared" si="1"/>
        <v xml:space="preserve">Supplies </v>
      </c>
    </row>
    <row r="63" spans="1:17" x14ac:dyDescent="0.25">
      <c r="A63" s="24" t="s">
        <v>20</v>
      </c>
      <c r="B63" s="24" t="s">
        <v>20</v>
      </c>
      <c r="C63" s="24">
        <v>3</v>
      </c>
      <c r="D63" s="24" t="s">
        <v>2</v>
      </c>
      <c r="E63" s="24" t="s">
        <v>1</v>
      </c>
      <c r="F63" s="5" t="s">
        <v>47</v>
      </c>
      <c r="G63" s="2" t="s">
        <v>22</v>
      </c>
      <c r="H63" s="2" t="s">
        <v>23</v>
      </c>
      <c r="I63" s="24" t="s">
        <v>908</v>
      </c>
      <c r="J63" s="24" t="s">
        <v>908</v>
      </c>
      <c r="K63" s="24" t="s">
        <v>908</v>
      </c>
      <c r="M63" s="24" t="s">
        <v>908</v>
      </c>
      <c r="N63" s="24"/>
      <c r="P63" s="1" t="str">
        <f t="shared" si="0"/>
        <v>11302001</v>
      </c>
      <c r="Q63" s="263" t="str">
        <f t="shared" si="1"/>
        <v xml:space="preserve">Engineering Supplies </v>
      </c>
    </row>
    <row r="64" spans="1:17" x14ac:dyDescent="0.25">
      <c r="A64" s="24" t="s">
        <v>20</v>
      </c>
      <c r="B64" s="24" t="s">
        <v>20</v>
      </c>
      <c r="C64" s="24">
        <v>3</v>
      </c>
      <c r="D64" s="24" t="s">
        <v>2</v>
      </c>
      <c r="E64" s="24" t="s">
        <v>3</v>
      </c>
      <c r="F64" s="5" t="s">
        <v>48</v>
      </c>
      <c r="G64" s="2" t="s">
        <v>22</v>
      </c>
      <c r="H64" s="2" t="s">
        <v>23</v>
      </c>
      <c r="I64" s="24" t="s">
        <v>908</v>
      </c>
      <c r="J64" s="24" t="s">
        <v>908</v>
      </c>
      <c r="K64" s="24" t="s">
        <v>908</v>
      </c>
      <c r="M64" s="24" t="s">
        <v>908</v>
      </c>
      <c r="N64" s="24"/>
      <c r="P64" s="1" t="str">
        <f t="shared" si="0"/>
        <v>11302002</v>
      </c>
      <c r="Q64" s="263" t="str">
        <f t="shared" si="1"/>
        <v xml:space="preserve">Guest Supplies </v>
      </c>
    </row>
    <row r="65" spans="1:17" x14ac:dyDescent="0.25">
      <c r="A65" s="24" t="s">
        <v>20</v>
      </c>
      <c r="B65" s="24" t="s">
        <v>20</v>
      </c>
      <c r="C65" s="24">
        <v>3</v>
      </c>
      <c r="D65" s="24" t="s">
        <v>2</v>
      </c>
      <c r="E65" s="24" t="s">
        <v>5</v>
      </c>
      <c r="F65" s="5" t="s">
        <v>49</v>
      </c>
      <c r="G65" s="2" t="s">
        <v>22</v>
      </c>
      <c r="H65" s="2" t="s">
        <v>23</v>
      </c>
      <c r="I65" s="24" t="s">
        <v>908</v>
      </c>
      <c r="J65" s="24" t="s">
        <v>908</v>
      </c>
      <c r="K65" s="24" t="s">
        <v>908</v>
      </c>
      <c r="M65" s="24" t="s">
        <v>908</v>
      </c>
      <c r="N65" s="24"/>
      <c r="P65" s="1" t="str">
        <f t="shared" si="0"/>
        <v>11302003</v>
      </c>
      <c r="Q65" s="263" t="str">
        <f t="shared" si="1"/>
        <v xml:space="preserve">Housekeeping Supplies </v>
      </c>
    </row>
    <row r="66" spans="1:17" x14ac:dyDescent="0.25">
      <c r="A66" s="24" t="s">
        <v>20</v>
      </c>
      <c r="B66" s="24" t="s">
        <v>20</v>
      </c>
      <c r="C66" s="24">
        <v>3</v>
      </c>
      <c r="D66" s="24" t="s">
        <v>2</v>
      </c>
      <c r="E66" s="24" t="s">
        <v>7</v>
      </c>
      <c r="F66" s="5" t="s">
        <v>50</v>
      </c>
      <c r="G66" s="2" t="s">
        <v>22</v>
      </c>
      <c r="H66" s="2" t="s">
        <v>23</v>
      </c>
      <c r="I66" s="24" t="s">
        <v>908</v>
      </c>
      <c r="J66" s="24" t="s">
        <v>908</v>
      </c>
      <c r="K66" s="24" t="s">
        <v>908</v>
      </c>
      <c r="M66" s="24" t="s">
        <v>908</v>
      </c>
      <c r="N66" s="24"/>
      <c r="P66" s="1" t="str">
        <f t="shared" si="0"/>
        <v>11302004</v>
      </c>
      <c r="Q66" s="263" t="str">
        <f t="shared" si="1"/>
        <v>Printing and Stationaries</v>
      </c>
    </row>
    <row r="67" spans="1:17" x14ac:dyDescent="0.25">
      <c r="A67" s="24" t="s">
        <v>20</v>
      </c>
      <c r="B67" s="24" t="s">
        <v>20</v>
      </c>
      <c r="C67" s="24">
        <v>3</v>
      </c>
      <c r="D67" s="24" t="s">
        <v>2</v>
      </c>
      <c r="E67" s="24" t="s">
        <v>9</v>
      </c>
      <c r="F67" s="5" t="s">
        <v>51</v>
      </c>
      <c r="G67" s="2" t="s">
        <v>22</v>
      </c>
      <c r="H67" s="2" t="s">
        <v>23</v>
      </c>
      <c r="I67" s="24" t="s">
        <v>908</v>
      </c>
      <c r="J67" s="24" t="s">
        <v>908</v>
      </c>
      <c r="K67" s="24" t="s">
        <v>908</v>
      </c>
      <c r="M67" s="24" t="s">
        <v>908</v>
      </c>
      <c r="N67" s="24"/>
      <c r="P67" s="1" t="str">
        <f t="shared" si="0"/>
        <v>11302005</v>
      </c>
      <c r="Q67" s="263" t="str">
        <f t="shared" si="1"/>
        <v xml:space="preserve">Promotional Supplies </v>
      </c>
    </row>
    <row r="68" spans="1:17" x14ac:dyDescent="0.25">
      <c r="A68" s="24" t="s">
        <v>20</v>
      </c>
      <c r="B68" s="24" t="s">
        <v>20</v>
      </c>
      <c r="C68" s="24">
        <v>3</v>
      </c>
      <c r="D68" s="24" t="s">
        <v>2</v>
      </c>
      <c r="E68" s="24" t="s">
        <v>10</v>
      </c>
      <c r="F68" s="5" t="s">
        <v>52</v>
      </c>
      <c r="G68" s="2" t="s">
        <v>22</v>
      </c>
      <c r="H68" s="2" t="s">
        <v>23</v>
      </c>
      <c r="I68" s="24" t="s">
        <v>908</v>
      </c>
      <c r="J68" s="24" t="s">
        <v>908</v>
      </c>
      <c r="K68" s="24" t="s">
        <v>908</v>
      </c>
      <c r="M68" s="24" t="s">
        <v>908</v>
      </c>
      <c r="N68" s="24"/>
      <c r="P68" s="1" t="str">
        <f t="shared" si="0"/>
        <v>11302006</v>
      </c>
      <c r="Q68" s="263" t="str">
        <f t="shared" si="1"/>
        <v xml:space="preserve">Cleaning Supplies </v>
      </c>
    </row>
    <row r="69" spans="1:17" x14ac:dyDescent="0.25">
      <c r="A69" s="24" t="s">
        <v>20</v>
      </c>
      <c r="B69" s="24" t="s">
        <v>20</v>
      </c>
      <c r="C69" s="24">
        <v>3</v>
      </c>
      <c r="D69" s="24" t="s">
        <v>2</v>
      </c>
      <c r="E69" s="24" t="s">
        <v>11</v>
      </c>
      <c r="F69" s="5" t="s">
        <v>830</v>
      </c>
      <c r="G69" s="2" t="s">
        <v>22</v>
      </c>
      <c r="H69" s="2" t="s">
        <v>23</v>
      </c>
      <c r="I69" s="24" t="s">
        <v>908</v>
      </c>
      <c r="J69" s="24" t="s">
        <v>908</v>
      </c>
      <c r="K69" s="24" t="s">
        <v>908</v>
      </c>
      <c r="M69" s="24" t="s">
        <v>908</v>
      </c>
      <c r="N69" s="24"/>
      <c r="P69" s="1" t="str">
        <f t="shared" ref="P69:P132" si="2">CONCATENATE(A69,B69,C69,D69,E69)</f>
        <v>11302007</v>
      </c>
      <c r="Q69" s="263" t="str">
        <f t="shared" si="1"/>
        <v>Kitchen Supplies &amp; Fuel</v>
      </c>
    </row>
    <row r="70" spans="1:17" x14ac:dyDescent="0.25">
      <c r="A70" s="24" t="s">
        <v>20</v>
      </c>
      <c r="B70" s="24" t="s">
        <v>20</v>
      </c>
      <c r="C70" s="24">
        <v>3</v>
      </c>
      <c r="D70" s="24" t="s">
        <v>2</v>
      </c>
      <c r="E70" s="24" t="s">
        <v>13</v>
      </c>
      <c r="F70" s="5" t="s">
        <v>53</v>
      </c>
      <c r="G70" s="2" t="s">
        <v>22</v>
      </c>
      <c r="H70" s="2" t="s">
        <v>23</v>
      </c>
      <c r="I70" s="24" t="s">
        <v>907</v>
      </c>
      <c r="J70" s="24" t="s">
        <v>910</v>
      </c>
      <c r="K70" s="24" t="s">
        <v>910</v>
      </c>
      <c r="M70" s="24" t="s">
        <v>907</v>
      </c>
      <c r="N70" s="24"/>
      <c r="P70" s="1" t="str">
        <f t="shared" si="2"/>
        <v>11302008</v>
      </c>
      <c r="Q70" s="263" t="str">
        <f t="shared" si="1"/>
        <v>Spa Supplies</v>
      </c>
    </row>
    <row r="71" spans="1:17" x14ac:dyDescent="0.25">
      <c r="A71" s="24" t="s">
        <v>20</v>
      </c>
      <c r="B71" s="24" t="s">
        <v>20</v>
      </c>
      <c r="C71" s="24">
        <v>3</v>
      </c>
      <c r="D71" s="24" t="s">
        <v>2</v>
      </c>
      <c r="E71" s="24" t="s">
        <v>43</v>
      </c>
      <c r="F71" s="5" t="s">
        <v>831</v>
      </c>
      <c r="G71" s="2" t="s">
        <v>22</v>
      </c>
      <c r="H71" s="2" t="s">
        <v>23</v>
      </c>
      <c r="I71" s="24" t="s">
        <v>908</v>
      </c>
      <c r="J71" s="24" t="s">
        <v>908</v>
      </c>
      <c r="K71" s="24" t="s">
        <v>908</v>
      </c>
      <c r="M71" s="24" t="s">
        <v>908</v>
      </c>
      <c r="N71" s="24"/>
      <c r="P71" s="1" t="str">
        <f t="shared" si="2"/>
        <v>11302999</v>
      </c>
      <c r="Q71" s="263" t="str">
        <f t="shared" si="1"/>
        <v xml:space="preserve">Other Supplies </v>
      </c>
    </row>
    <row r="72" spans="1:17" x14ac:dyDescent="0.25">
      <c r="A72" s="16" t="s">
        <v>20</v>
      </c>
      <c r="B72" s="16" t="s">
        <v>20</v>
      </c>
      <c r="C72" s="17" t="s">
        <v>54</v>
      </c>
      <c r="D72" s="16"/>
      <c r="E72" s="16"/>
      <c r="F72" s="18" t="s">
        <v>59</v>
      </c>
      <c r="G72" s="19" t="s">
        <v>22</v>
      </c>
      <c r="H72" s="19" t="s">
        <v>23</v>
      </c>
      <c r="I72" s="19" t="s">
        <v>907</v>
      </c>
      <c r="J72" s="19" t="s">
        <v>907</v>
      </c>
      <c r="K72" s="19" t="s">
        <v>907</v>
      </c>
      <c r="M72" s="19" t="s">
        <v>907</v>
      </c>
      <c r="N72" s="19"/>
      <c r="P72" s="1" t="str">
        <f t="shared" si="2"/>
        <v>114</v>
      </c>
      <c r="Q72" s="263" t="str">
        <f t="shared" si="1"/>
        <v>Prepaid Expenses</v>
      </c>
    </row>
    <row r="73" spans="1:17" x14ac:dyDescent="0.25">
      <c r="A73" s="20" t="s">
        <v>20</v>
      </c>
      <c r="B73" s="20" t="s">
        <v>20</v>
      </c>
      <c r="C73" s="20" t="s">
        <v>54</v>
      </c>
      <c r="D73" s="20" t="s">
        <v>0</v>
      </c>
      <c r="E73" s="20"/>
      <c r="F73" s="22" t="s">
        <v>60</v>
      </c>
      <c r="G73" s="23" t="s">
        <v>22</v>
      </c>
      <c r="H73" s="23" t="s">
        <v>23</v>
      </c>
      <c r="I73" s="23" t="s">
        <v>907</v>
      </c>
      <c r="J73" s="23" t="s">
        <v>907</v>
      </c>
      <c r="K73" s="23" t="s">
        <v>907</v>
      </c>
      <c r="M73" s="23" t="s">
        <v>907</v>
      </c>
      <c r="N73" s="23"/>
      <c r="P73" s="1" t="str">
        <f t="shared" si="2"/>
        <v>11401</v>
      </c>
      <c r="Q73" s="263" t="str">
        <f t="shared" ref="Q73:Q136" si="3">F73</f>
        <v>Prepaid Taxes</v>
      </c>
    </row>
    <row r="74" spans="1:17" x14ac:dyDescent="0.25">
      <c r="A74" s="24" t="s">
        <v>20</v>
      </c>
      <c r="B74" s="24" t="s">
        <v>20</v>
      </c>
      <c r="C74" s="24" t="s">
        <v>54</v>
      </c>
      <c r="D74" s="24" t="s">
        <v>0</v>
      </c>
      <c r="E74" s="24" t="s">
        <v>1</v>
      </c>
      <c r="F74" s="4" t="s">
        <v>832</v>
      </c>
      <c r="G74" s="2" t="s">
        <v>22</v>
      </c>
      <c r="H74" s="2" t="s">
        <v>23</v>
      </c>
      <c r="I74" s="24" t="s">
        <v>908</v>
      </c>
      <c r="J74" s="24" t="s">
        <v>908</v>
      </c>
      <c r="K74" s="24" t="s">
        <v>908</v>
      </c>
      <c r="M74" s="24" t="s">
        <v>908</v>
      </c>
      <c r="N74" s="2"/>
      <c r="P74" s="1" t="str">
        <f t="shared" si="2"/>
        <v>11401001</v>
      </c>
      <c r="Q74" s="263" t="str">
        <f t="shared" si="3"/>
        <v>Prepaid Tax Art 21/26</v>
      </c>
    </row>
    <row r="75" spans="1:17" x14ac:dyDescent="0.25">
      <c r="A75" s="24" t="s">
        <v>20</v>
      </c>
      <c r="B75" s="24" t="s">
        <v>20</v>
      </c>
      <c r="C75" s="24" t="s">
        <v>54</v>
      </c>
      <c r="D75" s="24" t="s">
        <v>0</v>
      </c>
      <c r="E75" s="24" t="s">
        <v>3</v>
      </c>
      <c r="F75" s="4" t="s">
        <v>62</v>
      </c>
      <c r="G75" s="2" t="s">
        <v>22</v>
      </c>
      <c r="H75" s="2" t="s">
        <v>23</v>
      </c>
      <c r="I75" s="24" t="s">
        <v>908</v>
      </c>
      <c r="J75" s="24" t="s">
        <v>908</v>
      </c>
      <c r="K75" s="24" t="s">
        <v>908</v>
      </c>
      <c r="M75" s="24" t="s">
        <v>908</v>
      </c>
      <c r="N75" s="2"/>
      <c r="P75" s="1" t="str">
        <f t="shared" si="2"/>
        <v>11401002</v>
      </c>
      <c r="Q75" s="263" t="str">
        <f t="shared" si="3"/>
        <v>Prepaid Tax Art 22</v>
      </c>
    </row>
    <row r="76" spans="1:17" x14ac:dyDescent="0.25">
      <c r="A76" s="24" t="s">
        <v>20</v>
      </c>
      <c r="B76" s="24" t="s">
        <v>20</v>
      </c>
      <c r="C76" s="24" t="s">
        <v>54</v>
      </c>
      <c r="D76" s="24" t="s">
        <v>0</v>
      </c>
      <c r="E76" s="24" t="s">
        <v>5</v>
      </c>
      <c r="F76" s="4" t="s">
        <v>63</v>
      </c>
      <c r="G76" s="2" t="s">
        <v>22</v>
      </c>
      <c r="H76" s="2" t="s">
        <v>23</v>
      </c>
      <c r="I76" s="24" t="s">
        <v>908</v>
      </c>
      <c r="J76" s="24" t="s">
        <v>908</v>
      </c>
      <c r="K76" s="24" t="s">
        <v>908</v>
      </c>
      <c r="M76" s="24" t="s">
        <v>908</v>
      </c>
      <c r="N76" s="2"/>
      <c r="P76" s="1" t="str">
        <f t="shared" si="2"/>
        <v>11401003</v>
      </c>
      <c r="Q76" s="263" t="str">
        <f t="shared" si="3"/>
        <v>Prepaid Tax Art 23</v>
      </c>
    </row>
    <row r="77" spans="1:17" x14ac:dyDescent="0.25">
      <c r="A77" s="24" t="s">
        <v>20</v>
      </c>
      <c r="B77" s="24" t="s">
        <v>20</v>
      </c>
      <c r="C77" s="24" t="s">
        <v>54</v>
      </c>
      <c r="D77" s="24" t="s">
        <v>0</v>
      </c>
      <c r="E77" s="24" t="s">
        <v>7</v>
      </c>
      <c r="F77" s="4" t="s">
        <v>64</v>
      </c>
      <c r="G77" s="2" t="s">
        <v>22</v>
      </c>
      <c r="H77" s="2" t="s">
        <v>23</v>
      </c>
      <c r="I77" s="24" t="s">
        <v>908</v>
      </c>
      <c r="J77" s="24" t="s">
        <v>908</v>
      </c>
      <c r="K77" s="24" t="s">
        <v>908</v>
      </c>
      <c r="M77" s="24" t="s">
        <v>908</v>
      </c>
      <c r="N77" s="2"/>
      <c r="P77" s="1" t="str">
        <f t="shared" si="2"/>
        <v>11401004</v>
      </c>
      <c r="Q77" s="263" t="str">
        <f t="shared" si="3"/>
        <v>Prepaid Tax Art 24</v>
      </c>
    </row>
    <row r="78" spans="1:17" x14ac:dyDescent="0.25">
      <c r="A78" s="24" t="s">
        <v>20</v>
      </c>
      <c r="B78" s="24" t="s">
        <v>20</v>
      </c>
      <c r="C78" s="24" t="s">
        <v>54</v>
      </c>
      <c r="D78" s="24" t="s">
        <v>0</v>
      </c>
      <c r="E78" s="24" t="s">
        <v>9</v>
      </c>
      <c r="F78" s="4" t="s">
        <v>65</v>
      </c>
      <c r="G78" s="2" t="s">
        <v>22</v>
      </c>
      <c r="H78" s="2" t="s">
        <v>23</v>
      </c>
      <c r="I78" s="24" t="s">
        <v>908</v>
      </c>
      <c r="J78" s="24" t="s">
        <v>908</v>
      </c>
      <c r="K78" s="24" t="s">
        <v>908</v>
      </c>
      <c r="M78" s="24" t="s">
        <v>908</v>
      </c>
      <c r="N78" s="2"/>
      <c r="P78" s="1" t="str">
        <f t="shared" si="2"/>
        <v>11401005</v>
      </c>
      <c r="Q78" s="263" t="str">
        <f t="shared" si="3"/>
        <v>Prepaid Tax Art 25</v>
      </c>
    </row>
    <row r="79" spans="1:17" x14ac:dyDescent="0.25">
      <c r="A79" s="24" t="s">
        <v>20</v>
      </c>
      <c r="B79" s="24" t="s">
        <v>20</v>
      </c>
      <c r="C79" s="24" t="s">
        <v>54</v>
      </c>
      <c r="D79" s="24" t="s">
        <v>0</v>
      </c>
      <c r="E79" s="24" t="s">
        <v>10</v>
      </c>
      <c r="F79" s="4" t="s">
        <v>61</v>
      </c>
      <c r="G79" s="2" t="s">
        <v>22</v>
      </c>
      <c r="H79" s="2" t="s">
        <v>23</v>
      </c>
      <c r="I79" s="2" t="s">
        <v>910</v>
      </c>
      <c r="J79" s="2" t="s">
        <v>910</v>
      </c>
      <c r="K79" s="2" t="s">
        <v>910</v>
      </c>
      <c r="M79" s="2" t="s">
        <v>908</v>
      </c>
      <c r="N79" s="2"/>
      <c r="P79" s="1" t="str">
        <f t="shared" si="2"/>
        <v>11401006</v>
      </c>
      <c r="Q79" s="263" t="str">
        <f t="shared" si="3"/>
        <v>Prepaid Tax VAT In</v>
      </c>
    </row>
    <row r="80" spans="1:17" x14ac:dyDescent="0.25">
      <c r="A80" s="20" t="s">
        <v>20</v>
      </c>
      <c r="B80" s="20" t="s">
        <v>20</v>
      </c>
      <c r="C80" s="20" t="s">
        <v>54</v>
      </c>
      <c r="D80" s="20" t="s">
        <v>2</v>
      </c>
      <c r="E80" s="20"/>
      <c r="F80" s="22" t="s">
        <v>66</v>
      </c>
      <c r="G80" s="23" t="s">
        <v>22</v>
      </c>
      <c r="H80" s="23" t="s">
        <v>23</v>
      </c>
      <c r="I80" s="23" t="s">
        <v>907</v>
      </c>
      <c r="J80" s="23" t="s">
        <v>907</v>
      </c>
      <c r="K80" s="23" t="s">
        <v>907</v>
      </c>
      <c r="M80" s="23" t="s">
        <v>907</v>
      </c>
      <c r="N80" s="23"/>
      <c r="P80" s="1" t="str">
        <f t="shared" si="2"/>
        <v>11402</v>
      </c>
      <c r="Q80" s="263" t="str">
        <f t="shared" si="3"/>
        <v>Advance Payment</v>
      </c>
    </row>
    <row r="81" spans="1:17" x14ac:dyDescent="0.25">
      <c r="A81" s="24" t="s">
        <v>20</v>
      </c>
      <c r="B81" s="24" t="s">
        <v>20</v>
      </c>
      <c r="C81" s="24" t="s">
        <v>54</v>
      </c>
      <c r="D81" s="24" t="s">
        <v>2</v>
      </c>
      <c r="E81" s="24" t="s">
        <v>1</v>
      </c>
      <c r="F81" s="5" t="s">
        <v>67</v>
      </c>
      <c r="G81" s="2" t="s">
        <v>22</v>
      </c>
      <c r="H81" s="2" t="s">
        <v>23</v>
      </c>
      <c r="I81" s="24" t="s">
        <v>908</v>
      </c>
      <c r="J81" s="24" t="s">
        <v>908</v>
      </c>
      <c r="K81" s="24" t="s">
        <v>908</v>
      </c>
      <c r="M81" s="24" t="s">
        <v>908</v>
      </c>
      <c r="N81" s="24"/>
      <c r="P81" s="1" t="str">
        <f t="shared" si="2"/>
        <v>11402001</v>
      </c>
      <c r="Q81" s="263" t="str">
        <f t="shared" si="3"/>
        <v>Cash Advance Payment</v>
      </c>
    </row>
    <row r="82" spans="1:17" x14ac:dyDescent="0.25">
      <c r="A82" s="24" t="s">
        <v>20</v>
      </c>
      <c r="B82" s="24" t="s">
        <v>20</v>
      </c>
      <c r="C82" s="24" t="s">
        <v>54</v>
      </c>
      <c r="D82" s="24" t="s">
        <v>2</v>
      </c>
      <c r="E82" s="24" t="s">
        <v>3</v>
      </c>
      <c r="F82" s="5" t="s">
        <v>68</v>
      </c>
      <c r="G82" s="2" t="s">
        <v>22</v>
      </c>
      <c r="H82" s="2" t="s">
        <v>23</v>
      </c>
      <c r="I82" s="24" t="s">
        <v>908</v>
      </c>
      <c r="J82" s="24" t="s">
        <v>908</v>
      </c>
      <c r="K82" s="24" t="s">
        <v>908</v>
      </c>
      <c r="M82" s="24" t="s">
        <v>908</v>
      </c>
      <c r="N82" s="24"/>
      <c r="P82" s="1" t="str">
        <f t="shared" si="2"/>
        <v>11402002</v>
      </c>
      <c r="Q82" s="263" t="str">
        <f t="shared" si="3"/>
        <v>Deposit Advance Payment</v>
      </c>
    </row>
    <row r="83" spans="1:17" x14ac:dyDescent="0.25">
      <c r="A83" s="20" t="s">
        <v>20</v>
      </c>
      <c r="B83" s="20" t="s">
        <v>20</v>
      </c>
      <c r="C83" s="20" t="s">
        <v>54</v>
      </c>
      <c r="D83" s="20" t="s">
        <v>4</v>
      </c>
      <c r="E83" s="20"/>
      <c r="F83" s="22" t="s">
        <v>584</v>
      </c>
      <c r="G83" s="23" t="s">
        <v>22</v>
      </c>
      <c r="H83" s="23" t="s">
        <v>23</v>
      </c>
      <c r="I83" s="23" t="s">
        <v>907</v>
      </c>
      <c r="J83" s="23" t="s">
        <v>907</v>
      </c>
      <c r="K83" s="23" t="s">
        <v>907</v>
      </c>
      <c r="M83" s="23" t="s">
        <v>907</v>
      </c>
      <c r="N83" s="23"/>
      <c r="P83" s="1" t="str">
        <f t="shared" si="2"/>
        <v>11403</v>
      </c>
      <c r="Q83" s="263" t="str">
        <f t="shared" si="3"/>
        <v>Prepaid Expense</v>
      </c>
    </row>
    <row r="84" spans="1:17" x14ac:dyDescent="0.25">
      <c r="A84" s="24" t="s">
        <v>20</v>
      </c>
      <c r="B84" s="24" t="s">
        <v>20</v>
      </c>
      <c r="C84" s="24" t="s">
        <v>54</v>
      </c>
      <c r="D84" s="24" t="s">
        <v>4</v>
      </c>
      <c r="E84" s="24" t="s">
        <v>1</v>
      </c>
      <c r="F84" s="5" t="s">
        <v>913</v>
      </c>
      <c r="G84" s="2" t="s">
        <v>22</v>
      </c>
      <c r="H84" s="2" t="s">
        <v>23</v>
      </c>
      <c r="I84" s="2" t="s">
        <v>910</v>
      </c>
      <c r="J84" s="2" t="s">
        <v>910</v>
      </c>
      <c r="K84" s="2" t="s">
        <v>910</v>
      </c>
      <c r="M84" s="2" t="s">
        <v>908</v>
      </c>
      <c r="N84" s="24"/>
      <c r="P84" s="1" t="str">
        <f t="shared" si="2"/>
        <v>11403001</v>
      </c>
      <c r="Q84" s="263" t="str">
        <f t="shared" si="3"/>
        <v>Prepaid Property Rent / Land Assessment</v>
      </c>
    </row>
    <row r="85" spans="1:17" x14ac:dyDescent="0.25">
      <c r="A85" s="24" t="s">
        <v>20</v>
      </c>
      <c r="B85" s="24" t="s">
        <v>20</v>
      </c>
      <c r="C85" s="24" t="s">
        <v>54</v>
      </c>
      <c r="D85" s="24" t="s">
        <v>4</v>
      </c>
      <c r="E85" s="24" t="s">
        <v>3</v>
      </c>
      <c r="F85" s="5" t="s">
        <v>645</v>
      </c>
      <c r="G85" s="2" t="s">
        <v>22</v>
      </c>
      <c r="H85" s="2" t="s">
        <v>23</v>
      </c>
      <c r="I85" s="24" t="s">
        <v>908</v>
      </c>
      <c r="J85" s="24" t="s">
        <v>908</v>
      </c>
      <c r="K85" s="24" t="s">
        <v>908</v>
      </c>
      <c r="M85" s="24" t="s">
        <v>908</v>
      </c>
      <c r="N85" s="24"/>
      <c r="P85" s="1" t="str">
        <f t="shared" si="2"/>
        <v>11403002</v>
      </c>
      <c r="Q85" s="263" t="str">
        <f t="shared" si="3"/>
        <v>Prepaid Property Tax</v>
      </c>
    </row>
    <row r="86" spans="1:17" x14ac:dyDescent="0.25">
      <c r="A86" s="24" t="s">
        <v>20</v>
      </c>
      <c r="B86" s="24" t="s">
        <v>20</v>
      </c>
      <c r="C86" s="24" t="s">
        <v>54</v>
      </c>
      <c r="D86" s="24" t="s">
        <v>4</v>
      </c>
      <c r="E86" s="24" t="s">
        <v>5</v>
      </c>
      <c r="F86" s="5" t="s">
        <v>69</v>
      </c>
      <c r="G86" s="2" t="s">
        <v>22</v>
      </c>
      <c r="H86" s="2" t="s">
        <v>23</v>
      </c>
      <c r="I86" s="24" t="s">
        <v>908</v>
      </c>
      <c r="J86" s="24" t="s">
        <v>908</v>
      </c>
      <c r="K86" s="24" t="s">
        <v>908</v>
      </c>
      <c r="M86" s="24" t="s">
        <v>908</v>
      </c>
      <c r="N86" s="24"/>
      <c r="P86" s="1" t="str">
        <f t="shared" si="2"/>
        <v>11403003</v>
      </c>
      <c r="Q86" s="263" t="str">
        <f t="shared" si="3"/>
        <v>Prepaid Insurance</v>
      </c>
    </row>
    <row r="87" spans="1:17" x14ac:dyDescent="0.25">
      <c r="A87" s="24" t="s">
        <v>20</v>
      </c>
      <c r="B87" s="24" t="s">
        <v>20</v>
      </c>
      <c r="C87" s="24" t="s">
        <v>54</v>
      </c>
      <c r="D87" s="24" t="s">
        <v>4</v>
      </c>
      <c r="E87" s="24" t="s">
        <v>7</v>
      </c>
      <c r="F87" s="5" t="s">
        <v>70</v>
      </c>
      <c r="G87" s="2" t="s">
        <v>22</v>
      </c>
      <c r="H87" s="2" t="s">
        <v>23</v>
      </c>
      <c r="I87" s="24" t="s">
        <v>908</v>
      </c>
      <c r="J87" s="24" t="s">
        <v>908</v>
      </c>
      <c r="K87" s="24" t="s">
        <v>908</v>
      </c>
      <c r="M87" s="24" t="s">
        <v>908</v>
      </c>
      <c r="N87" s="24"/>
      <c r="P87" s="1" t="str">
        <f t="shared" si="2"/>
        <v>11403004</v>
      </c>
      <c r="Q87" s="263" t="str">
        <f t="shared" si="3"/>
        <v>Prepaid License</v>
      </c>
    </row>
    <row r="88" spans="1:17" x14ac:dyDescent="0.25">
      <c r="A88" s="24" t="s">
        <v>20</v>
      </c>
      <c r="B88" s="24" t="s">
        <v>20</v>
      </c>
      <c r="C88" s="24" t="s">
        <v>54</v>
      </c>
      <c r="D88" s="24" t="s">
        <v>4</v>
      </c>
      <c r="E88" s="24" t="s">
        <v>9</v>
      </c>
      <c r="F88" s="5" t="s">
        <v>71</v>
      </c>
      <c r="G88" s="2" t="s">
        <v>22</v>
      </c>
      <c r="H88" s="2" t="s">
        <v>23</v>
      </c>
      <c r="I88" s="24" t="s">
        <v>908</v>
      </c>
      <c r="J88" s="24" t="s">
        <v>908</v>
      </c>
      <c r="K88" s="24" t="s">
        <v>908</v>
      </c>
      <c r="M88" s="24" t="s">
        <v>908</v>
      </c>
      <c r="N88" s="24"/>
      <c r="P88" s="1" t="str">
        <f t="shared" si="2"/>
        <v>11403005</v>
      </c>
      <c r="Q88" s="263" t="str">
        <f t="shared" si="3"/>
        <v>Prepaid Contract</v>
      </c>
    </row>
    <row r="89" spans="1:17" x14ac:dyDescent="0.25">
      <c r="A89" s="24" t="s">
        <v>20</v>
      </c>
      <c r="B89" s="24" t="s">
        <v>20</v>
      </c>
      <c r="C89" s="24" t="s">
        <v>54</v>
      </c>
      <c r="D89" s="24" t="s">
        <v>4</v>
      </c>
      <c r="E89" s="24" t="s">
        <v>10</v>
      </c>
      <c r="F89" s="5" t="s">
        <v>72</v>
      </c>
      <c r="G89" s="2" t="s">
        <v>22</v>
      </c>
      <c r="H89" s="2" t="s">
        <v>23</v>
      </c>
      <c r="I89" s="24" t="s">
        <v>908</v>
      </c>
      <c r="J89" s="24" t="s">
        <v>908</v>
      </c>
      <c r="K89" s="24" t="s">
        <v>908</v>
      </c>
      <c r="M89" s="24" t="s">
        <v>908</v>
      </c>
      <c r="N89" s="24"/>
      <c r="P89" s="1" t="str">
        <f t="shared" si="2"/>
        <v>11403006</v>
      </c>
      <c r="Q89" s="263" t="str">
        <f t="shared" si="3"/>
        <v>Prepaid Advertising &amp; Representative</v>
      </c>
    </row>
    <row r="90" spans="1:17" x14ac:dyDescent="0.25">
      <c r="A90" s="24" t="s">
        <v>20</v>
      </c>
      <c r="B90" s="24" t="s">
        <v>20</v>
      </c>
      <c r="C90" s="24" t="s">
        <v>54</v>
      </c>
      <c r="D90" s="24" t="s">
        <v>4</v>
      </c>
      <c r="E90" s="24" t="s">
        <v>11</v>
      </c>
      <c r="F90" s="5" t="s">
        <v>73</v>
      </c>
      <c r="G90" s="2" t="s">
        <v>22</v>
      </c>
      <c r="H90" s="2" t="s">
        <v>23</v>
      </c>
      <c r="I90" s="24" t="s">
        <v>908</v>
      </c>
      <c r="J90" s="24" t="s">
        <v>908</v>
      </c>
      <c r="K90" s="24" t="s">
        <v>908</v>
      </c>
      <c r="M90" s="24" t="s">
        <v>908</v>
      </c>
      <c r="N90" s="24"/>
      <c r="P90" s="1" t="str">
        <f t="shared" si="2"/>
        <v>11403007</v>
      </c>
      <c r="Q90" s="263" t="str">
        <f t="shared" si="3"/>
        <v>Prepaid Rent</v>
      </c>
    </row>
    <row r="91" spans="1:17" x14ac:dyDescent="0.25">
      <c r="A91" s="24" t="s">
        <v>20</v>
      </c>
      <c r="B91" s="24" t="s">
        <v>20</v>
      </c>
      <c r="C91" s="24" t="s">
        <v>54</v>
      </c>
      <c r="D91" s="24" t="s">
        <v>4</v>
      </c>
      <c r="E91" s="24" t="s">
        <v>13</v>
      </c>
      <c r="F91" s="5" t="s">
        <v>74</v>
      </c>
      <c r="G91" s="2" t="s">
        <v>22</v>
      </c>
      <c r="H91" s="2" t="s">
        <v>23</v>
      </c>
      <c r="I91" s="24" t="s">
        <v>908</v>
      </c>
      <c r="J91" s="24" t="s">
        <v>908</v>
      </c>
      <c r="K91" s="24" t="s">
        <v>908</v>
      </c>
      <c r="M91" s="24" t="s">
        <v>908</v>
      </c>
      <c r="N91" s="24"/>
      <c r="P91" s="1" t="str">
        <f t="shared" si="2"/>
        <v>11403008</v>
      </c>
      <c r="Q91" s="263" t="str">
        <f t="shared" si="3"/>
        <v>Prepaid Leased</v>
      </c>
    </row>
    <row r="92" spans="1:17" x14ac:dyDescent="0.25">
      <c r="A92" s="24" t="s">
        <v>20</v>
      </c>
      <c r="B92" s="24" t="s">
        <v>20</v>
      </c>
      <c r="C92" s="24" t="s">
        <v>54</v>
      </c>
      <c r="D92" s="24" t="s">
        <v>4</v>
      </c>
      <c r="E92" s="24" t="s">
        <v>43</v>
      </c>
      <c r="F92" s="5" t="s">
        <v>75</v>
      </c>
      <c r="G92" s="2" t="s">
        <v>22</v>
      </c>
      <c r="H92" s="2" t="s">
        <v>23</v>
      </c>
      <c r="I92" s="24" t="s">
        <v>908</v>
      </c>
      <c r="J92" s="24" t="s">
        <v>908</v>
      </c>
      <c r="K92" s="24" t="s">
        <v>908</v>
      </c>
      <c r="M92" s="24" t="s">
        <v>908</v>
      </c>
      <c r="N92" s="24"/>
      <c r="P92" s="1" t="str">
        <f t="shared" si="2"/>
        <v>11403999</v>
      </c>
      <c r="Q92" s="263" t="str">
        <f t="shared" si="3"/>
        <v>Other Prepaid</v>
      </c>
    </row>
    <row r="93" spans="1:17" x14ac:dyDescent="0.25">
      <c r="A93" s="12" t="s">
        <v>20</v>
      </c>
      <c r="B93" s="12" t="s">
        <v>33</v>
      </c>
      <c r="C93" s="12"/>
      <c r="D93" s="12"/>
      <c r="E93" s="12"/>
      <c r="F93" s="13" t="s">
        <v>76</v>
      </c>
      <c r="G93" s="14" t="s">
        <v>22</v>
      </c>
      <c r="H93" s="14" t="s">
        <v>23</v>
      </c>
      <c r="I93" s="14" t="s">
        <v>907</v>
      </c>
      <c r="J93" s="14" t="s">
        <v>907</v>
      </c>
      <c r="K93" s="14" t="s">
        <v>907</v>
      </c>
      <c r="M93" s="14" t="s">
        <v>907</v>
      </c>
      <c r="N93" s="14"/>
      <c r="P93" s="1" t="str">
        <f t="shared" si="2"/>
        <v>12</v>
      </c>
      <c r="Q93" s="263" t="str">
        <f t="shared" si="3"/>
        <v>Non Current Assets</v>
      </c>
    </row>
    <row r="94" spans="1:17" x14ac:dyDescent="0.25">
      <c r="A94" s="16" t="s">
        <v>20</v>
      </c>
      <c r="B94" s="16" t="s">
        <v>33</v>
      </c>
      <c r="C94" s="17" t="s">
        <v>20</v>
      </c>
      <c r="D94" s="16"/>
      <c r="E94" s="16"/>
      <c r="F94" s="18" t="s">
        <v>833</v>
      </c>
      <c r="G94" s="19" t="s">
        <v>22</v>
      </c>
      <c r="H94" s="19" t="s">
        <v>23</v>
      </c>
      <c r="I94" s="19" t="s">
        <v>907</v>
      </c>
      <c r="J94" s="19" t="s">
        <v>907</v>
      </c>
      <c r="K94" s="19" t="s">
        <v>907</v>
      </c>
      <c r="M94" s="19" t="s">
        <v>907</v>
      </c>
      <c r="N94" s="19"/>
      <c r="P94" s="1" t="str">
        <f t="shared" si="2"/>
        <v>121</v>
      </c>
      <c r="Q94" s="263" t="str">
        <f t="shared" si="3"/>
        <v>Fixed Asset*</v>
      </c>
    </row>
    <row r="95" spans="1:17" x14ac:dyDescent="0.25">
      <c r="A95" s="20" t="s">
        <v>20</v>
      </c>
      <c r="B95" s="20" t="s">
        <v>33</v>
      </c>
      <c r="C95" s="20">
        <v>1</v>
      </c>
      <c r="D95" s="20" t="s">
        <v>0</v>
      </c>
      <c r="E95" s="20"/>
      <c r="F95" s="22" t="s">
        <v>834</v>
      </c>
      <c r="G95" s="23" t="s">
        <v>22</v>
      </c>
      <c r="H95" s="23" t="s">
        <v>23</v>
      </c>
      <c r="I95" s="23" t="s">
        <v>907</v>
      </c>
      <c r="J95" s="23" t="s">
        <v>907</v>
      </c>
      <c r="K95" s="23" t="s">
        <v>907</v>
      </c>
      <c r="M95" s="23" t="s">
        <v>907</v>
      </c>
      <c r="N95" s="23"/>
      <c r="P95" s="1" t="str">
        <f t="shared" si="2"/>
        <v>12101</v>
      </c>
      <c r="Q95" s="263" t="str">
        <f t="shared" si="3"/>
        <v>Fixed Asset</v>
      </c>
    </row>
    <row r="96" spans="1:17" x14ac:dyDescent="0.25">
      <c r="A96" s="24" t="s">
        <v>20</v>
      </c>
      <c r="B96" s="24" t="s">
        <v>33</v>
      </c>
      <c r="C96" s="24">
        <v>1</v>
      </c>
      <c r="D96" s="24" t="s">
        <v>0</v>
      </c>
      <c r="E96" s="25" t="s">
        <v>1</v>
      </c>
      <c r="F96" s="5" t="s">
        <v>835</v>
      </c>
      <c r="G96" s="2" t="s">
        <v>22</v>
      </c>
      <c r="H96" s="2" t="s">
        <v>23</v>
      </c>
      <c r="I96" s="24" t="s">
        <v>908</v>
      </c>
      <c r="J96" s="24" t="s">
        <v>908</v>
      </c>
      <c r="K96" s="24" t="s">
        <v>908</v>
      </c>
      <c r="M96" s="24" t="s">
        <v>908</v>
      </c>
      <c r="N96" s="24"/>
      <c r="P96" s="1" t="str">
        <f t="shared" si="2"/>
        <v>12101001</v>
      </c>
      <c r="Q96" s="263" t="str">
        <f t="shared" si="3"/>
        <v>Cost &amp; Development of Land</v>
      </c>
    </row>
    <row r="97" spans="1:17" x14ac:dyDescent="0.25">
      <c r="A97" s="24" t="s">
        <v>20</v>
      </c>
      <c r="B97" s="24" t="s">
        <v>33</v>
      </c>
      <c r="C97" s="24">
        <v>1</v>
      </c>
      <c r="D97" s="24" t="s">
        <v>0</v>
      </c>
      <c r="E97" s="25" t="s">
        <v>3</v>
      </c>
      <c r="F97" s="5" t="s">
        <v>78</v>
      </c>
      <c r="G97" s="2" t="s">
        <v>22</v>
      </c>
      <c r="H97" s="2" t="s">
        <v>23</v>
      </c>
      <c r="I97" s="24" t="s">
        <v>908</v>
      </c>
      <c r="J97" s="24" t="s">
        <v>908</v>
      </c>
      <c r="K97" s="24" t="s">
        <v>908</v>
      </c>
      <c r="M97" s="24" t="s">
        <v>908</v>
      </c>
      <c r="N97" s="24"/>
      <c r="P97" s="1" t="str">
        <f t="shared" si="2"/>
        <v>12101002</v>
      </c>
      <c r="Q97" s="263" t="str">
        <f t="shared" si="3"/>
        <v>Building</v>
      </c>
    </row>
    <row r="98" spans="1:17" x14ac:dyDescent="0.25">
      <c r="A98" s="24" t="s">
        <v>20</v>
      </c>
      <c r="B98" s="24" t="s">
        <v>33</v>
      </c>
      <c r="C98" s="24">
        <v>1</v>
      </c>
      <c r="D98" s="24" t="s">
        <v>0</v>
      </c>
      <c r="E98" s="25" t="s">
        <v>5</v>
      </c>
      <c r="F98" s="5" t="s">
        <v>81</v>
      </c>
      <c r="G98" s="2" t="s">
        <v>22</v>
      </c>
      <c r="H98" s="2" t="s">
        <v>23</v>
      </c>
      <c r="I98" s="24" t="s">
        <v>908</v>
      </c>
      <c r="J98" s="24" t="s">
        <v>908</v>
      </c>
      <c r="K98" s="24" t="s">
        <v>908</v>
      </c>
      <c r="M98" s="24" t="s">
        <v>908</v>
      </c>
      <c r="N98" s="24"/>
      <c r="P98" s="1" t="str">
        <f t="shared" si="2"/>
        <v>12101003</v>
      </c>
      <c r="Q98" s="263" t="str">
        <f t="shared" si="3"/>
        <v>Machine</v>
      </c>
    </row>
    <row r="99" spans="1:17" x14ac:dyDescent="0.25">
      <c r="A99" s="24" t="s">
        <v>20</v>
      </c>
      <c r="B99" s="24" t="s">
        <v>33</v>
      </c>
      <c r="C99" s="24">
        <v>1</v>
      </c>
      <c r="D99" s="24" t="s">
        <v>0</v>
      </c>
      <c r="E99" s="25" t="s">
        <v>7</v>
      </c>
      <c r="F99" s="5" t="s">
        <v>524</v>
      </c>
      <c r="G99" s="2" t="s">
        <v>22</v>
      </c>
      <c r="H99" s="2" t="s">
        <v>23</v>
      </c>
      <c r="I99" s="24" t="s">
        <v>908</v>
      </c>
      <c r="J99" s="24" t="s">
        <v>908</v>
      </c>
      <c r="K99" s="24" t="s">
        <v>908</v>
      </c>
      <c r="M99" s="24" t="s">
        <v>908</v>
      </c>
      <c r="N99" s="24"/>
      <c r="P99" s="1" t="str">
        <f t="shared" si="2"/>
        <v>12101004</v>
      </c>
      <c r="Q99" s="263" t="str">
        <f t="shared" si="3"/>
        <v>General Building System Equipment</v>
      </c>
    </row>
    <row r="100" spans="1:17" x14ac:dyDescent="0.25">
      <c r="A100" s="24" t="s">
        <v>20</v>
      </c>
      <c r="B100" s="24" t="s">
        <v>33</v>
      </c>
      <c r="C100" s="24">
        <v>1</v>
      </c>
      <c r="D100" s="24" t="s">
        <v>0</v>
      </c>
      <c r="E100" s="25" t="s">
        <v>9</v>
      </c>
      <c r="F100" s="5" t="s">
        <v>82</v>
      </c>
      <c r="G100" s="2" t="s">
        <v>22</v>
      </c>
      <c r="H100" s="2" t="s">
        <v>23</v>
      </c>
      <c r="I100" s="24" t="s">
        <v>908</v>
      </c>
      <c r="J100" s="24" t="s">
        <v>908</v>
      </c>
      <c r="K100" s="24" t="s">
        <v>908</v>
      </c>
      <c r="M100" s="24" t="s">
        <v>908</v>
      </c>
      <c r="N100" s="24"/>
      <c r="P100" s="1" t="str">
        <f t="shared" si="2"/>
        <v>12101005</v>
      </c>
      <c r="Q100" s="263" t="str">
        <f t="shared" si="3"/>
        <v>Furniture &amp; Fixture</v>
      </c>
    </row>
    <row r="101" spans="1:17" x14ac:dyDescent="0.25">
      <c r="A101" s="24" t="s">
        <v>20</v>
      </c>
      <c r="B101" s="24" t="s">
        <v>33</v>
      </c>
      <c r="C101" s="24">
        <v>1</v>
      </c>
      <c r="D101" s="24" t="s">
        <v>0</v>
      </c>
      <c r="E101" s="25" t="s">
        <v>10</v>
      </c>
      <c r="F101" s="5" t="s">
        <v>84</v>
      </c>
      <c r="G101" s="2" t="s">
        <v>22</v>
      </c>
      <c r="H101" s="2" t="s">
        <v>23</v>
      </c>
      <c r="I101" s="24" t="s">
        <v>908</v>
      </c>
      <c r="J101" s="24" t="s">
        <v>908</v>
      </c>
      <c r="K101" s="24" t="s">
        <v>908</v>
      </c>
      <c r="M101" s="24" t="s">
        <v>908</v>
      </c>
      <c r="N101" s="24"/>
      <c r="P101" s="1" t="str">
        <f t="shared" si="2"/>
        <v>12101006</v>
      </c>
      <c r="Q101" s="263" t="str">
        <f t="shared" si="3"/>
        <v>Vehicle</v>
      </c>
    </row>
    <row r="102" spans="1:17" x14ac:dyDescent="0.25">
      <c r="A102" s="24" t="s">
        <v>20</v>
      </c>
      <c r="B102" s="24" t="s">
        <v>33</v>
      </c>
      <c r="C102" s="24">
        <v>1</v>
      </c>
      <c r="D102" s="24" t="s">
        <v>0</v>
      </c>
      <c r="E102" s="25" t="s">
        <v>43</v>
      </c>
      <c r="F102" s="5" t="s">
        <v>83</v>
      </c>
      <c r="G102" s="2" t="s">
        <v>22</v>
      </c>
      <c r="H102" s="2" t="s">
        <v>23</v>
      </c>
      <c r="I102" s="24" t="s">
        <v>908</v>
      </c>
      <c r="J102" s="24" t="s">
        <v>908</v>
      </c>
      <c r="K102" s="24" t="s">
        <v>908</v>
      </c>
      <c r="M102" s="24" t="s">
        <v>908</v>
      </c>
      <c r="N102" s="24"/>
      <c r="P102" s="1" t="str">
        <f t="shared" si="2"/>
        <v>12101999</v>
      </c>
      <c r="Q102" s="263" t="str">
        <f t="shared" si="3"/>
        <v>Other Equipment</v>
      </c>
    </row>
    <row r="103" spans="1:17" x14ac:dyDescent="0.25">
      <c r="A103" s="20" t="s">
        <v>20</v>
      </c>
      <c r="B103" s="20" t="s">
        <v>33</v>
      </c>
      <c r="C103" s="20" t="s">
        <v>20</v>
      </c>
      <c r="D103" s="21" t="s">
        <v>2</v>
      </c>
      <c r="E103" s="20"/>
      <c r="F103" s="22" t="s">
        <v>85</v>
      </c>
      <c r="G103" s="23" t="s">
        <v>22</v>
      </c>
      <c r="H103" s="23" t="s">
        <v>86</v>
      </c>
      <c r="I103" s="23" t="s">
        <v>907</v>
      </c>
      <c r="J103" s="23" t="s">
        <v>907</v>
      </c>
      <c r="K103" s="23" t="s">
        <v>907</v>
      </c>
      <c r="M103" s="23" t="s">
        <v>907</v>
      </c>
      <c r="N103" s="23"/>
      <c r="P103" s="1" t="str">
        <f t="shared" si="2"/>
        <v>12102</v>
      </c>
      <c r="Q103" s="263" t="str">
        <f t="shared" si="3"/>
        <v>Accumulated Depreciation (A/D)</v>
      </c>
    </row>
    <row r="104" spans="1:17" x14ac:dyDescent="0.25">
      <c r="A104" s="24" t="s">
        <v>20</v>
      </c>
      <c r="B104" s="24" t="s">
        <v>33</v>
      </c>
      <c r="C104" s="24" t="s">
        <v>20</v>
      </c>
      <c r="D104" s="24" t="s">
        <v>2</v>
      </c>
      <c r="E104" s="24" t="s">
        <v>1</v>
      </c>
      <c r="F104" s="5" t="s">
        <v>87</v>
      </c>
      <c r="G104" s="2" t="s">
        <v>22</v>
      </c>
      <c r="H104" s="2" t="s">
        <v>86</v>
      </c>
      <c r="I104" s="24" t="s">
        <v>908</v>
      </c>
      <c r="J104" s="24" t="s">
        <v>908</v>
      </c>
      <c r="K104" s="24" t="s">
        <v>908</v>
      </c>
      <c r="M104" s="24" t="s">
        <v>908</v>
      </c>
      <c r="N104" s="24"/>
      <c r="P104" s="1" t="str">
        <f t="shared" si="2"/>
        <v>12102001</v>
      </c>
      <c r="Q104" s="263" t="str">
        <f t="shared" si="3"/>
        <v>A/D Building</v>
      </c>
    </row>
    <row r="105" spans="1:17" x14ac:dyDescent="0.25">
      <c r="A105" s="24" t="s">
        <v>20</v>
      </c>
      <c r="B105" s="24" t="s">
        <v>33</v>
      </c>
      <c r="C105" s="24" t="s">
        <v>20</v>
      </c>
      <c r="D105" s="24" t="s">
        <v>2</v>
      </c>
      <c r="E105" s="24" t="s">
        <v>3</v>
      </c>
      <c r="F105" s="5" t="s">
        <v>88</v>
      </c>
      <c r="G105" s="2" t="s">
        <v>22</v>
      </c>
      <c r="H105" s="2" t="s">
        <v>86</v>
      </c>
      <c r="I105" s="24" t="s">
        <v>908</v>
      </c>
      <c r="J105" s="24" t="s">
        <v>908</v>
      </c>
      <c r="K105" s="24" t="s">
        <v>908</v>
      </c>
      <c r="M105" s="24" t="s">
        <v>908</v>
      </c>
      <c r="N105" s="24"/>
      <c r="P105" s="1" t="str">
        <f t="shared" si="2"/>
        <v>12102002</v>
      </c>
      <c r="Q105" s="263" t="str">
        <f t="shared" si="3"/>
        <v>A/D Machine</v>
      </c>
    </row>
    <row r="106" spans="1:17" x14ac:dyDescent="0.25">
      <c r="A106" s="24" t="s">
        <v>20</v>
      </c>
      <c r="B106" s="24" t="s">
        <v>33</v>
      </c>
      <c r="C106" s="24" t="s">
        <v>20</v>
      </c>
      <c r="D106" s="24" t="s">
        <v>2</v>
      </c>
      <c r="E106" s="24" t="s">
        <v>5</v>
      </c>
      <c r="F106" s="5" t="s">
        <v>525</v>
      </c>
      <c r="G106" s="2" t="s">
        <v>22</v>
      </c>
      <c r="H106" s="2" t="s">
        <v>86</v>
      </c>
      <c r="I106" s="24" t="s">
        <v>908</v>
      </c>
      <c r="J106" s="24" t="s">
        <v>908</v>
      </c>
      <c r="K106" s="24" t="s">
        <v>908</v>
      </c>
      <c r="M106" s="24" t="s">
        <v>908</v>
      </c>
      <c r="N106" s="24"/>
      <c r="P106" s="1" t="str">
        <f t="shared" si="2"/>
        <v>12102003</v>
      </c>
      <c r="Q106" s="263" t="str">
        <f t="shared" si="3"/>
        <v>A/D General Building System Equipment</v>
      </c>
    </row>
    <row r="107" spans="1:17" x14ac:dyDescent="0.25">
      <c r="A107" s="24" t="s">
        <v>20</v>
      </c>
      <c r="B107" s="24" t="s">
        <v>33</v>
      </c>
      <c r="C107" s="24" t="s">
        <v>20</v>
      </c>
      <c r="D107" s="24" t="s">
        <v>2</v>
      </c>
      <c r="E107" s="24" t="s">
        <v>7</v>
      </c>
      <c r="F107" s="5" t="s">
        <v>89</v>
      </c>
      <c r="G107" s="2" t="s">
        <v>22</v>
      </c>
      <c r="H107" s="2" t="s">
        <v>86</v>
      </c>
      <c r="I107" s="24" t="s">
        <v>908</v>
      </c>
      <c r="J107" s="24" t="s">
        <v>908</v>
      </c>
      <c r="K107" s="24" t="s">
        <v>908</v>
      </c>
      <c r="M107" s="24" t="s">
        <v>908</v>
      </c>
      <c r="N107" s="24"/>
      <c r="P107" s="1" t="str">
        <f t="shared" si="2"/>
        <v>12102004</v>
      </c>
      <c r="Q107" s="263" t="str">
        <f t="shared" si="3"/>
        <v>A/D Furniture &amp; Fixture</v>
      </c>
    </row>
    <row r="108" spans="1:17" x14ac:dyDescent="0.25">
      <c r="A108" s="24" t="s">
        <v>20</v>
      </c>
      <c r="B108" s="24" t="s">
        <v>33</v>
      </c>
      <c r="C108" s="24" t="s">
        <v>20</v>
      </c>
      <c r="D108" s="24" t="s">
        <v>2</v>
      </c>
      <c r="E108" s="24" t="s">
        <v>9</v>
      </c>
      <c r="F108" s="5" t="s">
        <v>91</v>
      </c>
      <c r="G108" s="2" t="s">
        <v>22</v>
      </c>
      <c r="H108" s="2" t="s">
        <v>86</v>
      </c>
      <c r="I108" s="24" t="s">
        <v>908</v>
      </c>
      <c r="J108" s="24" t="s">
        <v>908</v>
      </c>
      <c r="K108" s="24" t="s">
        <v>908</v>
      </c>
      <c r="M108" s="24" t="s">
        <v>908</v>
      </c>
      <c r="N108" s="24"/>
      <c r="P108" s="1" t="str">
        <f t="shared" si="2"/>
        <v>12102005</v>
      </c>
      <c r="Q108" s="263" t="str">
        <f t="shared" si="3"/>
        <v>A/D Vehicle</v>
      </c>
    </row>
    <row r="109" spans="1:17" x14ac:dyDescent="0.25">
      <c r="A109" s="24" t="s">
        <v>20</v>
      </c>
      <c r="B109" s="24" t="s">
        <v>33</v>
      </c>
      <c r="C109" s="24" t="s">
        <v>20</v>
      </c>
      <c r="D109" s="24" t="s">
        <v>2</v>
      </c>
      <c r="E109" s="24" t="s">
        <v>43</v>
      </c>
      <c r="F109" s="5" t="s">
        <v>90</v>
      </c>
      <c r="G109" s="2" t="s">
        <v>22</v>
      </c>
      <c r="H109" s="2" t="s">
        <v>86</v>
      </c>
      <c r="I109" s="24" t="s">
        <v>908</v>
      </c>
      <c r="J109" s="24" t="s">
        <v>908</v>
      </c>
      <c r="K109" s="24" t="s">
        <v>908</v>
      </c>
      <c r="M109" s="24" t="s">
        <v>908</v>
      </c>
      <c r="N109" s="24"/>
      <c r="P109" s="1" t="str">
        <f t="shared" si="2"/>
        <v>12102999</v>
      </c>
      <c r="Q109" s="263" t="str">
        <f t="shared" si="3"/>
        <v>A/D Other Equipment</v>
      </c>
    </row>
    <row r="110" spans="1:17" x14ac:dyDescent="0.25">
      <c r="A110" s="16" t="s">
        <v>20</v>
      </c>
      <c r="B110" s="16" t="s">
        <v>33</v>
      </c>
      <c r="C110" s="16" t="s">
        <v>33</v>
      </c>
      <c r="D110" s="16"/>
      <c r="E110" s="16"/>
      <c r="F110" s="18" t="s">
        <v>836</v>
      </c>
      <c r="G110" s="19" t="s">
        <v>22</v>
      </c>
      <c r="H110" s="19" t="s">
        <v>23</v>
      </c>
      <c r="I110" s="19" t="s">
        <v>907</v>
      </c>
      <c r="J110" s="19" t="s">
        <v>907</v>
      </c>
      <c r="K110" s="19" t="s">
        <v>907</v>
      </c>
      <c r="M110" s="19" t="s">
        <v>907</v>
      </c>
      <c r="N110" s="19"/>
      <c r="P110" s="1" t="str">
        <f t="shared" si="2"/>
        <v>122</v>
      </c>
      <c r="Q110" s="263" t="str">
        <f t="shared" si="3"/>
        <v>Intangible Asset*</v>
      </c>
    </row>
    <row r="111" spans="1:17" x14ac:dyDescent="0.25">
      <c r="A111" s="20" t="s">
        <v>20</v>
      </c>
      <c r="B111" s="20" t="s">
        <v>33</v>
      </c>
      <c r="C111" s="20" t="s">
        <v>33</v>
      </c>
      <c r="D111" s="20" t="s">
        <v>0</v>
      </c>
      <c r="E111" s="20"/>
      <c r="F111" s="22" t="s">
        <v>552</v>
      </c>
      <c r="G111" s="23" t="s">
        <v>22</v>
      </c>
      <c r="H111" s="23" t="s">
        <v>23</v>
      </c>
      <c r="I111" s="23" t="s">
        <v>907</v>
      </c>
      <c r="J111" s="23" t="s">
        <v>907</v>
      </c>
      <c r="K111" s="23" t="s">
        <v>907</v>
      </c>
      <c r="M111" s="23" t="s">
        <v>907</v>
      </c>
      <c r="N111" s="23"/>
      <c r="P111" s="1" t="str">
        <f t="shared" si="2"/>
        <v>12201</v>
      </c>
      <c r="Q111" s="263" t="str">
        <f t="shared" si="3"/>
        <v>Intangible Asset</v>
      </c>
    </row>
    <row r="112" spans="1:17" x14ac:dyDescent="0.25">
      <c r="A112" s="24" t="s">
        <v>20</v>
      </c>
      <c r="B112" s="24" t="s">
        <v>33</v>
      </c>
      <c r="C112" s="24" t="s">
        <v>33</v>
      </c>
      <c r="D112" s="24" t="s">
        <v>0</v>
      </c>
      <c r="E112" s="24" t="s">
        <v>1</v>
      </c>
      <c r="F112" s="5" t="s">
        <v>92</v>
      </c>
      <c r="G112" s="2" t="s">
        <v>22</v>
      </c>
      <c r="H112" s="2" t="s">
        <v>23</v>
      </c>
      <c r="I112" s="24" t="s">
        <v>908</v>
      </c>
      <c r="J112" s="24" t="s">
        <v>908</v>
      </c>
      <c r="K112" s="24" t="s">
        <v>908</v>
      </c>
      <c r="M112" s="24" t="s">
        <v>908</v>
      </c>
      <c r="N112" s="24"/>
      <c r="P112" s="1" t="str">
        <f t="shared" si="2"/>
        <v>12201001</v>
      </c>
      <c r="Q112" s="263" t="str">
        <f t="shared" si="3"/>
        <v>Software</v>
      </c>
    </row>
    <row r="113" spans="1:17" x14ac:dyDescent="0.25">
      <c r="A113" s="24" t="s">
        <v>20</v>
      </c>
      <c r="B113" s="24" t="s">
        <v>33</v>
      </c>
      <c r="C113" s="24" t="s">
        <v>33</v>
      </c>
      <c r="D113" s="24" t="s">
        <v>0</v>
      </c>
      <c r="E113" s="24" t="s">
        <v>3</v>
      </c>
      <c r="F113" s="5" t="s">
        <v>93</v>
      </c>
      <c r="G113" s="2" t="s">
        <v>22</v>
      </c>
      <c r="H113" s="2" t="s">
        <v>23</v>
      </c>
      <c r="I113" s="24" t="s">
        <v>908</v>
      </c>
      <c r="J113" s="24" t="s">
        <v>908</v>
      </c>
      <c r="K113" s="24" t="s">
        <v>908</v>
      </c>
      <c r="M113" s="24" t="s">
        <v>908</v>
      </c>
      <c r="N113" s="24"/>
      <c r="P113" s="1" t="str">
        <f t="shared" si="2"/>
        <v>12201002</v>
      </c>
      <c r="Q113" s="263" t="str">
        <f t="shared" si="3"/>
        <v>Goodwill</v>
      </c>
    </row>
    <row r="114" spans="1:17" x14ac:dyDescent="0.25">
      <c r="A114" s="24" t="s">
        <v>20</v>
      </c>
      <c r="B114" s="24" t="s">
        <v>33</v>
      </c>
      <c r="C114" s="24" t="s">
        <v>33</v>
      </c>
      <c r="D114" s="24" t="s">
        <v>0</v>
      </c>
      <c r="E114" s="24" t="s">
        <v>5</v>
      </c>
      <c r="F114" s="5" t="s">
        <v>94</v>
      </c>
      <c r="G114" s="2" t="s">
        <v>22</v>
      </c>
      <c r="H114" s="2" t="s">
        <v>23</v>
      </c>
      <c r="I114" s="24" t="s">
        <v>908</v>
      </c>
      <c r="J114" s="24" t="s">
        <v>908</v>
      </c>
      <c r="K114" s="24" t="s">
        <v>908</v>
      </c>
      <c r="M114" s="24" t="s">
        <v>908</v>
      </c>
      <c r="N114" s="24"/>
      <c r="P114" s="1" t="str">
        <f t="shared" si="2"/>
        <v>12201003</v>
      </c>
      <c r="Q114" s="263" t="str">
        <f t="shared" si="3"/>
        <v>License</v>
      </c>
    </row>
    <row r="115" spans="1:17" x14ac:dyDescent="0.25">
      <c r="A115" s="24" t="s">
        <v>20</v>
      </c>
      <c r="B115" s="24" t="s">
        <v>33</v>
      </c>
      <c r="C115" s="24" t="s">
        <v>33</v>
      </c>
      <c r="D115" s="24" t="s">
        <v>0</v>
      </c>
      <c r="E115" s="24" t="s">
        <v>7</v>
      </c>
      <c r="F115" s="5" t="s">
        <v>95</v>
      </c>
      <c r="G115" s="2" t="s">
        <v>22</v>
      </c>
      <c r="H115" s="2" t="s">
        <v>23</v>
      </c>
      <c r="I115" s="24" t="s">
        <v>908</v>
      </c>
      <c r="J115" s="24" t="s">
        <v>908</v>
      </c>
      <c r="K115" s="24" t="s">
        <v>908</v>
      </c>
      <c r="M115" s="24" t="s">
        <v>908</v>
      </c>
      <c r="N115" s="24"/>
      <c r="P115" s="1" t="str">
        <f t="shared" si="2"/>
        <v>12201004</v>
      </c>
      <c r="Q115" s="263" t="str">
        <f t="shared" si="3"/>
        <v>Building Rights on Land</v>
      </c>
    </row>
    <row r="116" spans="1:17" x14ac:dyDescent="0.25">
      <c r="A116" s="24" t="s">
        <v>20</v>
      </c>
      <c r="B116" s="24" t="s">
        <v>33</v>
      </c>
      <c r="C116" s="24" t="s">
        <v>33</v>
      </c>
      <c r="D116" s="24" t="s">
        <v>0</v>
      </c>
      <c r="E116" s="24" t="s">
        <v>43</v>
      </c>
      <c r="F116" s="5" t="s">
        <v>526</v>
      </c>
      <c r="G116" s="2" t="s">
        <v>22</v>
      </c>
      <c r="H116" s="2" t="s">
        <v>23</v>
      </c>
      <c r="I116" s="24" t="s">
        <v>908</v>
      </c>
      <c r="J116" s="24" t="s">
        <v>908</v>
      </c>
      <c r="K116" s="24" t="s">
        <v>908</v>
      </c>
      <c r="M116" s="24" t="s">
        <v>908</v>
      </c>
      <c r="N116" s="24"/>
      <c r="P116" s="1" t="str">
        <f t="shared" si="2"/>
        <v>12201999</v>
      </c>
      <c r="Q116" s="263" t="str">
        <f t="shared" si="3"/>
        <v>Other Intangible Asset</v>
      </c>
    </row>
    <row r="117" spans="1:17" x14ac:dyDescent="0.25">
      <c r="A117" s="20" t="s">
        <v>20</v>
      </c>
      <c r="B117" s="20" t="s">
        <v>33</v>
      </c>
      <c r="C117" s="20" t="s">
        <v>33</v>
      </c>
      <c r="D117" s="20" t="s">
        <v>2</v>
      </c>
      <c r="E117" s="20"/>
      <c r="F117" s="22" t="s">
        <v>96</v>
      </c>
      <c r="G117" s="23" t="s">
        <v>22</v>
      </c>
      <c r="H117" s="23" t="s">
        <v>86</v>
      </c>
      <c r="I117" s="23" t="s">
        <v>907</v>
      </c>
      <c r="J117" s="23" t="s">
        <v>907</v>
      </c>
      <c r="K117" s="23" t="s">
        <v>907</v>
      </c>
      <c r="M117" s="23" t="s">
        <v>907</v>
      </c>
      <c r="N117" s="23"/>
      <c r="P117" s="1" t="str">
        <f t="shared" si="2"/>
        <v>12202</v>
      </c>
      <c r="Q117" s="263" t="str">
        <f t="shared" si="3"/>
        <v>Accumulated Amortization (A/A)</v>
      </c>
    </row>
    <row r="118" spans="1:17" x14ac:dyDescent="0.25">
      <c r="A118" s="24" t="s">
        <v>20</v>
      </c>
      <c r="B118" s="24" t="s">
        <v>33</v>
      </c>
      <c r="C118" s="24" t="s">
        <v>33</v>
      </c>
      <c r="D118" s="24" t="s">
        <v>2</v>
      </c>
      <c r="E118" s="24" t="s">
        <v>1</v>
      </c>
      <c r="F118" s="5" t="s">
        <v>97</v>
      </c>
      <c r="G118" s="2" t="s">
        <v>22</v>
      </c>
      <c r="H118" s="2" t="s">
        <v>86</v>
      </c>
      <c r="I118" s="24" t="s">
        <v>908</v>
      </c>
      <c r="J118" s="24" t="s">
        <v>908</v>
      </c>
      <c r="K118" s="24" t="s">
        <v>908</v>
      </c>
      <c r="M118" s="24" t="s">
        <v>908</v>
      </c>
      <c r="N118" s="24"/>
      <c r="P118" s="1" t="str">
        <f t="shared" si="2"/>
        <v>12202001</v>
      </c>
      <c r="Q118" s="263" t="str">
        <f t="shared" si="3"/>
        <v>A/A Software</v>
      </c>
    </row>
    <row r="119" spans="1:17" x14ac:dyDescent="0.25">
      <c r="A119" s="24" t="s">
        <v>20</v>
      </c>
      <c r="B119" s="24" t="s">
        <v>33</v>
      </c>
      <c r="C119" s="24" t="s">
        <v>33</v>
      </c>
      <c r="D119" s="24" t="s">
        <v>2</v>
      </c>
      <c r="E119" s="24" t="s">
        <v>3</v>
      </c>
      <c r="F119" s="5" t="s">
        <v>98</v>
      </c>
      <c r="G119" s="2" t="s">
        <v>22</v>
      </c>
      <c r="H119" s="2" t="s">
        <v>86</v>
      </c>
      <c r="I119" s="24" t="s">
        <v>908</v>
      </c>
      <c r="J119" s="24" t="s">
        <v>908</v>
      </c>
      <c r="K119" s="24" t="s">
        <v>908</v>
      </c>
      <c r="M119" s="24" t="s">
        <v>908</v>
      </c>
      <c r="N119" s="24"/>
      <c r="P119" s="1" t="str">
        <f t="shared" si="2"/>
        <v>12202002</v>
      </c>
      <c r="Q119" s="263" t="str">
        <f t="shared" si="3"/>
        <v>A/A Goodwill</v>
      </c>
    </row>
    <row r="120" spans="1:17" x14ac:dyDescent="0.25">
      <c r="A120" s="24" t="s">
        <v>20</v>
      </c>
      <c r="B120" s="24" t="s">
        <v>33</v>
      </c>
      <c r="C120" s="24" t="s">
        <v>33</v>
      </c>
      <c r="D120" s="24" t="s">
        <v>2</v>
      </c>
      <c r="E120" s="24" t="s">
        <v>5</v>
      </c>
      <c r="F120" s="5" t="s">
        <v>99</v>
      </c>
      <c r="G120" s="2" t="s">
        <v>22</v>
      </c>
      <c r="H120" s="2" t="s">
        <v>86</v>
      </c>
      <c r="I120" s="24" t="s">
        <v>908</v>
      </c>
      <c r="J120" s="24" t="s">
        <v>908</v>
      </c>
      <c r="K120" s="24" t="s">
        <v>908</v>
      </c>
      <c r="M120" s="24" t="s">
        <v>908</v>
      </c>
      <c r="N120" s="24"/>
      <c r="P120" s="1" t="str">
        <f t="shared" si="2"/>
        <v>12202003</v>
      </c>
      <c r="Q120" s="263" t="str">
        <f t="shared" si="3"/>
        <v>A/A License</v>
      </c>
    </row>
    <row r="121" spans="1:17" x14ac:dyDescent="0.25">
      <c r="A121" s="24" t="s">
        <v>20</v>
      </c>
      <c r="B121" s="24" t="s">
        <v>33</v>
      </c>
      <c r="C121" s="24" t="s">
        <v>33</v>
      </c>
      <c r="D121" s="24" t="s">
        <v>2</v>
      </c>
      <c r="E121" s="24" t="s">
        <v>7</v>
      </c>
      <c r="F121" s="5" t="s">
        <v>100</v>
      </c>
      <c r="G121" s="2" t="s">
        <v>22</v>
      </c>
      <c r="H121" s="2" t="s">
        <v>86</v>
      </c>
      <c r="I121" s="24" t="s">
        <v>908</v>
      </c>
      <c r="J121" s="24" t="s">
        <v>908</v>
      </c>
      <c r="K121" s="24" t="s">
        <v>908</v>
      </c>
      <c r="M121" s="24" t="s">
        <v>908</v>
      </c>
      <c r="N121" s="24"/>
      <c r="P121" s="1" t="str">
        <f t="shared" si="2"/>
        <v>12202004</v>
      </c>
      <c r="Q121" s="263" t="str">
        <f t="shared" si="3"/>
        <v>A/A Building Rights on Land</v>
      </c>
    </row>
    <row r="122" spans="1:17" x14ac:dyDescent="0.25">
      <c r="A122" s="24" t="s">
        <v>20</v>
      </c>
      <c r="B122" s="24" t="s">
        <v>33</v>
      </c>
      <c r="C122" s="24" t="s">
        <v>33</v>
      </c>
      <c r="D122" s="24" t="s">
        <v>2</v>
      </c>
      <c r="E122" s="24" t="s">
        <v>43</v>
      </c>
      <c r="F122" s="5" t="s">
        <v>527</v>
      </c>
      <c r="G122" s="2" t="s">
        <v>22</v>
      </c>
      <c r="H122" s="2" t="s">
        <v>86</v>
      </c>
      <c r="I122" s="24" t="s">
        <v>908</v>
      </c>
      <c r="J122" s="24" t="s">
        <v>908</v>
      </c>
      <c r="K122" s="24" t="s">
        <v>908</v>
      </c>
      <c r="M122" s="24" t="s">
        <v>908</v>
      </c>
      <c r="N122" s="24"/>
      <c r="P122" s="1" t="str">
        <f t="shared" si="2"/>
        <v>12202999</v>
      </c>
      <c r="Q122" s="263" t="str">
        <f t="shared" si="3"/>
        <v>A/A Other Intangible Asset</v>
      </c>
    </row>
    <row r="123" spans="1:17" x14ac:dyDescent="0.25">
      <c r="A123" s="16" t="s">
        <v>20</v>
      </c>
      <c r="B123" s="16" t="s">
        <v>33</v>
      </c>
      <c r="C123" s="16" t="s">
        <v>44</v>
      </c>
      <c r="D123" s="16"/>
      <c r="E123" s="16"/>
      <c r="F123" s="18" t="s">
        <v>837</v>
      </c>
      <c r="G123" s="19" t="s">
        <v>22</v>
      </c>
      <c r="H123" s="19" t="s">
        <v>23</v>
      </c>
      <c r="I123" s="19" t="s">
        <v>907</v>
      </c>
      <c r="J123" s="19" t="s">
        <v>907</v>
      </c>
      <c r="K123" s="19" t="s">
        <v>907</v>
      </c>
      <c r="M123" s="19" t="s">
        <v>907</v>
      </c>
      <c r="N123" s="19"/>
      <c r="P123" s="1" t="str">
        <f t="shared" si="2"/>
        <v>123</v>
      </c>
      <c r="Q123" s="263" t="str">
        <f t="shared" si="3"/>
        <v>Other Asset*</v>
      </c>
    </row>
    <row r="124" spans="1:17" x14ac:dyDescent="0.25">
      <c r="A124" s="20" t="s">
        <v>20</v>
      </c>
      <c r="B124" s="20" t="s">
        <v>33</v>
      </c>
      <c r="C124" s="20" t="s">
        <v>44</v>
      </c>
      <c r="D124" s="21" t="s">
        <v>0</v>
      </c>
      <c r="E124" s="20"/>
      <c r="F124" s="22" t="s">
        <v>101</v>
      </c>
      <c r="G124" s="23" t="s">
        <v>22</v>
      </c>
      <c r="H124" s="23" t="s">
        <v>23</v>
      </c>
      <c r="I124" s="23" t="s">
        <v>907</v>
      </c>
      <c r="J124" s="23" t="s">
        <v>907</v>
      </c>
      <c r="K124" s="23" t="s">
        <v>907</v>
      </c>
      <c r="M124" s="23" t="s">
        <v>907</v>
      </c>
      <c r="N124" s="23"/>
      <c r="P124" s="1" t="str">
        <f t="shared" si="2"/>
        <v>12301</v>
      </c>
      <c r="Q124" s="263" t="str">
        <f t="shared" si="3"/>
        <v>Other Asset</v>
      </c>
    </row>
    <row r="125" spans="1:17" x14ac:dyDescent="0.25">
      <c r="A125" s="1" t="s">
        <v>20</v>
      </c>
      <c r="B125" s="1" t="s">
        <v>33</v>
      </c>
      <c r="C125" s="1" t="s">
        <v>44</v>
      </c>
      <c r="D125" s="1" t="s">
        <v>0</v>
      </c>
      <c r="E125" s="1" t="s">
        <v>1</v>
      </c>
      <c r="F125" s="5" t="s">
        <v>838</v>
      </c>
      <c r="G125" s="2" t="s">
        <v>22</v>
      </c>
      <c r="H125" s="2" t="s">
        <v>23</v>
      </c>
      <c r="I125" s="220" t="s">
        <v>908</v>
      </c>
      <c r="J125" s="220" t="s">
        <v>908</v>
      </c>
      <c r="K125" s="220" t="s">
        <v>908</v>
      </c>
      <c r="M125" s="220" t="s">
        <v>908</v>
      </c>
      <c r="N125" s="220"/>
      <c r="P125" s="1" t="str">
        <f t="shared" si="2"/>
        <v>12301001</v>
      </c>
      <c r="Q125" s="263" t="str">
        <f t="shared" si="3"/>
        <v>Pre Opening Expenses</v>
      </c>
    </row>
    <row r="126" spans="1:17" x14ac:dyDescent="0.25">
      <c r="A126" s="1" t="s">
        <v>20</v>
      </c>
      <c r="B126" s="1" t="s">
        <v>33</v>
      </c>
      <c r="C126" s="1" t="s">
        <v>44</v>
      </c>
      <c r="D126" s="1" t="s">
        <v>0</v>
      </c>
      <c r="E126" s="1" t="s">
        <v>3</v>
      </c>
      <c r="F126" s="5" t="s">
        <v>839</v>
      </c>
      <c r="G126" s="2" t="s">
        <v>22</v>
      </c>
      <c r="H126" s="2" t="s">
        <v>23</v>
      </c>
      <c r="I126" s="220" t="s">
        <v>908</v>
      </c>
      <c r="J126" s="220" t="s">
        <v>908</v>
      </c>
      <c r="K126" s="220" t="s">
        <v>908</v>
      </c>
      <c r="M126" s="220" t="s">
        <v>908</v>
      </c>
      <c r="N126" s="220"/>
      <c r="P126" s="1" t="str">
        <f t="shared" si="2"/>
        <v>12301002</v>
      </c>
      <c r="Q126" s="263" t="str">
        <f t="shared" si="3"/>
        <v>Pre Operating Expenses</v>
      </c>
    </row>
    <row r="127" spans="1:17" x14ac:dyDescent="0.25">
      <c r="A127" s="1" t="s">
        <v>20</v>
      </c>
      <c r="B127" s="1" t="s">
        <v>33</v>
      </c>
      <c r="C127" s="1" t="s">
        <v>44</v>
      </c>
      <c r="D127" s="1" t="s">
        <v>0</v>
      </c>
      <c r="E127" s="1" t="s">
        <v>5</v>
      </c>
      <c r="F127" s="5" t="s">
        <v>102</v>
      </c>
      <c r="G127" s="2" t="s">
        <v>22</v>
      </c>
      <c r="H127" s="2" t="s">
        <v>23</v>
      </c>
      <c r="I127" s="220" t="s">
        <v>908</v>
      </c>
      <c r="J127" s="220" t="s">
        <v>908</v>
      </c>
      <c r="K127" s="220" t="s">
        <v>908</v>
      </c>
      <c r="M127" s="220" t="s">
        <v>908</v>
      </c>
      <c r="N127" s="220"/>
      <c r="P127" s="1" t="str">
        <f t="shared" si="2"/>
        <v>12301003</v>
      </c>
      <c r="Q127" s="263" t="str">
        <f t="shared" si="3"/>
        <v>Deferred Tax Asset</v>
      </c>
    </row>
    <row r="128" spans="1:17" x14ac:dyDescent="0.25">
      <c r="A128" s="1" t="s">
        <v>20</v>
      </c>
      <c r="B128" s="1" t="s">
        <v>33</v>
      </c>
      <c r="C128" s="1" t="s">
        <v>44</v>
      </c>
      <c r="D128" s="1" t="s">
        <v>0</v>
      </c>
      <c r="E128" s="1" t="s">
        <v>7</v>
      </c>
      <c r="F128" s="5" t="s">
        <v>103</v>
      </c>
      <c r="G128" s="2" t="s">
        <v>22</v>
      </c>
      <c r="H128" s="2" t="s">
        <v>23</v>
      </c>
      <c r="I128" s="220" t="s">
        <v>908</v>
      </c>
      <c r="J128" s="220" t="s">
        <v>908</v>
      </c>
      <c r="K128" s="220" t="s">
        <v>908</v>
      </c>
      <c r="L128" s="2" t="s">
        <v>909</v>
      </c>
      <c r="M128" s="220" t="s">
        <v>908</v>
      </c>
      <c r="N128" s="220"/>
      <c r="P128" s="1" t="str">
        <f t="shared" si="2"/>
        <v>12301004</v>
      </c>
      <c r="Q128" s="263" t="str">
        <f t="shared" si="3"/>
        <v>Pre Fixed Asset</v>
      </c>
    </row>
    <row r="129" spans="1:17" x14ac:dyDescent="0.25">
      <c r="A129" s="1" t="s">
        <v>20</v>
      </c>
      <c r="B129" s="1" t="s">
        <v>33</v>
      </c>
      <c r="C129" s="1" t="s">
        <v>44</v>
      </c>
      <c r="D129" s="1" t="s">
        <v>0</v>
      </c>
      <c r="E129" s="1" t="s">
        <v>9</v>
      </c>
      <c r="F129" s="5" t="s">
        <v>79</v>
      </c>
      <c r="G129" s="2" t="s">
        <v>22</v>
      </c>
      <c r="H129" s="2" t="s">
        <v>23</v>
      </c>
      <c r="I129" s="220" t="s">
        <v>908</v>
      </c>
      <c r="J129" s="220" t="s">
        <v>908</v>
      </c>
      <c r="K129" s="220" t="s">
        <v>908</v>
      </c>
      <c r="M129" s="220" t="s">
        <v>908</v>
      </c>
      <c r="N129" s="220"/>
      <c r="P129" s="1" t="str">
        <f t="shared" si="2"/>
        <v>12301005</v>
      </c>
      <c r="Q129" s="263" t="str">
        <f t="shared" si="3"/>
        <v>Construction in Progress</v>
      </c>
    </row>
    <row r="130" spans="1:17" x14ac:dyDescent="0.25">
      <c r="A130" s="1" t="s">
        <v>20</v>
      </c>
      <c r="B130" s="1" t="s">
        <v>33</v>
      </c>
      <c r="C130" s="1" t="s">
        <v>44</v>
      </c>
      <c r="D130" s="1" t="s">
        <v>0</v>
      </c>
      <c r="E130" s="1" t="s">
        <v>43</v>
      </c>
      <c r="F130" s="1" t="s">
        <v>840</v>
      </c>
      <c r="G130" s="2" t="s">
        <v>22</v>
      </c>
      <c r="H130" s="2" t="s">
        <v>23</v>
      </c>
      <c r="I130" s="220" t="s">
        <v>908</v>
      </c>
      <c r="J130" s="220" t="s">
        <v>908</v>
      </c>
      <c r="K130" s="220" t="s">
        <v>908</v>
      </c>
      <c r="M130" s="220" t="s">
        <v>908</v>
      </c>
      <c r="N130" s="220"/>
      <c r="P130" s="1" t="str">
        <f t="shared" si="2"/>
        <v>12301999</v>
      </c>
      <c r="Q130" s="263" t="str">
        <f t="shared" si="3"/>
        <v>Other - Other Asset</v>
      </c>
    </row>
    <row r="131" spans="1:17" x14ac:dyDescent="0.25">
      <c r="A131" s="20" t="s">
        <v>20</v>
      </c>
      <c r="B131" s="20" t="s">
        <v>33</v>
      </c>
      <c r="C131" s="20" t="s">
        <v>44</v>
      </c>
      <c r="D131" s="21" t="s">
        <v>2</v>
      </c>
      <c r="E131" s="20"/>
      <c r="F131" s="22" t="s">
        <v>105</v>
      </c>
      <c r="G131" s="23" t="s">
        <v>22</v>
      </c>
      <c r="H131" s="23" t="s">
        <v>86</v>
      </c>
      <c r="I131" s="23" t="s">
        <v>907</v>
      </c>
      <c r="J131" s="23" t="s">
        <v>907</v>
      </c>
      <c r="K131" s="23" t="s">
        <v>907</v>
      </c>
      <c r="M131" s="23" t="s">
        <v>907</v>
      </c>
      <c r="N131" s="23"/>
      <c r="P131" s="1" t="str">
        <f t="shared" si="2"/>
        <v>12302</v>
      </c>
      <c r="Q131" s="263" t="str">
        <f t="shared" si="3"/>
        <v>Accumulated Amortization Other Asset</v>
      </c>
    </row>
    <row r="132" spans="1:17" x14ac:dyDescent="0.25">
      <c r="A132" s="24" t="s">
        <v>20</v>
      </c>
      <c r="B132" s="24" t="s">
        <v>33</v>
      </c>
      <c r="C132" s="24" t="s">
        <v>44</v>
      </c>
      <c r="D132" s="24" t="s">
        <v>2</v>
      </c>
      <c r="E132" s="24" t="s">
        <v>1</v>
      </c>
      <c r="F132" s="5" t="s">
        <v>841</v>
      </c>
      <c r="G132" s="2" t="s">
        <v>22</v>
      </c>
      <c r="H132" s="2" t="s">
        <v>86</v>
      </c>
      <c r="I132" s="220" t="s">
        <v>908</v>
      </c>
      <c r="J132" s="220" t="s">
        <v>908</v>
      </c>
      <c r="K132" s="220" t="s">
        <v>908</v>
      </c>
      <c r="M132" s="220" t="s">
        <v>908</v>
      </c>
      <c r="N132" s="24"/>
      <c r="P132" s="1" t="str">
        <f t="shared" si="2"/>
        <v>12302001</v>
      </c>
      <c r="Q132" s="263" t="str">
        <f t="shared" si="3"/>
        <v>A/A Pre Opening Expenses</v>
      </c>
    </row>
    <row r="133" spans="1:17" x14ac:dyDescent="0.25">
      <c r="A133" s="8" t="s">
        <v>33</v>
      </c>
      <c r="B133" s="8"/>
      <c r="C133" s="8"/>
      <c r="D133" s="8"/>
      <c r="E133" s="8"/>
      <c r="F133" s="9" t="s">
        <v>106</v>
      </c>
      <c r="G133" s="10" t="s">
        <v>22</v>
      </c>
      <c r="H133" s="10" t="s">
        <v>86</v>
      </c>
      <c r="I133" s="10" t="s">
        <v>907</v>
      </c>
      <c r="J133" s="10" t="s">
        <v>907</v>
      </c>
      <c r="K133" s="10" t="s">
        <v>907</v>
      </c>
      <c r="M133" s="10" t="s">
        <v>907</v>
      </c>
      <c r="N133" s="10"/>
      <c r="P133" s="1" t="str">
        <f t="shared" ref="P133:P196" si="4">CONCATENATE(A133,B133,C133,D133,E133)</f>
        <v>2</v>
      </c>
      <c r="Q133" s="263" t="str">
        <f t="shared" si="3"/>
        <v>LIABILITIES</v>
      </c>
    </row>
    <row r="134" spans="1:17" x14ac:dyDescent="0.25">
      <c r="A134" s="12" t="s">
        <v>33</v>
      </c>
      <c r="B134" s="12" t="s">
        <v>20</v>
      </c>
      <c r="C134" s="12"/>
      <c r="D134" s="12"/>
      <c r="E134" s="12"/>
      <c r="F134" s="13" t="s">
        <v>107</v>
      </c>
      <c r="G134" s="14" t="s">
        <v>22</v>
      </c>
      <c r="H134" s="14" t="s">
        <v>86</v>
      </c>
      <c r="I134" s="14" t="s">
        <v>907</v>
      </c>
      <c r="J134" s="14" t="s">
        <v>907</v>
      </c>
      <c r="K134" s="14" t="s">
        <v>907</v>
      </c>
      <c r="M134" s="14" t="s">
        <v>907</v>
      </c>
      <c r="N134" s="14"/>
      <c r="P134" s="1" t="str">
        <f t="shared" si="4"/>
        <v>21</v>
      </c>
      <c r="Q134" s="263" t="str">
        <f t="shared" si="3"/>
        <v>Current Liabilities</v>
      </c>
    </row>
    <row r="135" spans="1:17" x14ac:dyDescent="0.25">
      <c r="A135" s="16" t="s">
        <v>33</v>
      </c>
      <c r="B135" s="16" t="s">
        <v>20</v>
      </c>
      <c r="C135" s="16" t="s">
        <v>20</v>
      </c>
      <c r="D135" s="16"/>
      <c r="E135" s="16"/>
      <c r="F135" s="18" t="s">
        <v>108</v>
      </c>
      <c r="G135" s="19" t="s">
        <v>22</v>
      </c>
      <c r="H135" s="19" t="s">
        <v>86</v>
      </c>
      <c r="I135" s="19" t="s">
        <v>907</v>
      </c>
      <c r="J135" s="19" t="s">
        <v>907</v>
      </c>
      <c r="K135" s="19" t="s">
        <v>907</v>
      </c>
      <c r="M135" s="19" t="s">
        <v>907</v>
      </c>
      <c r="N135" s="19"/>
      <c r="P135" s="1" t="str">
        <f t="shared" si="4"/>
        <v>211</v>
      </c>
      <c r="Q135" s="263" t="str">
        <f t="shared" si="3"/>
        <v>Accounts Payable</v>
      </c>
    </row>
    <row r="136" spans="1:17" x14ac:dyDescent="0.25">
      <c r="A136" s="20" t="s">
        <v>33</v>
      </c>
      <c r="B136" s="20" t="s">
        <v>20</v>
      </c>
      <c r="C136" s="20" t="s">
        <v>20</v>
      </c>
      <c r="D136" s="21" t="s">
        <v>0</v>
      </c>
      <c r="E136" s="20"/>
      <c r="F136" s="22" t="s">
        <v>109</v>
      </c>
      <c r="G136" s="23" t="s">
        <v>22</v>
      </c>
      <c r="H136" s="23" t="s">
        <v>86</v>
      </c>
      <c r="I136" s="23" t="s">
        <v>907</v>
      </c>
      <c r="J136" s="23" t="s">
        <v>907</v>
      </c>
      <c r="K136" s="23" t="s">
        <v>907</v>
      </c>
      <c r="M136" s="23" t="s">
        <v>907</v>
      </c>
      <c r="N136" s="23"/>
      <c r="P136" s="1" t="str">
        <f t="shared" si="4"/>
        <v>21101</v>
      </c>
      <c r="Q136" s="263" t="str">
        <f t="shared" si="3"/>
        <v>Account Payable Third Party</v>
      </c>
    </row>
    <row r="137" spans="1:17" x14ac:dyDescent="0.25">
      <c r="A137" s="24" t="s">
        <v>33</v>
      </c>
      <c r="B137" s="24" t="s">
        <v>20</v>
      </c>
      <c r="C137" s="24" t="s">
        <v>20</v>
      </c>
      <c r="D137" s="24" t="s">
        <v>0</v>
      </c>
      <c r="E137" s="24" t="s">
        <v>1</v>
      </c>
      <c r="F137" s="5" t="s">
        <v>110</v>
      </c>
      <c r="G137" s="2" t="s">
        <v>22</v>
      </c>
      <c r="H137" s="2" t="s">
        <v>86</v>
      </c>
      <c r="I137" s="24" t="s">
        <v>908</v>
      </c>
      <c r="J137" s="24" t="s">
        <v>908</v>
      </c>
      <c r="K137" s="24" t="s">
        <v>908</v>
      </c>
      <c r="M137" s="24" t="s">
        <v>908</v>
      </c>
      <c r="N137" s="24"/>
      <c r="P137" s="1" t="str">
        <f t="shared" si="4"/>
        <v>21101001</v>
      </c>
      <c r="Q137" s="263" t="str">
        <f t="shared" ref="Q137:Q200" si="5">F137</f>
        <v>A/P Supplier</v>
      </c>
    </row>
    <row r="138" spans="1:17" x14ac:dyDescent="0.25">
      <c r="A138" s="24" t="s">
        <v>33</v>
      </c>
      <c r="B138" s="24" t="s">
        <v>20</v>
      </c>
      <c r="C138" s="24" t="s">
        <v>20</v>
      </c>
      <c r="D138" s="24" t="s">
        <v>0</v>
      </c>
      <c r="E138" s="24" t="s">
        <v>3</v>
      </c>
      <c r="F138" s="5" t="s">
        <v>111</v>
      </c>
      <c r="G138" s="2" t="s">
        <v>22</v>
      </c>
      <c r="H138" s="2" t="s">
        <v>86</v>
      </c>
      <c r="I138" s="24" t="s">
        <v>908</v>
      </c>
      <c r="J138" s="24" t="s">
        <v>908</v>
      </c>
      <c r="K138" s="24" t="s">
        <v>908</v>
      </c>
      <c r="M138" s="24" t="s">
        <v>908</v>
      </c>
      <c r="N138" s="24"/>
      <c r="P138" s="1" t="str">
        <f t="shared" si="4"/>
        <v>21101002</v>
      </c>
      <c r="Q138" s="263" t="str">
        <f t="shared" si="5"/>
        <v>A/P Contractor</v>
      </c>
    </row>
    <row r="139" spans="1:17" x14ac:dyDescent="0.25">
      <c r="A139" s="24" t="s">
        <v>33</v>
      </c>
      <c r="B139" s="24" t="s">
        <v>20</v>
      </c>
      <c r="C139" s="24" t="s">
        <v>20</v>
      </c>
      <c r="D139" s="24" t="s">
        <v>0</v>
      </c>
      <c r="E139" s="24" t="s">
        <v>43</v>
      </c>
      <c r="F139" s="5" t="s">
        <v>112</v>
      </c>
      <c r="G139" s="2" t="s">
        <v>22</v>
      </c>
      <c r="H139" s="2" t="s">
        <v>86</v>
      </c>
      <c r="I139" s="24" t="s">
        <v>908</v>
      </c>
      <c r="J139" s="24" t="s">
        <v>908</v>
      </c>
      <c r="K139" s="24" t="s">
        <v>908</v>
      </c>
      <c r="M139" s="24" t="s">
        <v>908</v>
      </c>
      <c r="N139" s="24"/>
      <c r="P139" s="1" t="str">
        <f t="shared" si="4"/>
        <v>21101999</v>
      </c>
      <c r="Q139" s="263" t="str">
        <f t="shared" si="5"/>
        <v>A/P Third Party Other</v>
      </c>
    </row>
    <row r="140" spans="1:17" x14ac:dyDescent="0.25">
      <c r="A140" s="20" t="s">
        <v>33</v>
      </c>
      <c r="B140" s="20" t="s">
        <v>20</v>
      </c>
      <c r="C140" s="20" t="s">
        <v>20</v>
      </c>
      <c r="D140" s="20" t="s">
        <v>2</v>
      </c>
      <c r="E140" s="20"/>
      <c r="F140" s="22" t="s">
        <v>114</v>
      </c>
      <c r="G140" s="23" t="s">
        <v>22</v>
      </c>
      <c r="H140" s="23" t="s">
        <v>86</v>
      </c>
      <c r="I140" s="23" t="s">
        <v>907</v>
      </c>
      <c r="J140" s="23" t="s">
        <v>907</v>
      </c>
      <c r="K140" s="23" t="s">
        <v>907</v>
      </c>
      <c r="M140" s="23" t="s">
        <v>907</v>
      </c>
      <c r="N140" s="23"/>
      <c r="P140" s="1" t="str">
        <f t="shared" si="4"/>
        <v>21102</v>
      </c>
      <c r="Q140" s="263" t="str">
        <f t="shared" si="5"/>
        <v>A/P Affiliated</v>
      </c>
    </row>
    <row r="141" spans="1:17" x14ac:dyDescent="0.25">
      <c r="A141" s="24" t="s">
        <v>33</v>
      </c>
      <c r="B141" s="24" t="s">
        <v>20</v>
      </c>
      <c r="C141" s="24" t="s">
        <v>20</v>
      </c>
      <c r="D141" s="24" t="s">
        <v>2</v>
      </c>
      <c r="E141" s="25" t="s">
        <v>1</v>
      </c>
      <c r="F141" s="5" t="s">
        <v>115</v>
      </c>
      <c r="G141" s="2" t="s">
        <v>22</v>
      </c>
      <c r="H141" s="2" t="s">
        <v>86</v>
      </c>
      <c r="I141" s="24" t="s">
        <v>908</v>
      </c>
      <c r="J141" s="24" t="s">
        <v>908</v>
      </c>
      <c r="K141" s="24" t="s">
        <v>908</v>
      </c>
      <c r="M141" s="24" t="s">
        <v>908</v>
      </c>
      <c r="N141" s="24"/>
      <c r="P141" s="1" t="str">
        <f t="shared" si="4"/>
        <v>21102001</v>
      </c>
      <c r="Q141" s="263" t="str">
        <f t="shared" si="5"/>
        <v>A/P Affiliated  PT. ……………………………</v>
      </c>
    </row>
    <row r="142" spans="1:17" x14ac:dyDescent="0.25">
      <c r="A142" s="24" t="s">
        <v>33</v>
      </c>
      <c r="B142" s="24" t="s">
        <v>20</v>
      </c>
      <c r="C142" s="24" t="s">
        <v>20</v>
      </c>
      <c r="D142" s="24" t="s">
        <v>2</v>
      </c>
      <c r="E142" s="25" t="s">
        <v>3</v>
      </c>
      <c r="F142" s="5" t="s">
        <v>115</v>
      </c>
      <c r="G142" s="2" t="s">
        <v>22</v>
      </c>
      <c r="H142" s="2" t="s">
        <v>86</v>
      </c>
      <c r="I142" s="24" t="s">
        <v>908</v>
      </c>
      <c r="J142" s="24" t="s">
        <v>908</v>
      </c>
      <c r="K142" s="24" t="s">
        <v>908</v>
      </c>
      <c r="M142" s="24" t="s">
        <v>908</v>
      </c>
      <c r="N142" s="24"/>
      <c r="P142" s="1" t="str">
        <f t="shared" si="4"/>
        <v>21102002</v>
      </c>
      <c r="Q142" s="263" t="str">
        <f t="shared" si="5"/>
        <v>A/P Affiliated  PT. ……………………………</v>
      </c>
    </row>
    <row r="143" spans="1:17" x14ac:dyDescent="0.25">
      <c r="A143" s="20" t="s">
        <v>33</v>
      </c>
      <c r="B143" s="20" t="s">
        <v>20</v>
      </c>
      <c r="C143" s="20" t="s">
        <v>20</v>
      </c>
      <c r="D143" s="20" t="s">
        <v>4</v>
      </c>
      <c r="E143" s="20"/>
      <c r="F143" s="22" t="s">
        <v>116</v>
      </c>
      <c r="G143" s="23" t="s">
        <v>22</v>
      </c>
      <c r="H143" s="23" t="s">
        <v>86</v>
      </c>
      <c r="I143" s="23" t="s">
        <v>907</v>
      </c>
      <c r="J143" s="23" t="s">
        <v>907</v>
      </c>
      <c r="K143" s="23" t="s">
        <v>907</v>
      </c>
      <c r="M143" s="23" t="s">
        <v>907</v>
      </c>
      <c r="N143" s="23"/>
      <c r="P143" s="1" t="str">
        <f t="shared" si="4"/>
        <v>21103</v>
      </c>
      <c r="Q143" s="263" t="str">
        <f t="shared" si="5"/>
        <v>Taxes Payable</v>
      </c>
    </row>
    <row r="144" spans="1:17" x14ac:dyDescent="0.25">
      <c r="A144" s="24" t="s">
        <v>33</v>
      </c>
      <c r="B144" s="24" t="s">
        <v>20</v>
      </c>
      <c r="C144" s="24" t="s">
        <v>20</v>
      </c>
      <c r="D144" s="24" t="s">
        <v>4</v>
      </c>
      <c r="E144" s="25" t="s">
        <v>1</v>
      </c>
      <c r="F144" s="5" t="s">
        <v>117</v>
      </c>
      <c r="G144" s="2" t="s">
        <v>22</v>
      </c>
      <c r="H144" s="2" t="s">
        <v>86</v>
      </c>
      <c r="I144" s="24" t="s">
        <v>908</v>
      </c>
      <c r="J144" s="24" t="s">
        <v>908</v>
      </c>
      <c r="K144" s="24" t="s">
        <v>908</v>
      </c>
      <c r="M144" s="24" t="s">
        <v>908</v>
      </c>
      <c r="N144" s="24"/>
      <c r="P144" s="1" t="str">
        <f t="shared" si="4"/>
        <v>21103001</v>
      </c>
      <c r="Q144" s="263" t="str">
        <f t="shared" si="5"/>
        <v>Government Tax (PP 1)</v>
      </c>
    </row>
    <row r="145" spans="1:17" x14ac:dyDescent="0.25">
      <c r="A145" s="24" t="s">
        <v>33</v>
      </c>
      <c r="B145" s="24" t="s">
        <v>20</v>
      </c>
      <c r="C145" s="24" t="s">
        <v>20</v>
      </c>
      <c r="D145" s="24" t="s">
        <v>4</v>
      </c>
      <c r="E145" s="25" t="s">
        <v>3</v>
      </c>
      <c r="F145" s="5" t="s">
        <v>118</v>
      </c>
      <c r="G145" s="2" t="s">
        <v>22</v>
      </c>
      <c r="H145" s="2" t="s">
        <v>86</v>
      </c>
      <c r="I145" s="24" t="s">
        <v>908</v>
      </c>
      <c r="J145" s="24" t="s">
        <v>908</v>
      </c>
      <c r="K145" s="24" t="s">
        <v>908</v>
      </c>
      <c r="M145" s="24" t="s">
        <v>908</v>
      </c>
      <c r="N145" s="24"/>
      <c r="P145" s="1" t="str">
        <f t="shared" si="4"/>
        <v>21103002</v>
      </c>
      <c r="Q145" s="263" t="str">
        <f t="shared" si="5"/>
        <v>Tax Payable (PPh 21)</v>
      </c>
    </row>
    <row r="146" spans="1:17" x14ac:dyDescent="0.25">
      <c r="A146" s="24" t="s">
        <v>33</v>
      </c>
      <c r="B146" s="24" t="s">
        <v>20</v>
      </c>
      <c r="C146" s="24" t="s">
        <v>20</v>
      </c>
      <c r="D146" s="24" t="s">
        <v>4</v>
      </c>
      <c r="E146" s="24" t="s">
        <v>5</v>
      </c>
      <c r="F146" s="5" t="s">
        <v>119</v>
      </c>
      <c r="G146" s="2" t="s">
        <v>22</v>
      </c>
      <c r="H146" s="2" t="s">
        <v>86</v>
      </c>
      <c r="I146" s="24" t="s">
        <v>908</v>
      </c>
      <c r="J146" s="24" t="s">
        <v>908</v>
      </c>
      <c r="K146" s="24" t="s">
        <v>908</v>
      </c>
      <c r="M146" s="24" t="s">
        <v>908</v>
      </c>
      <c r="N146" s="24"/>
      <c r="P146" s="1" t="str">
        <f t="shared" si="4"/>
        <v>21103003</v>
      </c>
      <c r="Q146" s="263" t="str">
        <f t="shared" si="5"/>
        <v>Tax Payable (PPh 23)</v>
      </c>
    </row>
    <row r="147" spans="1:17" x14ac:dyDescent="0.25">
      <c r="A147" s="24" t="s">
        <v>33</v>
      </c>
      <c r="B147" s="24" t="s">
        <v>20</v>
      </c>
      <c r="C147" s="24" t="s">
        <v>20</v>
      </c>
      <c r="D147" s="24" t="s">
        <v>4</v>
      </c>
      <c r="E147" s="24" t="s">
        <v>7</v>
      </c>
      <c r="F147" s="5" t="s">
        <v>120</v>
      </c>
      <c r="G147" s="2" t="s">
        <v>22</v>
      </c>
      <c r="H147" s="2" t="s">
        <v>86</v>
      </c>
      <c r="I147" s="24" t="s">
        <v>908</v>
      </c>
      <c r="J147" s="24" t="s">
        <v>908</v>
      </c>
      <c r="K147" s="24" t="s">
        <v>908</v>
      </c>
      <c r="M147" s="24" t="s">
        <v>908</v>
      </c>
      <c r="N147" s="24"/>
      <c r="P147" s="1" t="str">
        <f t="shared" si="4"/>
        <v>21103004</v>
      </c>
      <c r="Q147" s="263" t="str">
        <f t="shared" si="5"/>
        <v>Tax Payable (PPh 25)</v>
      </c>
    </row>
    <row r="148" spans="1:17" x14ac:dyDescent="0.25">
      <c r="A148" s="24" t="s">
        <v>33</v>
      </c>
      <c r="B148" s="24" t="s">
        <v>20</v>
      </c>
      <c r="C148" s="24" t="s">
        <v>20</v>
      </c>
      <c r="D148" s="24" t="s">
        <v>4</v>
      </c>
      <c r="E148" s="25" t="s">
        <v>9</v>
      </c>
      <c r="F148" s="5" t="s">
        <v>121</v>
      </c>
      <c r="G148" s="2" t="s">
        <v>22</v>
      </c>
      <c r="H148" s="2" t="s">
        <v>86</v>
      </c>
      <c r="I148" s="24" t="s">
        <v>908</v>
      </c>
      <c r="J148" s="24" t="s">
        <v>908</v>
      </c>
      <c r="K148" s="24" t="s">
        <v>908</v>
      </c>
      <c r="M148" s="24" t="s">
        <v>908</v>
      </c>
      <c r="N148" s="24"/>
      <c r="P148" s="1" t="str">
        <f t="shared" si="4"/>
        <v>21103005</v>
      </c>
      <c r="Q148" s="263" t="str">
        <f t="shared" si="5"/>
        <v>Tax Payable (PPh 26)</v>
      </c>
    </row>
    <row r="149" spans="1:17" x14ac:dyDescent="0.25">
      <c r="A149" s="24" t="s">
        <v>33</v>
      </c>
      <c r="B149" s="24" t="s">
        <v>20</v>
      </c>
      <c r="C149" s="24" t="s">
        <v>20</v>
      </c>
      <c r="D149" s="24" t="s">
        <v>4</v>
      </c>
      <c r="E149" s="25" t="s">
        <v>10</v>
      </c>
      <c r="F149" s="5" t="s">
        <v>122</v>
      </c>
      <c r="G149" s="2" t="s">
        <v>22</v>
      </c>
      <c r="H149" s="2" t="s">
        <v>86</v>
      </c>
      <c r="I149" s="24" t="s">
        <v>908</v>
      </c>
      <c r="J149" s="24" t="s">
        <v>908</v>
      </c>
      <c r="K149" s="24" t="s">
        <v>908</v>
      </c>
      <c r="M149" s="24" t="s">
        <v>908</v>
      </c>
      <c r="N149" s="24"/>
      <c r="P149" s="1" t="str">
        <f t="shared" si="4"/>
        <v>21103006</v>
      </c>
      <c r="Q149" s="263" t="str">
        <f t="shared" si="5"/>
        <v>Tax Payable Final</v>
      </c>
    </row>
    <row r="150" spans="1:17" x14ac:dyDescent="0.25">
      <c r="A150" s="24" t="s">
        <v>33</v>
      </c>
      <c r="B150" s="24" t="s">
        <v>20</v>
      </c>
      <c r="C150" s="24" t="s">
        <v>20</v>
      </c>
      <c r="D150" s="24" t="s">
        <v>4</v>
      </c>
      <c r="E150" s="24" t="s">
        <v>11</v>
      </c>
      <c r="F150" s="5" t="s">
        <v>123</v>
      </c>
      <c r="G150" s="2" t="s">
        <v>22</v>
      </c>
      <c r="H150" s="2" t="s">
        <v>86</v>
      </c>
      <c r="I150" s="24" t="s">
        <v>908</v>
      </c>
      <c r="J150" s="24" t="s">
        <v>908</v>
      </c>
      <c r="K150" s="24" t="s">
        <v>908</v>
      </c>
      <c r="M150" s="24" t="s">
        <v>908</v>
      </c>
      <c r="N150" s="24"/>
      <c r="P150" s="1" t="str">
        <f t="shared" si="4"/>
        <v>21103007</v>
      </c>
      <c r="Q150" s="263" t="str">
        <f t="shared" si="5"/>
        <v>Tax Payable (PPh 29)</v>
      </c>
    </row>
    <row r="151" spans="1:17" x14ac:dyDescent="0.25">
      <c r="A151" s="24" t="s">
        <v>33</v>
      </c>
      <c r="B151" s="24" t="s">
        <v>20</v>
      </c>
      <c r="C151" s="24" t="s">
        <v>20</v>
      </c>
      <c r="D151" s="24" t="s">
        <v>4</v>
      </c>
      <c r="E151" s="25" t="s">
        <v>13</v>
      </c>
      <c r="F151" s="5" t="s">
        <v>587</v>
      </c>
      <c r="G151" s="2" t="s">
        <v>22</v>
      </c>
      <c r="H151" s="2" t="s">
        <v>86</v>
      </c>
      <c r="I151" s="24" t="s">
        <v>910</v>
      </c>
      <c r="J151" s="24" t="s">
        <v>910</v>
      </c>
      <c r="K151" s="24" t="s">
        <v>910</v>
      </c>
      <c r="M151" s="24" t="s">
        <v>908</v>
      </c>
      <c r="N151" s="24"/>
      <c r="P151" s="1" t="str">
        <f t="shared" si="4"/>
        <v>21103008</v>
      </c>
      <c r="Q151" s="263" t="str">
        <f t="shared" si="5"/>
        <v>Tax Payable VAT Out</v>
      </c>
    </row>
    <row r="152" spans="1:17" x14ac:dyDescent="0.25">
      <c r="A152" s="20" t="s">
        <v>33</v>
      </c>
      <c r="B152" s="20" t="s">
        <v>20</v>
      </c>
      <c r="C152" s="20" t="s">
        <v>20</v>
      </c>
      <c r="D152" s="20" t="s">
        <v>6</v>
      </c>
      <c r="E152" s="20"/>
      <c r="F152" s="22" t="s">
        <v>124</v>
      </c>
      <c r="G152" s="23" t="s">
        <v>22</v>
      </c>
      <c r="H152" s="23" t="s">
        <v>86</v>
      </c>
      <c r="I152" s="23" t="s">
        <v>907</v>
      </c>
      <c r="J152" s="23" t="s">
        <v>907</v>
      </c>
      <c r="K152" s="23" t="s">
        <v>907</v>
      </c>
      <c r="M152" s="23" t="s">
        <v>907</v>
      </c>
      <c r="N152" s="23"/>
      <c r="P152" s="1" t="str">
        <f t="shared" si="4"/>
        <v>21104</v>
      </c>
      <c r="Q152" s="263" t="str">
        <f t="shared" si="5"/>
        <v>Other Payable</v>
      </c>
    </row>
    <row r="153" spans="1:17" x14ac:dyDescent="0.25">
      <c r="A153" s="24" t="s">
        <v>33</v>
      </c>
      <c r="B153" s="24" t="s">
        <v>20</v>
      </c>
      <c r="C153" s="24" t="s">
        <v>20</v>
      </c>
      <c r="D153" s="24" t="s">
        <v>6</v>
      </c>
      <c r="E153" s="25" t="s">
        <v>1</v>
      </c>
      <c r="F153" s="5" t="s">
        <v>125</v>
      </c>
      <c r="G153" s="2" t="s">
        <v>22</v>
      </c>
      <c r="H153" s="2" t="s">
        <v>86</v>
      </c>
      <c r="I153" s="24" t="s">
        <v>908</v>
      </c>
      <c r="J153" s="24" t="s">
        <v>908</v>
      </c>
      <c r="K153" s="24" t="s">
        <v>908</v>
      </c>
      <c r="M153" s="24" t="s">
        <v>908</v>
      </c>
      <c r="N153" s="24"/>
      <c r="P153" s="1" t="str">
        <f t="shared" si="4"/>
        <v>21104001</v>
      </c>
      <c r="Q153" s="263" t="str">
        <f t="shared" si="5"/>
        <v>Notes Payable</v>
      </c>
    </row>
    <row r="154" spans="1:17" x14ac:dyDescent="0.25">
      <c r="A154" s="24" t="s">
        <v>33</v>
      </c>
      <c r="B154" s="24" t="s">
        <v>20</v>
      </c>
      <c r="C154" s="24" t="s">
        <v>20</v>
      </c>
      <c r="D154" s="24" t="s">
        <v>6</v>
      </c>
      <c r="E154" s="25" t="s">
        <v>3</v>
      </c>
      <c r="F154" s="5" t="s">
        <v>126</v>
      </c>
      <c r="G154" s="2" t="s">
        <v>22</v>
      </c>
      <c r="H154" s="2" t="s">
        <v>86</v>
      </c>
      <c r="I154" s="24" t="s">
        <v>908</v>
      </c>
      <c r="J154" s="24" t="s">
        <v>908</v>
      </c>
      <c r="K154" s="24" t="s">
        <v>908</v>
      </c>
      <c r="M154" s="24" t="s">
        <v>908</v>
      </c>
      <c r="N154" s="24"/>
      <c r="P154" s="1" t="str">
        <f t="shared" si="4"/>
        <v>21104002</v>
      </c>
      <c r="Q154" s="263" t="str">
        <f t="shared" si="5"/>
        <v>Outstanding Cheque</v>
      </c>
    </row>
    <row r="155" spans="1:17" x14ac:dyDescent="0.25">
      <c r="A155" s="24" t="s">
        <v>33</v>
      </c>
      <c r="B155" s="24" t="s">
        <v>20</v>
      </c>
      <c r="C155" s="24" t="s">
        <v>20</v>
      </c>
      <c r="D155" s="24" t="s">
        <v>6</v>
      </c>
      <c r="E155" s="24" t="s">
        <v>5</v>
      </c>
      <c r="F155" s="5" t="s">
        <v>38</v>
      </c>
      <c r="G155" s="2" t="s">
        <v>22</v>
      </c>
      <c r="H155" s="2" t="s">
        <v>86</v>
      </c>
      <c r="I155" s="24" t="s">
        <v>908</v>
      </c>
      <c r="J155" s="24" t="s">
        <v>908</v>
      </c>
      <c r="K155" s="24" t="s">
        <v>908</v>
      </c>
      <c r="L155" s="2" t="s">
        <v>909</v>
      </c>
      <c r="M155" s="24" t="s">
        <v>908</v>
      </c>
      <c r="N155" s="24"/>
      <c r="P155" s="1" t="str">
        <f t="shared" si="4"/>
        <v>21104003</v>
      </c>
      <c r="Q155" s="263" t="str">
        <f t="shared" si="5"/>
        <v>Pre Paid A/R</v>
      </c>
    </row>
    <row r="156" spans="1:17" x14ac:dyDescent="0.25">
      <c r="A156" s="24" t="s">
        <v>33</v>
      </c>
      <c r="B156" s="24" t="s">
        <v>20</v>
      </c>
      <c r="C156" s="24" t="s">
        <v>20</v>
      </c>
      <c r="D156" s="24" t="s">
        <v>6</v>
      </c>
      <c r="E156" s="25" t="s">
        <v>7</v>
      </c>
      <c r="F156" s="4" t="s">
        <v>842</v>
      </c>
      <c r="G156" s="2" t="s">
        <v>22</v>
      </c>
      <c r="H156" s="2" t="s">
        <v>86</v>
      </c>
      <c r="I156" s="24" t="s">
        <v>908</v>
      </c>
      <c r="J156" s="24" t="s">
        <v>908</v>
      </c>
      <c r="K156" s="24" t="s">
        <v>908</v>
      </c>
      <c r="M156" s="24" t="s">
        <v>908</v>
      </c>
      <c r="N156" s="24"/>
      <c r="P156" s="1" t="str">
        <f t="shared" si="4"/>
        <v>21104004</v>
      </c>
      <c r="Q156" s="263" t="str">
        <f t="shared" si="5"/>
        <v>A/P Owner</v>
      </c>
    </row>
    <row r="157" spans="1:17" x14ac:dyDescent="0.25">
      <c r="A157" s="24" t="s">
        <v>33</v>
      </c>
      <c r="B157" s="24" t="s">
        <v>20</v>
      </c>
      <c r="C157" s="24" t="s">
        <v>20</v>
      </c>
      <c r="D157" s="24" t="s">
        <v>6</v>
      </c>
      <c r="E157" s="24" t="s">
        <v>9</v>
      </c>
      <c r="F157" s="5" t="s">
        <v>843</v>
      </c>
      <c r="G157" s="2" t="s">
        <v>22</v>
      </c>
      <c r="H157" s="2" t="s">
        <v>86</v>
      </c>
      <c r="I157" s="24" t="s">
        <v>908</v>
      </c>
      <c r="J157" s="24" t="s">
        <v>908</v>
      </c>
      <c r="K157" s="24" t="s">
        <v>908</v>
      </c>
      <c r="M157" s="24" t="s">
        <v>908</v>
      </c>
      <c r="N157" s="24"/>
      <c r="P157" s="1" t="str">
        <f t="shared" si="4"/>
        <v>21104005</v>
      </c>
      <c r="Q157" s="263" t="str">
        <f t="shared" si="5"/>
        <v>A/P Employee</v>
      </c>
    </row>
    <row r="158" spans="1:17" x14ac:dyDescent="0.25">
      <c r="A158" s="24" t="s">
        <v>33</v>
      </c>
      <c r="B158" s="24" t="s">
        <v>20</v>
      </c>
      <c r="C158" s="24" t="s">
        <v>20</v>
      </c>
      <c r="D158" s="24" t="s">
        <v>6</v>
      </c>
      <c r="E158" s="24" t="s">
        <v>43</v>
      </c>
      <c r="F158" s="5" t="s">
        <v>528</v>
      </c>
      <c r="G158" s="2" t="s">
        <v>22</v>
      </c>
      <c r="H158" s="2" t="s">
        <v>86</v>
      </c>
      <c r="I158" s="24" t="s">
        <v>908</v>
      </c>
      <c r="J158" s="24" t="s">
        <v>908</v>
      </c>
      <c r="K158" s="24" t="s">
        <v>908</v>
      </c>
      <c r="M158" s="24" t="s">
        <v>908</v>
      </c>
      <c r="N158" s="24"/>
      <c r="P158" s="1" t="str">
        <f t="shared" si="4"/>
        <v>21104999</v>
      </c>
      <c r="Q158" s="263" t="str">
        <f t="shared" si="5"/>
        <v>Other - Other Payable</v>
      </c>
    </row>
    <row r="159" spans="1:17" x14ac:dyDescent="0.25">
      <c r="A159" s="16" t="s">
        <v>33</v>
      </c>
      <c r="B159" s="16" t="s">
        <v>20</v>
      </c>
      <c r="C159" s="16" t="s">
        <v>33</v>
      </c>
      <c r="D159" s="16"/>
      <c r="E159" s="16"/>
      <c r="F159" s="18" t="s">
        <v>127</v>
      </c>
      <c r="G159" s="19" t="s">
        <v>22</v>
      </c>
      <c r="H159" s="19" t="s">
        <v>86</v>
      </c>
      <c r="I159" s="19" t="s">
        <v>907</v>
      </c>
      <c r="J159" s="19" t="s">
        <v>907</v>
      </c>
      <c r="K159" s="19" t="s">
        <v>907</v>
      </c>
      <c r="M159" s="19" t="s">
        <v>907</v>
      </c>
      <c r="N159" s="19"/>
      <c r="P159" s="1" t="str">
        <f t="shared" si="4"/>
        <v>212</v>
      </c>
      <c r="Q159" s="263" t="str">
        <f t="shared" si="5"/>
        <v>Accrued Expenses</v>
      </c>
    </row>
    <row r="160" spans="1:17" x14ac:dyDescent="0.25">
      <c r="A160" s="20" t="s">
        <v>33</v>
      </c>
      <c r="B160" s="20" t="s">
        <v>20</v>
      </c>
      <c r="C160" s="20">
        <v>2</v>
      </c>
      <c r="D160" s="21" t="s">
        <v>0</v>
      </c>
      <c r="E160" s="20"/>
      <c r="F160" s="22" t="s">
        <v>128</v>
      </c>
      <c r="G160" s="23" t="s">
        <v>22</v>
      </c>
      <c r="H160" s="23" t="s">
        <v>86</v>
      </c>
      <c r="I160" s="23" t="s">
        <v>907</v>
      </c>
      <c r="J160" s="23" t="s">
        <v>907</v>
      </c>
      <c r="K160" s="23" t="s">
        <v>907</v>
      </c>
      <c r="M160" s="23" t="s">
        <v>907</v>
      </c>
      <c r="N160" s="23"/>
      <c r="P160" s="1" t="str">
        <f t="shared" si="4"/>
        <v>21201</v>
      </c>
      <c r="Q160" s="263" t="str">
        <f t="shared" si="5"/>
        <v>Accrued Employee Expense</v>
      </c>
    </row>
    <row r="161" spans="1:17" x14ac:dyDescent="0.25">
      <c r="A161" s="24" t="s">
        <v>33</v>
      </c>
      <c r="B161" s="24" t="s">
        <v>20</v>
      </c>
      <c r="C161" s="24">
        <v>2</v>
      </c>
      <c r="D161" s="24" t="s">
        <v>0</v>
      </c>
      <c r="E161" s="24" t="s">
        <v>1</v>
      </c>
      <c r="F161" s="5" t="s">
        <v>129</v>
      </c>
      <c r="G161" s="2" t="s">
        <v>22</v>
      </c>
      <c r="H161" s="2" t="s">
        <v>86</v>
      </c>
      <c r="I161" s="24" t="s">
        <v>908</v>
      </c>
      <c r="J161" s="24" t="s">
        <v>908</v>
      </c>
      <c r="K161" s="24" t="s">
        <v>908</v>
      </c>
      <c r="M161" s="24" t="s">
        <v>908</v>
      </c>
      <c r="N161" s="24"/>
      <c r="P161" s="1" t="str">
        <f t="shared" si="4"/>
        <v>21201001</v>
      </c>
      <c r="Q161" s="263" t="str">
        <f t="shared" si="5"/>
        <v>Accrued Salary and Allowances</v>
      </c>
    </row>
    <row r="162" spans="1:17" x14ac:dyDescent="0.25">
      <c r="A162" s="24" t="s">
        <v>33</v>
      </c>
      <c r="B162" s="24" t="s">
        <v>20</v>
      </c>
      <c r="C162" s="24">
        <v>2</v>
      </c>
      <c r="D162" s="24" t="s">
        <v>0</v>
      </c>
      <c r="E162" s="24" t="s">
        <v>3</v>
      </c>
      <c r="F162" s="5" t="s">
        <v>130</v>
      </c>
      <c r="G162" s="2" t="s">
        <v>22</v>
      </c>
      <c r="H162" s="2" t="s">
        <v>86</v>
      </c>
      <c r="I162" s="24" t="s">
        <v>908</v>
      </c>
      <c r="J162" s="24" t="s">
        <v>908</v>
      </c>
      <c r="K162" s="24" t="s">
        <v>908</v>
      </c>
      <c r="M162" s="24" t="s">
        <v>908</v>
      </c>
      <c r="N162" s="24"/>
      <c r="P162" s="1" t="str">
        <f t="shared" si="4"/>
        <v>21201002</v>
      </c>
      <c r="Q162" s="263" t="str">
        <f t="shared" si="5"/>
        <v>Accrued THR and Bonus</v>
      </c>
    </row>
    <row r="163" spans="1:17" x14ac:dyDescent="0.25">
      <c r="A163" s="24" t="s">
        <v>33</v>
      </c>
      <c r="B163" s="24" t="s">
        <v>20</v>
      </c>
      <c r="C163" s="24">
        <v>2</v>
      </c>
      <c r="D163" s="24" t="s">
        <v>0</v>
      </c>
      <c r="E163" s="24" t="s">
        <v>5</v>
      </c>
      <c r="F163" s="5" t="s">
        <v>131</v>
      </c>
      <c r="G163" s="2" t="s">
        <v>22</v>
      </c>
      <c r="H163" s="2" t="s">
        <v>86</v>
      </c>
      <c r="I163" s="24" t="s">
        <v>908</v>
      </c>
      <c r="J163" s="24" t="s">
        <v>908</v>
      </c>
      <c r="K163" s="24" t="s">
        <v>908</v>
      </c>
      <c r="M163" s="24" t="s">
        <v>908</v>
      </c>
      <c r="N163" s="24"/>
      <c r="P163" s="1" t="str">
        <f t="shared" si="4"/>
        <v>21201003</v>
      </c>
      <c r="Q163" s="263" t="str">
        <f t="shared" si="5"/>
        <v>Accrued Service Charge</v>
      </c>
    </row>
    <row r="164" spans="1:17" x14ac:dyDescent="0.25">
      <c r="A164" s="24" t="s">
        <v>33</v>
      </c>
      <c r="B164" s="24" t="s">
        <v>20</v>
      </c>
      <c r="C164" s="24">
        <v>2</v>
      </c>
      <c r="D164" s="24" t="s">
        <v>0</v>
      </c>
      <c r="E164" s="24" t="s">
        <v>7</v>
      </c>
      <c r="F164" s="5" t="s">
        <v>132</v>
      </c>
      <c r="G164" s="2" t="s">
        <v>22</v>
      </c>
      <c r="H164" s="2" t="s">
        <v>86</v>
      </c>
      <c r="I164" s="24" t="s">
        <v>908</v>
      </c>
      <c r="J164" s="24" t="s">
        <v>908</v>
      </c>
      <c r="K164" s="24" t="s">
        <v>908</v>
      </c>
      <c r="M164" s="24" t="s">
        <v>908</v>
      </c>
      <c r="N164" s="24"/>
      <c r="P164" s="1" t="str">
        <f t="shared" si="4"/>
        <v>21201004</v>
      </c>
      <c r="Q164" s="263" t="str">
        <f t="shared" si="5"/>
        <v>Accrued Jamsostek</v>
      </c>
    </row>
    <row r="165" spans="1:17" x14ac:dyDescent="0.25">
      <c r="A165" s="24" t="s">
        <v>33</v>
      </c>
      <c r="B165" s="24" t="s">
        <v>20</v>
      </c>
      <c r="C165" s="24">
        <v>2</v>
      </c>
      <c r="D165" s="24" t="s">
        <v>0</v>
      </c>
      <c r="E165" s="24" t="s">
        <v>9</v>
      </c>
      <c r="F165" s="5" t="s">
        <v>133</v>
      </c>
      <c r="G165" s="2" t="s">
        <v>22</v>
      </c>
      <c r="H165" s="2" t="s">
        <v>86</v>
      </c>
      <c r="I165" s="24" t="s">
        <v>908</v>
      </c>
      <c r="J165" s="24" t="s">
        <v>908</v>
      </c>
      <c r="K165" s="24" t="s">
        <v>908</v>
      </c>
      <c r="M165" s="24" t="s">
        <v>908</v>
      </c>
      <c r="N165" s="24"/>
      <c r="P165" s="1" t="str">
        <f t="shared" si="4"/>
        <v>21201005</v>
      </c>
      <c r="Q165" s="263" t="str">
        <f t="shared" si="5"/>
        <v>Accrued Medical &amp; Insurance</v>
      </c>
    </row>
    <row r="166" spans="1:17" x14ac:dyDescent="0.25">
      <c r="A166" s="24" t="s">
        <v>33</v>
      </c>
      <c r="B166" s="24" t="s">
        <v>20</v>
      </c>
      <c r="C166" s="24">
        <v>2</v>
      </c>
      <c r="D166" s="24" t="s">
        <v>0</v>
      </c>
      <c r="E166" s="24" t="s">
        <v>10</v>
      </c>
      <c r="F166" s="5" t="s">
        <v>844</v>
      </c>
      <c r="G166" s="2" t="s">
        <v>22</v>
      </c>
      <c r="H166" s="2" t="s">
        <v>86</v>
      </c>
      <c r="I166" s="24" t="s">
        <v>908</v>
      </c>
      <c r="J166" s="24" t="s">
        <v>908</v>
      </c>
      <c r="K166" s="24" t="s">
        <v>908</v>
      </c>
      <c r="M166" s="24" t="s">
        <v>908</v>
      </c>
      <c r="N166" s="24"/>
      <c r="P166" s="1" t="str">
        <f t="shared" si="4"/>
        <v>21201006</v>
      </c>
      <c r="Q166" s="263" t="str">
        <f t="shared" si="5"/>
        <v>Accrued Pension Plan</v>
      </c>
    </row>
    <row r="167" spans="1:17" x14ac:dyDescent="0.25">
      <c r="A167" s="24" t="s">
        <v>33</v>
      </c>
      <c r="B167" s="24" t="s">
        <v>20</v>
      </c>
      <c r="C167" s="24">
        <v>2</v>
      </c>
      <c r="D167" s="24" t="s">
        <v>0</v>
      </c>
      <c r="E167" s="24" t="s">
        <v>43</v>
      </c>
      <c r="F167" s="5" t="s">
        <v>134</v>
      </c>
      <c r="G167" s="2" t="s">
        <v>22</v>
      </c>
      <c r="H167" s="2" t="s">
        <v>86</v>
      </c>
      <c r="I167" s="24" t="s">
        <v>908</v>
      </c>
      <c r="J167" s="24" t="s">
        <v>908</v>
      </c>
      <c r="K167" s="24" t="s">
        <v>908</v>
      </c>
      <c r="M167" s="24" t="s">
        <v>908</v>
      </c>
      <c r="N167" s="24"/>
      <c r="P167" s="1" t="str">
        <f t="shared" si="4"/>
        <v>21201999</v>
      </c>
      <c r="Q167" s="263" t="str">
        <f t="shared" si="5"/>
        <v>Accrued Employee Other Expense</v>
      </c>
    </row>
    <row r="168" spans="1:17" x14ac:dyDescent="0.25">
      <c r="A168" s="20" t="s">
        <v>33</v>
      </c>
      <c r="B168" s="20" t="s">
        <v>20</v>
      </c>
      <c r="C168" s="20">
        <v>2</v>
      </c>
      <c r="D168" s="21" t="s">
        <v>2</v>
      </c>
      <c r="E168" s="20"/>
      <c r="F168" s="22" t="s">
        <v>135</v>
      </c>
      <c r="G168" s="23" t="s">
        <v>22</v>
      </c>
      <c r="H168" s="23" t="s">
        <v>86</v>
      </c>
      <c r="I168" s="23" t="s">
        <v>907</v>
      </c>
      <c r="J168" s="23" t="s">
        <v>907</v>
      </c>
      <c r="K168" s="23" t="s">
        <v>907</v>
      </c>
      <c r="M168" s="23" t="s">
        <v>907</v>
      </c>
      <c r="N168" s="23"/>
      <c r="P168" s="1" t="str">
        <f t="shared" si="4"/>
        <v>21202</v>
      </c>
      <c r="Q168" s="263" t="str">
        <f t="shared" si="5"/>
        <v>Accrued Administrative and General Expense</v>
      </c>
    </row>
    <row r="169" spans="1:17" x14ac:dyDescent="0.25">
      <c r="A169" s="24" t="s">
        <v>33</v>
      </c>
      <c r="B169" s="24" t="s">
        <v>20</v>
      </c>
      <c r="C169" s="24">
        <v>2</v>
      </c>
      <c r="D169" s="24" t="s">
        <v>2</v>
      </c>
      <c r="E169" s="24" t="s">
        <v>1</v>
      </c>
      <c r="F169" s="5" t="s">
        <v>551</v>
      </c>
      <c r="G169" s="2" t="s">
        <v>22</v>
      </c>
      <c r="H169" s="2" t="s">
        <v>86</v>
      </c>
      <c r="I169" s="24" t="s">
        <v>908</v>
      </c>
      <c r="J169" s="24" t="s">
        <v>908</v>
      </c>
      <c r="K169" s="24" t="s">
        <v>908</v>
      </c>
      <c r="M169" s="24" t="s">
        <v>908</v>
      </c>
      <c r="N169" s="24"/>
      <c r="P169" s="1" t="str">
        <f t="shared" si="4"/>
        <v>21202001</v>
      </c>
      <c r="Q169" s="263" t="str">
        <f t="shared" si="5"/>
        <v>Accrued Consultant Fee</v>
      </c>
    </row>
    <row r="170" spans="1:17" x14ac:dyDescent="0.25">
      <c r="A170" s="24" t="s">
        <v>33</v>
      </c>
      <c r="B170" s="24" t="s">
        <v>20</v>
      </c>
      <c r="C170" s="24">
        <v>2</v>
      </c>
      <c r="D170" s="24" t="s">
        <v>2</v>
      </c>
      <c r="E170" s="24" t="s">
        <v>3</v>
      </c>
      <c r="F170" s="5" t="s">
        <v>136</v>
      </c>
      <c r="G170" s="2" t="s">
        <v>22</v>
      </c>
      <c r="H170" s="2" t="s">
        <v>86</v>
      </c>
      <c r="I170" s="24" t="s">
        <v>908</v>
      </c>
      <c r="J170" s="24" t="s">
        <v>908</v>
      </c>
      <c r="K170" s="24" t="s">
        <v>908</v>
      </c>
      <c r="M170" s="24" t="s">
        <v>908</v>
      </c>
      <c r="N170" s="24"/>
      <c r="P170" s="1" t="str">
        <f t="shared" si="4"/>
        <v>21202002</v>
      </c>
      <c r="Q170" s="263" t="str">
        <f t="shared" si="5"/>
        <v>Accrued Management Fee</v>
      </c>
    </row>
    <row r="171" spans="1:17" x14ac:dyDescent="0.25">
      <c r="A171" s="24" t="s">
        <v>33</v>
      </c>
      <c r="B171" s="24" t="s">
        <v>20</v>
      </c>
      <c r="C171" s="24">
        <v>2</v>
      </c>
      <c r="D171" s="24" t="s">
        <v>2</v>
      </c>
      <c r="E171" s="24" t="s">
        <v>5</v>
      </c>
      <c r="F171" s="5" t="s">
        <v>137</v>
      </c>
      <c r="G171" s="2" t="s">
        <v>22</v>
      </c>
      <c r="H171" s="2" t="s">
        <v>86</v>
      </c>
      <c r="I171" s="24" t="s">
        <v>908</v>
      </c>
      <c r="J171" s="24" t="s">
        <v>908</v>
      </c>
      <c r="K171" s="24" t="s">
        <v>908</v>
      </c>
      <c r="M171" s="24" t="s">
        <v>908</v>
      </c>
      <c r="N171" s="24"/>
      <c r="P171" s="1" t="str">
        <f t="shared" si="4"/>
        <v>21202003</v>
      </c>
      <c r="Q171" s="263" t="str">
        <f t="shared" si="5"/>
        <v>Accrued Marketing Fee</v>
      </c>
    </row>
    <row r="172" spans="1:17" x14ac:dyDescent="0.25">
      <c r="A172" s="24" t="s">
        <v>33</v>
      </c>
      <c r="B172" s="24" t="s">
        <v>20</v>
      </c>
      <c r="C172" s="24">
        <v>2</v>
      </c>
      <c r="D172" s="24" t="s">
        <v>2</v>
      </c>
      <c r="E172" s="24" t="s">
        <v>7</v>
      </c>
      <c r="F172" s="5" t="s">
        <v>138</v>
      </c>
      <c r="G172" s="2" t="s">
        <v>22</v>
      </c>
      <c r="H172" s="2" t="s">
        <v>86</v>
      </c>
      <c r="I172" s="24" t="s">
        <v>908</v>
      </c>
      <c r="J172" s="24" t="s">
        <v>908</v>
      </c>
      <c r="K172" s="24" t="s">
        <v>908</v>
      </c>
      <c r="M172" s="24" t="s">
        <v>908</v>
      </c>
      <c r="N172" s="24"/>
      <c r="P172" s="1" t="str">
        <f t="shared" si="4"/>
        <v>21202004</v>
      </c>
      <c r="Q172" s="263" t="str">
        <f t="shared" si="5"/>
        <v>Accrued Royalty Fee</v>
      </c>
    </row>
    <row r="173" spans="1:17" x14ac:dyDescent="0.25">
      <c r="A173" s="24" t="s">
        <v>33</v>
      </c>
      <c r="B173" s="24" t="s">
        <v>20</v>
      </c>
      <c r="C173" s="24">
        <v>2</v>
      </c>
      <c r="D173" s="24" t="s">
        <v>2</v>
      </c>
      <c r="E173" s="24" t="s">
        <v>9</v>
      </c>
      <c r="F173" s="5" t="s">
        <v>139</v>
      </c>
      <c r="G173" s="2" t="s">
        <v>22</v>
      </c>
      <c r="H173" s="2" t="s">
        <v>86</v>
      </c>
      <c r="I173" s="24" t="s">
        <v>908</v>
      </c>
      <c r="J173" s="24" t="s">
        <v>908</v>
      </c>
      <c r="K173" s="24" t="s">
        <v>908</v>
      </c>
      <c r="M173" s="24" t="s">
        <v>908</v>
      </c>
      <c r="N173" s="24"/>
      <c r="P173" s="1" t="str">
        <f t="shared" si="4"/>
        <v>21202005</v>
      </c>
      <c r="Q173" s="263" t="str">
        <f t="shared" si="5"/>
        <v>Accrued Petty Cash</v>
      </c>
    </row>
    <row r="174" spans="1:17" x14ac:dyDescent="0.25">
      <c r="A174" s="24" t="s">
        <v>33</v>
      </c>
      <c r="B174" s="24" t="s">
        <v>20</v>
      </c>
      <c r="C174" s="24">
        <v>2</v>
      </c>
      <c r="D174" s="24" t="s">
        <v>2</v>
      </c>
      <c r="E174" s="24" t="s">
        <v>10</v>
      </c>
      <c r="F174" s="5" t="s">
        <v>845</v>
      </c>
      <c r="G174" s="2" t="s">
        <v>22</v>
      </c>
      <c r="H174" s="2" t="s">
        <v>86</v>
      </c>
      <c r="I174" s="24" t="s">
        <v>908</v>
      </c>
      <c r="J174" s="24" t="s">
        <v>908</v>
      </c>
      <c r="K174" s="24" t="s">
        <v>908</v>
      </c>
      <c r="M174" s="24" t="s">
        <v>908</v>
      </c>
      <c r="N174" s="24"/>
      <c r="P174" s="1" t="str">
        <f t="shared" si="4"/>
        <v>21202006</v>
      </c>
      <c r="Q174" s="263" t="str">
        <f t="shared" si="5"/>
        <v>Accrued Commission</v>
      </c>
    </row>
    <row r="175" spans="1:17" x14ac:dyDescent="0.25">
      <c r="A175" s="24" t="s">
        <v>33</v>
      </c>
      <c r="B175" s="24" t="s">
        <v>20</v>
      </c>
      <c r="C175" s="24">
        <v>2</v>
      </c>
      <c r="D175" s="24" t="s">
        <v>2</v>
      </c>
      <c r="E175" s="24" t="s">
        <v>11</v>
      </c>
      <c r="F175" s="5" t="s">
        <v>846</v>
      </c>
      <c r="G175" s="2" t="s">
        <v>22</v>
      </c>
      <c r="H175" s="2" t="s">
        <v>86</v>
      </c>
      <c r="I175" s="24" t="s">
        <v>908</v>
      </c>
      <c r="J175" s="24" t="s">
        <v>908</v>
      </c>
      <c r="K175" s="24" t="s">
        <v>908</v>
      </c>
      <c r="M175" s="24" t="s">
        <v>908</v>
      </c>
      <c r="N175" s="24"/>
      <c r="P175" s="1" t="str">
        <f t="shared" si="4"/>
        <v>21202007</v>
      </c>
      <c r="Q175" s="263" t="str">
        <f t="shared" si="5"/>
        <v>Accrued Interest</v>
      </c>
    </row>
    <row r="176" spans="1:17" x14ac:dyDescent="0.25">
      <c r="A176" s="24" t="s">
        <v>33</v>
      </c>
      <c r="B176" s="24" t="s">
        <v>20</v>
      </c>
      <c r="C176" s="24">
        <v>2</v>
      </c>
      <c r="D176" s="24" t="s">
        <v>2</v>
      </c>
      <c r="E176" s="24" t="s">
        <v>43</v>
      </c>
      <c r="F176" s="5" t="s">
        <v>140</v>
      </c>
      <c r="G176" s="2" t="s">
        <v>22</v>
      </c>
      <c r="H176" s="2" t="s">
        <v>86</v>
      </c>
      <c r="I176" s="24" t="s">
        <v>908</v>
      </c>
      <c r="J176" s="24" t="s">
        <v>908</v>
      </c>
      <c r="K176" s="24" t="s">
        <v>908</v>
      </c>
      <c r="M176" s="24" t="s">
        <v>908</v>
      </c>
      <c r="N176" s="24"/>
      <c r="P176" s="1" t="str">
        <f t="shared" si="4"/>
        <v>21202999</v>
      </c>
      <c r="Q176" s="263" t="str">
        <f t="shared" si="5"/>
        <v>Accrued Administrative and General Other Expense</v>
      </c>
    </row>
    <row r="177" spans="1:17" x14ac:dyDescent="0.25">
      <c r="A177" s="20" t="s">
        <v>33</v>
      </c>
      <c r="B177" s="20" t="s">
        <v>20</v>
      </c>
      <c r="C177" s="20">
        <v>2</v>
      </c>
      <c r="D177" s="21" t="s">
        <v>4</v>
      </c>
      <c r="E177" s="20"/>
      <c r="F177" s="22" t="s">
        <v>141</v>
      </c>
      <c r="G177" s="23" t="s">
        <v>22</v>
      </c>
      <c r="H177" s="23" t="s">
        <v>86</v>
      </c>
      <c r="I177" s="23" t="s">
        <v>907</v>
      </c>
      <c r="J177" s="23" t="s">
        <v>907</v>
      </c>
      <c r="K177" s="23" t="s">
        <v>907</v>
      </c>
      <c r="M177" s="23" t="s">
        <v>907</v>
      </c>
      <c r="N177" s="23"/>
      <c r="P177" s="1" t="str">
        <f t="shared" si="4"/>
        <v>21203</v>
      </c>
      <c r="Q177" s="263" t="str">
        <f t="shared" si="5"/>
        <v>Accrued Utility Expense</v>
      </c>
    </row>
    <row r="178" spans="1:17" x14ac:dyDescent="0.25">
      <c r="A178" s="24" t="s">
        <v>33</v>
      </c>
      <c r="B178" s="24" t="s">
        <v>20</v>
      </c>
      <c r="C178" s="24">
        <v>2</v>
      </c>
      <c r="D178" s="24" t="s">
        <v>4</v>
      </c>
      <c r="E178" s="24" t="s">
        <v>1</v>
      </c>
      <c r="F178" s="5" t="s">
        <v>142</v>
      </c>
      <c r="G178" s="2" t="s">
        <v>22</v>
      </c>
      <c r="H178" s="2" t="s">
        <v>86</v>
      </c>
      <c r="I178" s="24" t="s">
        <v>908</v>
      </c>
      <c r="J178" s="24" t="s">
        <v>908</v>
      </c>
      <c r="K178" s="24" t="s">
        <v>908</v>
      </c>
      <c r="M178" s="24" t="s">
        <v>908</v>
      </c>
      <c r="N178" s="24"/>
      <c r="P178" s="1" t="str">
        <f t="shared" si="4"/>
        <v>21203001</v>
      </c>
      <c r="Q178" s="263" t="str">
        <f t="shared" si="5"/>
        <v>Accrued Electricity</v>
      </c>
    </row>
    <row r="179" spans="1:17" x14ac:dyDescent="0.25">
      <c r="A179" s="24" t="s">
        <v>33</v>
      </c>
      <c r="B179" s="24" t="s">
        <v>20</v>
      </c>
      <c r="C179" s="24">
        <v>2</v>
      </c>
      <c r="D179" s="24" t="s">
        <v>4</v>
      </c>
      <c r="E179" s="24" t="s">
        <v>3</v>
      </c>
      <c r="F179" s="5" t="s">
        <v>143</v>
      </c>
      <c r="G179" s="2" t="s">
        <v>22</v>
      </c>
      <c r="H179" s="2" t="s">
        <v>86</v>
      </c>
      <c r="I179" s="24" t="s">
        <v>908</v>
      </c>
      <c r="J179" s="24" t="s">
        <v>908</v>
      </c>
      <c r="K179" s="24" t="s">
        <v>908</v>
      </c>
      <c r="M179" s="24" t="s">
        <v>908</v>
      </c>
      <c r="N179" s="24"/>
      <c r="P179" s="1" t="str">
        <f t="shared" si="4"/>
        <v>21203002</v>
      </c>
      <c r="Q179" s="263" t="str">
        <f t="shared" si="5"/>
        <v>Accrued Water</v>
      </c>
    </row>
    <row r="180" spans="1:17" x14ac:dyDescent="0.25">
      <c r="A180" s="24" t="s">
        <v>33</v>
      </c>
      <c r="B180" s="24" t="s">
        <v>20</v>
      </c>
      <c r="C180" s="24">
        <v>2</v>
      </c>
      <c r="D180" s="24" t="s">
        <v>4</v>
      </c>
      <c r="E180" s="24" t="s">
        <v>5</v>
      </c>
      <c r="F180" s="5" t="s">
        <v>144</v>
      </c>
      <c r="G180" s="2" t="s">
        <v>22</v>
      </c>
      <c r="H180" s="2" t="s">
        <v>86</v>
      </c>
      <c r="I180" s="24" t="s">
        <v>908</v>
      </c>
      <c r="J180" s="24" t="s">
        <v>908</v>
      </c>
      <c r="K180" s="24" t="s">
        <v>908</v>
      </c>
      <c r="M180" s="24" t="s">
        <v>908</v>
      </c>
      <c r="N180" s="24"/>
      <c r="P180" s="1" t="str">
        <f t="shared" si="4"/>
        <v>21203003</v>
      </c>
      <c r="Q180" s="263" t="str">
        <f t="shared" si="5"/>
        <v>Accrued Internet</v>
      </c>
    </row>
    <row r="181" spans="1:17" x14ac:dyDescent="0.25">
      <c r="A181" s="24" t="s">
        <v>33</v>
      </c>
      <c r="B181" s="24" t="s">
        <v>20</v>
      </c>
      <c r="C181" s="24">
        <v>2</v>
      </c>
      <c r="D181" s="24" t="s">
        <v>4</v>
      </c>
      <c r="E181" s="24" t="s">
        <v>7</v>
      </c>
      <c r="F181" s="5" t="s">
        <v>145</v>
      </c>
      <c r="G181" s="2" t="s">
        <v>22</v>
      </c>
      <c r="H181" s="2" t="s">
        <v>86</v>
      </c>
      <c r="I181" s="24" t="s">
        <v>908</v>
      </c>
      <c r="J181" s="24" t="s">
        <v>908</v>
      </c>
      <c r="K181" s="24" t="s">
        <v>908</v>
      </c>
      <c r="M181" s="24" t="s">
        <v>908</v>
      </c>
      <c r="N181" s="24"/>
      <c r="P181" s="1" t="str">
        <f t="shared" si="4"/>
        <v>21203004</v>
      </c>
      <c r="Q181" s="263" t="str">
        <f t="shared" si="5"/>
        <v>Accrued Telephone</v>
      </c>
    </row>
    <row r="182" spans="1:17" x14ac:dyDescent="0.25">
      <c r="A182" s="24" t="s">
        <v>33</v>
      </c>
      <c r="B182" s="24" t="s">
        <v>20</v>
      </c>
      <c r="C182" s="24" t="s">
        <v>33</v>
      </c>
      <c r="D182" s="24" t="s">
        <v>4</v>
      </c>
      <c r="E182" s="24" t="s">
        <v>43</v>
      </c>
      <c r="F182" s="5" t="s">
        <v>146</v>
      </c>
      <c r="G182" s="2" t="s">
        <v>22</v>
      </c>
      <c r="H182" s="2" t="s">
        <v>86</v>
      </c>
      <c r="I182" s="24" t="s">
        <v>908</v>
      </c>
      <c r="J182" s="24" t="s">
        <v>908</v>
      </c>
      <c r="K182" s="24" t="s">
        <v>908</v>
      </c>
      <c r="M182" s="24" t="s">
        <v>908</v>
      </c>
      <c r="N182" s="24"/>
      <c r="P182" s="1" t="str">
        <f t="shared" si="4"/>
        <v>21203999</v>
      </c>
      <c r="Q182" s="263" t="str">
        <f t="shared" si="5"/>
        <v>Accrued Utility Other Expense</v>
      </c>
    </row>
    <row r="183" spans="1:17" x14ac:dyDescent="0.25">
      <c r="A183" s="16" t="s">
        <v>33</v>
      </c>
      <c r="B183" s="16" t="s">
        <v>20</v>
      </c>
      <c r="C183" s="16" t="s">
        <v>44</v>
      </c>
      <c r="D183" s="16"/>
      <c r="E183" s="16"/>
      <c r="F183" s="18" t="s">
        <v>147</v>
      </c>
      <c r="G183" s="19" t="s">
        <v>22</v>
      </c>
      <c r="H183" s="19" t="s">
        <v>86</v>
      </c>
      <c r="I183" s="19" t="s">
        <v>907</v>
      </c>
      <c r="J183" s="19" t="s">
        <v>907</v>
      </c>
      <c r="K183" s="19" t="s">
        <v>907</v>
      </c>
      <c r="M183" s="19" t="s">
        <v>907</v>
      </c>
      <c r="N183" s="19"/>
      <c r="P183" s="1" t="str">
        <f t="shared" si="4"/>
        <v>213</v>
      </c>
      <c r="Q183" s="263" t="str">
        <f t="shared" si="5"/>
        <v>Reserve</v>
      </c>
    </row>
    <row r="184" spans="1:17" x14ac:dyDescent="0.25">
      <c r="A184" s="20" t="s">
        <v>33</v>
      </c>
      <c r="B184" s="20" t="s">
        <v>20</v>
      </c>
      <c r="C184" s="20" t="s">
        <v>44</v>
      </c>
      <c r="D184" s="21" t="s">
        <v>0</v>
      </c>
      <c r="E184" s="20"/>
      <c r="F184" s="22" t="s">
        <v>590</v>
      </c>
      <c r="G184" s="23" t="s">
        <v>22</v>
      </c>
      <c r="H184" s="23" t="s">
        <v>86</v>
      </c>
      <c r="I184" s="23" t="s">
        <v>907</v>
      </c>
      <c r="J184" s="23" t="s">
        <v>907</v>
      </c>
      <c r="K184" s="23" t="s">
        <v>907</v>
      </c>
      <c r="M184" s="23" t="s">
        <v>907</v>
      </c>
      <c r="N184" s="23"/>
      <c r="P184" s="1" t="str">
        <f t="shared" si="4"/>
        <v>21301</v>
      </c>
      <c r="Q184" s="263" t="str">
        <f t="shared" si="5"/>
        <v>Reserve Employee Related Expenses</v>
      </c>
    </row>
    <row r="185" spans="1:17" x14ac:dyDescent="0.25">
      <c r="A185" s="24" t="s">
        <v>33</v>
      </c>
      <c r="B185" s="24" t="s">
        <v>20</v>
      </c>
      <c r="C185" s="24" t="s">
        <v>44</v>
      </c>
      <c r="D185" s="24" t="s">
        <v>0</v>
      </c>
      <c r="E185" s="24" t="s">
        <v>1</v>
      </c>
      <c r="F185" s="5" t="s">
        <v>149</v>
      </c>
      <c r="G185" s="2" t="s">
        <v>22</v>
      </c>
      <c r="H185" s="2" t="s">
        <v>86</v>
      </c>
      <c r="I185" s="24" t="s">
        <v>908</v>
      </c>
      <c r="J185" s="24" t="s">
        <v>908</v>
      </c>
      <c r="K185" s="24" t="s">
        <v>908</v>
      </c>
      <c r="M185" s="24" t="s">
        <v>908</v>
      </c>
      <c r="N185" s="24"/>
      <c r="P185" s="1" t="str">
        <f t="shared" si="4"/>
        <v>21301001</v>
      </c>
      <c r="Q185" s="263" t="str">
        <f t="shared" si="5"/>
        <v>Reserve Service Charge</v>
      </c>
    </row>
    <row r="186" spans="1:17" x14ac:dyDescent="0.25">
      <c r="A186" s="24" t="s">
        <v>33</v>
      </c>
      <c r="B186" s="24" t="s">
        <v>20</v>
      </c>
      <c r="C186" s="24" t="s">
        <v>44</v>
      </c>
      <c r="D186" s="24" t="s">
        <v>0</v>
      </c>
      <c r="E186" s="24" t="s">
        <v>3</v>
      </c>
      <c r="F186" s="5" t="s">
        <v>150</v>
      </c>
      <c r="G186" s="2" t="s">
        <v>22</v>
      </c>
      <c r="H186" s="2" t="s">
        <v>86</v>
      </c>
      <c r="I186" s="2" t="s">
        <v>907</v>
      </c>
      <c r="J186" s="2" t="s">
        <v>907</v>
      </c>
      <c r="K186" s="2" t="s">
        <v>907</v>
      </c>
      <c r="M186" s="2" t="s">
        <v>907</v>
      </c>
      <c r="N186" s="24"/>
      <c r="P186" s="1" t="str">
        <f t="shared" si="4"/>
        <v>21301002</v>
      </c>
      <c r="Q186" s="263" t="str">
        <f t="shared" si="5"/>
        <v>Reserve THR</v>
      </c>
    </row>
    <row r="187" spans="1:17" x14ac:dyDescent="0.25">
      <c r="A187" s="24" t="s">
        <v>33</v>
      </c>
      <c r="B187" s="24" t="s">
        <v>20</v>
      </c>
      <c r="C187" s="24" t="s">
        <v>44</v>
      </c>
      <c r="D187" s="24" t="s">
        <v>0</v>
      </c>
      <c r="E187" s="24" t="s">
        <v>5</v>
      </c>
      <c r="F187" s="5" t="s">
        <v>151</v>
      </c>
      <c r="G187" s="2" t="s">
        <v>22</v>
      </c>
      <c r="H187" s="2" t="s">
        <v>86</v>
      </c>
      <c r="I187" s="2" t="s">
        <v>907</v>
      </c>
      <c r="J187" s="2" t="s">
        <v>907</v>
      </c>
      <c r="K187" s="2" t="s">
        <v>907</v>
      </c>
      <c r="M187" s="2" t="s">
        <v>907</v>
      </c>
      <c r="N187" s="24"/>
      <c r="P187" s="1" t="str">
        <f t="shared" si="4"/>
        <v>21301003</v>
      </c>
      <c r="Q187" s="263" t="str">
        <f t="shared" si="5"/>
        <v>Reserve Bonus</v>
      </c>
    </row>
    <row r="188" spans="1:17" x14ac:dyDescent="0.25">
      <c r="A188" s="24" t="s">
        <v>33</v>
      </c>
      <c r="B188" s="24" t="s">
        <v>20</v>
      </c>
      <c r="C188" s="24" t="s">
        <v>44</v>
      </c>
      <c r="D188" s="24" t="s">
        <v>0</v>
      </c>
      <c r="E188" s="24" t="s">
        <v>7</v>
      </c>
      <c r="F188" s="5" t="s">
        <v>153</v>
      </c>
      <c r="G188" s="2" t="s">
        <v>22</v>
      </c>
      <c r="H188" s="2" t="s">
        <v>86</v>
      </c>
      <c r="I188" s="24" t="s">
        <v>908</v>
      </c>
      <c r="J188" s="24" t="s">
        <v>908</v>
      </c>
      <c r="K188" s="24" t="s">
        <v>908</v>
      </c>
      <c r="M188" s="24" t="s">
        <v>908</v>
      </c>
      <c r="N188" s="24"/>
      <c r="P188" s="1" t="str">
        <f t="shared" si="4"/>
        <v>21301004</v>
      </c>
      <c r="Q188" s="263" t="str">
        <f t="shared" si="5"/>
        <v>Reserve Loss and Breakage</v>
      </c>
    </row>
    <row r="189" spans="1:17" x14ac:dyDescent="0.25">
      <c r="A189" s="24" t="s">
        <v>33</v>
      </c>
      <c r="B189" s="24" t="s">
        <v>20</v>
      </c>
      <c r="C189" s="24" t="s">
        <v>44</v>
      </c>
      <c r="D189" s="24" t="s">
        <v>0</v>
      </c>
      <c r="E189" s="24" t="s">
        <v>9</v>
      </c>
      <c r="F189" s="5" t="s">
        <v>548</v>
      </c>
      <c r="G189" s="2" t="s">
        <v>22</v>
      </c>
      <c r="H189" s="2" t="s">
        <v>86</v>
      </c>
      <c r="I189" s="24" t="s">
        <v>908</v>
      </c>
      <c r="J189" s="24" t="s">
        <v>908</v>
      </c>
      <c r="K189" s="24" t="s">
        <v>908</v>
      </c>
      <c r="M189" s="24" t="s">
        <v>908</v>
      </c>
      <c r="N189" s="24"/>
      <c r="P189" s="1" t="str">
        <f t="shared" si="4"/>
        <v>21301005</v>
      </c>
      <c r="Q189" s="263" t="str">
        <f t="shared" si="5"/>
        <v>Reserve Staff Development</v>
      </c>
    </row>
    <row r="190" spans="1:17" x14ac:dyDescent="0.25">
      <c r="A190" s="24" t="s">
        <v>33</v>
      </c>
      <c r="B190" s="24" t="s">
        <v>20</v>
      </c>
      <c r="C190" s="24" t="s">
        <v>44</v>
      </c>
      <c r="D190" s="24" t="s">
        <v>0</v>
      </c>
      <c r="E190" s="24" t="s">
        <v>10</v>
      </c>
      <c r="F190" s="5" t="s">
        <v>148</v>
      </c>
      <c r="G190" s="2" t="s">
        <v>22</v>
      </c>
      <c r="H190" s="2" t="s">
        <v>86</v>
      </c>
      <c r="I190" s="24" t="s">
        <v>908</v>
      </c>
      <c r="J190" s="24" t="s">
        <v>908</v>
      </c>
      <c r="K190" s="24" t="s">
        <v>908</v>
      </c>
      <c r="M190" s="24" t="s">
        <v>908</v>
      </c>
      <c r="N190" s="24"/>
      <c r="P190" s="1" t="str">
        <f t="shared" si="4"/>
        <v>21301006</v>
      </c>
      <c r="Q190" s="263" t="str">
        <f t="shared" si="5"/>
        <v>Reserve Employee Benefit</v>
      </c>
    </row>
    <row r="191" spans="1:17" x14ac:dyDescent="0.25">
      <c r="A191" s="24" t="s">
        <v>33</v>
      </c>
      <c r="B191" s="24" t="s">
        <v>20</v>
      </c>
      <c r="C191" s="24" t="s">
        <v>44</v>
      </c>
      <c r="D191" s="24" t="s">
        <v>0</v>
      </c>
      <c r="E191" s="24" t="s">
        <v>43</v>
      </c>
      <c r="F191" s="5" t="s">
        <v>591</v>
      </c>
      <c r="G191" s="2" t="s">
        <v>22</v>
      </c>
      <c r="H191" s="2" t="s">
        <v>86</v>
      </c>
      <c r="I191" s="24" t="s">
        <v>908</v>
      </c>
      <c r="J191" s="24" t="s">
        <v>908</v>
      </c>
      <c r="K191" s="24" t="s">
        <v>908</v>
      </c>
      <c r="M191" s="24" t="s">
        <v>908</v>
      </c>
      <c r="N191" s="24"/>
      <c r="P191" s="1" t="str">
        <f t="shared" si="4"/>
        <v>21301999</v>
      </c>
      <c r="Q191" s="263" t="str">
        <f t="shared" si="5"/>
        <v>Reserve Other Employee Related Expenses</v>
      </c>
    </row>
    <row r="192" spans="1:17" x14ac:dyDescent="0.25">
      <c r="A192" s="20" t="s">
        <v>33</v>
      </c>
      <c r="B192" s="20" t="s">
        <v>20</v>
      </c>
      <c r="C192" s="20" t="s">
        <v>44</v>
      </c>
      <c r="D192" s="21" t="s">
        <v>2</v>
      </c>
      <c r="E192" s="20"/>
      <c r="F192" s="22" t="s">
        <v>152</v>
      </c>
      <c r="G192" s="23" t="s">
        <v>22</v>
      </c>
      <c r="H192" s="23" t="s">
        <v>86</v>
      </c>
      <c r="I192" s="23" t="s">
        <v>907</v>
      </c>
      <c r="J192" s="23" t="s">
        <v>907</v>
      </c>
      <c r="K192" s="23" t="s">
        <v>907</v>
      </c>
      <c r="M192" s="23" t="s">
        <v>907</v>
      </c>
      <c r="N192" s="23"/>
      <c r="P192" s="1" t="str">
        <f t="shared" si="4"/>
        <v>21302</v>
      </c>
      <c r="Q192" s="263" t="str">
        <f t="shared" si="5"/>
        <v>Reserve Replacement</v>
      </c>
    </row>
    <row r="193" spans="1:17" x14ac:dyDescent="0.25">
      <c r="A193" s="24" t="s">
        <v>33</v>
      </c>
      <c r="B193" s="24" t="s">
        <v>20</v>
      </c>
      <c r="C193" s="24" t="s">
        <v>44</v>
      </c>
      <c r="D193" s="24" t="s">
        <v>2</v>
      </c>
      <c r="E193" s="24" t="s">
        <v>1</v>
      </c>
      <c r="F193" s="5" t="s">
        <v>888</v>
      </c>
      <c r="G193" s="2" t="s">
        <v>22</v>
      </c>
      <c r="H193" s="2" t="s">
        <v>86</v>
      </c>
      <c r="I193" s="24" t="s">
        <v>908</v>
      </c>
      <c r="J193" s="24" t="s">
        <v>908</v>
      </c>
      <c r="K193" s="24" t="s">
        <v>908</v>
      </c>
      <c r="M193" s="24" t="s">
        <v>908</v>
      </c>
      <c r="N193" s="24"/>
      <c r="P193" s="1" t="str">
        <f t="shared" si="4"/>
        <v>21302001</v>
      </c>
      <c r="Q193" s="263" t="str">
        <f t="shared" si="5"/>
        <v>Reserve Replacement China/Glass/Silverware</v>
      </c>
    </row>
    <row r="194" spans="1:17" x14ac:dyDescent="0.25">
      <c r="A194" s="24" t="s">
        <v>33</v>
      </c>
      <c r="B194" s="24" t="s">
        <v>20</v>
      </c>
      <c r="C194" s="24" t="s">
        <v>44</v>
      </c>
      <c r="D194" s="24" t="s">
        <v>2</v>
      </c>
      <c r="E194" s="24" t="s">
        <v>3</v>
      </c>
      <c r="F194" s="5" t="s">
        <v>889</v>
      </c>
      <c r="G194" s="2" t="s">
        <v>22</v>
      </c>
      <c r="H194" s="2" t="s">
        <v>86</v>
      </c>
      <c r="I194" s="24" t="s">
        <v>908</v>
      </c>
      <c r="J194" s="24" t="s">
        <v>908</v>
      </c>
      <c r="K194" s="24" t="s">
        <v>908</v>
      </c>
      <c r="M194" s="24" t="s">
        <v>908</v>
      </c>
      <c r="N194" s="24"/>
      <c r="P194" s="1" t="str">
        <f t="shared" si="4"/>
        <v>21302002</v>
      </c>
      <c r="Q194" s="263" t="str">
        <f t="shared" si="5"/>
        <v>Reserve Replacement Linen and Towel</v>
      </c>
    </row>
    <row r="195" spans="1:17" x14ac:dyDescent="0.25">
      <c r="A195" s="24" t="s">
        <v>33</v>
      </c>
      <c r="B195" s="24" t="s">
        <v>20</v>
      </c>
      <c r="C195" s="24" t="s">
        <v>44</v>
      </c>
      <c r="D195" s="24" t="s">
        <v>2</v>
      </c>
      <c r="E195" s="24" t="s">
        <v>5</v>
      </c>
      <c r="F195" s="5" t="s">
        <v>592</v>
      </c>
      <c r="G195" s="2" t="s">
        <v>22</v>
      </c>
      <c r="H195" s="2" t="s">
        <v>86</v>
      </c>
      <c r="I195" s="24" t="s">
        <v>908</v>
      </c>
      <c r="J195" s="24" t="s">
        <v>908</v>
      </c>
      <c r="K195" s="24" t="s">
        <v>908</v>
      </c>
      <c r="M195" s="24" t="s">
        <v>908</v>
      </c>
      <c r="N195" s="24"/>
      <c r="P195" s="1" t="str">
        <f t="shared" si="4"/>
        <v>21302003</v>
      </c>
      <c r="Q195" s="263" t="str">
        <f t="shared" si="5"/>
        <v>Reserve Replacement Uniform</v>
      </c>
    </row>
    <row r="196" spans="1:17" x14ac:dyDescent="0.25">
      <c r="A196" s="24" t="s">
        <v>33</v>
      </c>
      <c r="B196" s="24" t="s">
        <v>20</v>
      </c>
      <c r="C196" s="24" t="s">
        <v>44</v>
      </c>
      <c r="D196" s="24" t="s">
        <v>2</v>
      </c>
      <c r="E196" s="24" t="s">
        <v>7</v>
      </c>
      <c r="F196" s="5" t="s">
        <v>154</v>
      </c>
      <c r="G196" s="2" t="s">
        <v>22</v>
      </c>
      <c r="H196" s="2" t="s">
        <v>86</v>
      </c>
      <c r="I196" s="24" t="s">
        <v>908</v>
      </c>
      <c r="J196" s="24" t="s">
        <v>908</v>
      </c>
      <c r="K196" s="24" t="s">
        <v>908</v>
      </c>
      <c r="M196" s="24" t="s">
        <v>908</v>
      </c>
      <c r="N196" s="24"/>
      <c r="P196" s="1" t="str">
        <f t="shared" si="4"/>
        <v>21302004</v>
      </c>
      <c r="Q196" s="263" t="str">
        <f t="shared" si="5"/>
        <v>Reserve Replacement FFE</v>
      </c>
    </row>
    <row r="197" spans="1:17" x14ac:dyDescent="0.25">
      <c r="A197" s="16" t="s">
        <v>33</v>
      </c>
      <c r="B197" s="16" t="s">
        <v>20</v>
      </c>
      <c r="C197" s="16" t="s">
        <v>54</v>
      </c>
      <c r="D197" s="16"/>
      <c r="E197" s="16"/>
      <c r="F197" s="18" t="s">
        <v>155</v>
      </c>
      <c r="G197" s="19" t="s">
        <v>22</v>
      </c>
      <c r="H197" s="19" t="s">
        <v>86</v>
      </c>
      <c r="I197" s="19" t="s">
        <v>907</v>
      </c>
      <c r="J197" s="19" t="s">
        <v>907</v>
      </c>
      <c r="K197" s="19" t="s">
        <v>907</v>
      </c>
      <c r="M197" s="19" t="s">
        <v>907</v>
      </c>
      <c r="N197" s="19"/>
      <c r="P197" s="1" t="str">
        <f t="shared" ref="P197:P260" si="6">CONCATENATE(A197,B197,C197,D197,E197)</f>
        <v>214</v>
      </c>
      <c r="Q197" s="263" t="str">
        <f t="shared" si="5"/>
        <v>Other Current Liabilities</v>
      </c>
    </row>
    <row r="198" spans="1:17" x14ac:dyDescent="0.25">
      <c r="A198" s="20" t="s">
        <v>33</v>
      </c>
      <c r="B198" s="20" t="s">
        <v>20</v>
      </c>
      <c r="C198" s="20" t="s">
        <v>54</v>
      </c>
      <c r="D198" s="21" t="s">
        <v>0</v>
      </c>
      <c r="E198" s="20"/>
      <c r="F198" s="22" t="s">
        <v>156</v>
      </c>
      <c r="G198" s="23" t="s">
        <v>22</v>
      </c>
      <c r="H198" s="23" t="s">
        <v>86</v>
      </c>
      <c r="I198" s="23" t="s">
        <v>907</v>
      </c>
      <c r="J198" s="23" t="s">
        <v>907</v>
      </c>
      <c r="K198" s="23" t="s">
        <v>907</v>
      </c>
      <c r="M198" s="23" t="s">
        <v>907</v>
      </c>
      <c r="N198" s="23"/>
      <c r="P198" s="1" t="str">
        <f t="shared" si="6"/>
        <v>21401</v>
      </c>
      <c r="Q198" s="263" t="str">
        <f t="shared" si="5"/>
        <v>Liability Deposit</v>
      </c>
    </row>
    <row r="199" spans="1:17" x14ac:dyDescent="0.25">
      <c r="A199" s="24" t="s">
        <v>33</v>
      </c>
      <c r="B199" s="24" t="s">
        <v>20</v>
      </c>
      <c r="C199" s="24" t="s">
        <v>54</v>
      </c>
      <c r="D199" s="24" t="s">
        <v>0</v>
      </c>
      <c r="E199" s="24" t="s">
        <v>1</v>
      </c>
      <c r="F199" s="5" t="s">
        <v>157</v>
      </c>
      <c r="G199" s="2" t="s">
        <v>22</v>
      </c>
      <c r="H199" s="2" t="s">
        <v>86</v>
      </c>
      <c r="I199" s="24" t="s">
        <v>908</v>
      </c>
      <c r="J199" s="24" t="s">
        <v>908</v>
      </c>
      <c r="K199" s="24" t="s">
        <v>908</v>
      </c>
      <c r="M199" s="24" t="s">
        <v>908</v>
      </c>
      <c r="N199" s="24"/>
      <c r="P199" s="1" t="str">
        <f t="shared" si="6"/>
        <v>21401001</v>
      </c>
      <c r="Q199" s="263" t="str">
        <f t="shared" si="5"/>
        <v>Guest Deposit</v>
      </c>
    </row>
    <row r="200" spans="1:17" x14ac:dyDescent="0.25">
      <c r="A200" s="24" t="s">
        <v>33</v>
      </c>
      <c r="B200" s="24" t="s">
        <v>20</v>
      </c>
      <c r="C200" s="24" t="s">
        <v>54</v>
      </c>
      <c r="D200" s="24" t="s">
        <v>0</v>
      </c>
      <c r="E200" s="24" t="s">
        <v>3</v>
      </c>
      <c r="F200" s="5" t="s">
        <v>158</v>
      </c>
      <c r="G200" s="2" t="s">
        <v>22</v>
      </c>
      <c r="H200" s="2" t="s">
        <v>86</v>
      </c>
      <c r="I200" s="24" t="s">
        <v>908</v>
      </c>
      <c r="J200" s="24" t="s">
        <v>908</v>
      </c>
      <c r="K200" s="24" t="s">
        <v>908</v>
      </c>
      <c r="M200" s="24" t="s">
        <v>908</v>
      </c>
      <c r="N200" s="24"/>
      <c r="P200" s="1" t="str">
        <f t="shared" si="6"/>
        <v>21401002</v>
      </c>
      <c r="Q200" s="263" t="str">
        <f t="shared" si="5"/>
        <v>Account Deposit</v>
      </c>
    </row>
    <row r="201" spans="1:17" x14ac:dyDescent="0.25">
      <c r="A201" s="24" t="s">
        <v>33</v>
      </c>
      <c r="B201" s="24" t="s">
        <v>20</v>
      </c>
      <c r="C201" s="24" t="s">
        <v>54</v>
      </c>
      <c r="D201" s="24" t="s">
        <v>0</v>
      </c>
      <c r="E201" s="24" t="s">
        <v>5</v>
      </c>
      <c r="F201" s="5" t="s">
        <v>847</v>
      </c>
      <c r="G201" s="2" t="s">
        <v>22</v>
      </c>
      <c r="H201" s="2" t="s">
        <v>86</v>
      </c>
      <c r="I201" s="24" t="s">
        <v>908</v>
      </c>
      <c r="J201" s="24" t="s">
        <v>908</v>
      </c>
      <c r="K201" s="24" t="s">
        <v>908</v>
      </c>
      <c r="M201" s="24" t="s">
        <v>908</v>
      </c>
      <c r="N201" s="24"/>
      <c r="P201" s="1" t="str">
        <f t="shared" si="6"/>
        <v>21401003</v>
      </c>
      <c r="Q201" s="263" t="str">
        <f t="shared" ref="Q201:Q264" si="7">F201</f>
        <v>Deferred Income</v>
      </c>
    </row>
    <row r="202" spans="1:17" x14ac:dyDescent="0.25">
      <c r="A202" s="24" t="s">
        <v>33</v>
      </c>
      <c r="B202" s="24" t="s">
        <v>20</v>
      </c>
      <c r="C202" s="24" t="s">
        <v>54</v>
      </c>
      <c r="D202" s="24" t="s">
        <v>0</v>
      </c>
      <c r="E202" s="24" t="s">
        <v>43</v>
      </c>
      <c r="F202" s="5" t="s">
        <v>159</v>
      </c>
      <c r="G202" s="2" t="s">
        <v>22</v>
      </c>
      <c r="H202" s="2" t="s">
        <v>86</v>
      </c>
      <c r="I202" s="24" t="s">
        <v>908</v>
      </c>
      <c r="J202" s="24" t="s">
        <v>908</v>
      </c>
      <c r="K202" s="24" t="s">
        <v>908</v>
      </c>
      <c r="M202" s="24" t="s">
        <v>908</v>
      </c>
      <c r="N202" s="24"/>
      <c r="P202" s="1" t="str">
        <f t="shared" si="6"/>
        <v>21401999</v>
      </c>
      <c r="Q202" s="263" t="str">
        <f t="shared" si="7"/>
        <v>Other Liability Deposit</v>
      </c>
    </row>
    <row r="203" spans="1:17" x14ac:dyDescent="0.25">
      <c r="A203" s="12" t="s">
        <v>33</v>
      </c>
      <c r="B203" s="12" t="s">
        <v>33</v>
      </c>
      <c r="C203" s="12"/>
      <c r="D203" s="12"/>
      <c r="E203" s="12"/>
      <c r="F203" s="13" t="s">
        <v>160</v>
      </c>
      <c r="G203" s="14" t="s">
        <v>22</v>
      </c>
      <c r="H203" s="14" t="s">
        <v>86</v>
      </c>
      <c r="I203" s="14" t="s">
        <v>907</v>
      </c>
      <c r="J203" s="14" t="s">
        <v>907</v>
      </c>
      <c r="K203" s="14" t="s">
        <v>907</v>
      </c>
      <c r="M203" s="14" t="s">
        <v>907</v>
      </c>
      <c r="N203" s="14"/>
      <c r="P203" s="1" t="str">
        <f t="shared" si="6"/>
        <v>22</v>
      </c>
      <c r="Q203" s="263" t="str">
        <f t="shared" si="7"/>
        <v>Long-Term Liabilities</v>
      </c>
    </row>
    <row r="204" spans="1:17" x14ac:dyDescent="0.25">
      <c r="A204" s="16" t="s">
        <v>33</v>
      </c>
      <c r="B204" s="16" t="s">
        <v>33</v>
      </c>
      <c r="C204" s="16" t="s">
        <v>20</v>
      </c>
      <c r="D204" s="17"/>
      <c r="E204" s="16"/>
      <c r="F204" s="18" t="s">
        <v>579</v>
      </c>
      <c r="G204" s="19" t="s">
        <v>22</v>
      </c>
      <c r="H204" s="19" t="s">
        <v>86</v>
      </c>
      <c r="I204" s="19" t="s">
        <v>907</v>
      </c>
      <c r="J204" s="19" t="s">
        <v>907</v>
      </c>
      <c r="K204" s="19" t="s">
        <v>907</v>
      </c>
      <c r="M204" s="19" t="s">
        <v>907</v>
      </c>
      <c r="N204" s="19"/>
      <c r="P204" s="1" t="str">
        <f t="shared" si="6"/>
        <v>221</v>
      </c>
      <c r="Q204" s="263" t="str">
        <f t="shared" si="7"/>
        <v>Loan</v>
      </c>
    </row>
    <row r="205" spans="1:17" x14ac:dyDescent="0.25">
      <c r="A205" s="20" t="s">
        <v>33</v>
      </c>
      <c r="B205" s="20" t="s">
        <v>33</v>
      </c>
      <c r="C205" s="20" t="s">
        <v>20</v>
      </c>
      <c r="D205" s="20" t="s">
        <v>0</v>
      </c>
      <c r="E205" s="20"/>
      <c r="F205" s="22" t="s">
        <v>161</v>
      </c>
      <c r="G205" s="23" t="s">
        <v>22</v>
      </c>
      <c r="H205" s="23" t="s">
        <v>86</v>
      </c>
      <c r="I205" s="23" t="s">
        <v>907</v>
      </c>
      <c r="J205" s="23" t="s">
        <v>907</v>
      </c>
      <c r="K205" s="23" t="s">
        <v>907</v>
      </c>
      <c r="M205" s="23" t="s">
        <v>907</v>
      </c>
      <c r="N205" s="23"/>
      <c r="P205" s="1" t="str">
        <f t="shared" si="6"/>
        <v>22101</v>
      </c>
      <c r="Q205" s="263" t="str">
        <f t="shared" si="7"/>
        <v>Bank Loan</v>
      </c>
    </row>
    <row r="206" spans="1:17" x14ac:dyDescent="0.25">
      <c r="A206" s="24" t="s">
        <v>33</v>
      </c>
      <c r="B206" s="24" t="s">
        <v>33</v>
      </c>
      <c r="C206" s="24" t="s">
        <v>20</v>
      </c>
      <c r="D206" s="24" t="s">
        <v>0</v>
      </c>
      <c r="E206" s="24" t="s">
        <v>1</v>
      </c>
      <c r="F206" s="5" t="s">
        <v>162</v>
      </c>
      <c r="G206" s="2" t="s">
        <v>22</v>
      </c>
      <c r="H206" s="2" t="s">
        <v>86</v>
      </c>
      <c r="I206" s="24" t="s">
        <v>908</v>
      </c>
      <c r="J206" s="24" t="s">
        <v>908</v>
      </c>
      <c r="K206" s="24" t="s">
        <v>908</v>
      </c>
      <c r="M206" s="24" t="s">
        <v>908</v>
      </c>
      <c r="N206" s="24"/>
      <c r="P206" s="1" t="str">
        <f t="shared" si="6"/>
        <v>22101001</v>
      </c>
      <c r="Q206" s="263" t="str">
        <f t="shared" si="7"/>
        <v>Bank  Loan - Bank …………………………</v>
      </c>
    </row>
    <row r="207" spans="1:17" x14ac:dyDescent="0.25">
      <c r="A207" s="24" t="s">
        <v>33</v>
      </c>
      <c r="B207" s="24" t="s">
        <v>33</v>
      </c>
      <c r="C207" s="24" t="s">
        <v>20</v>
      </c>
      <c r="D207" s="24" t="s">
        <v>0</v>
      </c>
      <c r="E207" s="24" t="s">
        <v>3</v>
      </c>
      <c r="F207" s="5" t="s">
        <v>162</v>
      </c>
      <c r="G207" s="2" t="s">
        <v>22</v>
      </c>
      <c r="H207" s="2" t="s">
        <v>86</v>
      </c>
      <c r="I207" s="24" t="s">
        <v>908</v>
      </c>
      <c r="J207" s="24" t="s">
        <v>908</v>
      </c>
      <c r="K207" s="24" t="s">
        <v>908</v>
      </c>
      <c r="M207" s="24" t="s">
        <v>908</v>
      </c>
      <c r="N207" s="24"/>
      <c r="P207" s="1" t="str">
        <f t="shared" si="6"/>
        <v>22101002</v>
      </c>
      <c r="Q207" s="263" t="str">
        <f t="shared" si="7"/>
        <v>Bank  Loan - Bank …………………………</v>
      </c>
    </row>
    <row r="208" spans="1:17" x14ac:dyDescent="0.25">
      <c r="A208" s="20" t="s">
        <v>33</v>
      </c>
      <c r="B208" s="20" t="s">
        <v>33</v>
      </c>
      <c r="C208" s="20" t="s">
        <v>20</v>
      </c>
      <c r="D208" s="20" t="s">
        <v>2</v>
      </c>
      <c r="E208" s="20"/>
      <c r="F208" s="22" t="s">
        <v>529</v>
      </c>
      <c r="G208" s="23" t="s">
        <v>22</v>
      </c>
      <c r="H208" s="23" t="s">
        <v>23</v>
      </c>
      <c r="I208" s="23" t="s">
        <v>907</v>
      </c>
      <c r="J208" s="23" t="s">
        <v>907</v>
      </c>
      <c r="K208" s="23" t="s">
        <v>907</v>
      </c>
      <c r="M208" s="23" t="s">
        <v>907</v>
      </c>
      <c r="N208" s="23"/>
      <c r="P208" s="1" t="str">
        <f t="shared" si="6"/>
        <v>22102</v>
      </c>
      <c r="Q208" s="263" t="str">
        <f t="shared" si="7"/>
        <v>Unamortized Provision Bank Loan</v>
      </c>
    </row>
    <row r="209" spans="1:17" x14ac:dyDescent="0.25">
      <c r="A209" s="24" t="s">
        <v>33</v>
      </c>
      <c r="B209" s="24" t="s">
        <v>33</v>
      </c>
      <c r="C209" s="24" t="s">
        <v>20</v>
      </c>
      <c r="D209" s="24" t="s">
        <v>2</v>
      </c>
      <c r="E209" s="24" t="s">
        <v>1</v>
      </c>
      <c r="F209" s="5" t="s">
        <v>530</v>
      </c>
      <c r="G209" s="2" t="s">
        <v>22</v>
      </c>
      <c r="H209" s="2" t="s">
        <v>23</v>
      </c>
      <c r="I209" s="24" t="s">
        <v>908</v>
      </c>
      <c r="J209" s="24" t="s">
        <v>908</v>
      </c>
      <c r="K209" s="24" t="s">
        <v>908</v>
      </c>
      <c r="M209" s="24" t="s">
        <v>908</v>
      </c>
      <c r="N209" s="24"/>
      <c r="P209" s="1" t="str">
        <f t="shared" si="6"/>
        <v>22102001</v>
      </c>
      <c r="Q209" s="263" t="str">
        <f t="shared" si="7"/>
        <v>Unamortized Provision - Bank …………………………</v>
      </c>
    </row>
    <row r="210" spans="1:17" x14ac:dyDescent="0.25">
      <c r="A210" s="24" t="s">
        <v>33</v>
      </c>
      <c r="B210" s="24" t="s">
        <v>33</v>
      </c>
      <c r="C210" s="24" t="s">
        <v>20</v>
      </c>
      <c r="D210" s="24" t="s">
        <v>2</v>
      </c>
      <c r="E210" s="24" t="s">
        <v>3</v>
      </c>
      <c r="F210" s="5" t="s">
        <v>530</v>
      </c>
      <c r="G210" s="2" t="s">
        <v>22</v>
      </c>
      <c r="H210" s="2" t="s">
        <v>23</v>
      </c>
      <c r="I210" s="24" t="s">
        <v>908</v>
      </c>
      <c r="J210" s="24" t="s">
        <v>908</v>
      </c>
      <c r="K210" s="24" t="s">
        <v>908</v>
      </c>
      <c r="M210" s="24" t="s">
        <v>908</v>
      </c>
      <c r="N210" s="24"/>
      <c r="P210" s="1" t="str">
        <f t="shared" si="6"/>
        <v>22102002</v>
      </c>
      <c r="Q210" s="263" t="str">
        <f t="shared" si="7"/>
        <v>Unamortized Provision - Bank …………………………</v>
      </c>
    </row>
    <row r="211" spans="1:17" x14ac:dyDescent="0.25">
      <c r="A211" s="16" t="s">
        <v>33</v>
      </c>
      <c r="B211" s="16" t="s">
        <v>33</v>
      </c>
      <c r="C211" s="16" t="s">
        <v>33</v>
      </c>
      <c r="D211" s="17"/>
      <c r="E211" s="16"/>
      <c r="F211" s="18" t="s">
        <v>163</v>
      </c>
      <c r="G211" s="19" t="s">
        <v>22</v>
      </c>
      <c r="H211" s="19" t="s">
        <v>86</v>
      </c>
      <c r="I211" s="19" t="s">
        <v>907</v>
      </c>
      <c r="J211" s="19" t="s">
        <v>907</v>
      </c>
      <c r="K211" s="19" t="s">
        <v>907</v>
      </c>
      <c r="M211" s="19" t="s">
        <v>907</v>
      </c>
      <c r="N211" s="19"/>
      <c r="P211" s="1" t="str">
        <f t="shared" si="6"/>
        <v>222</v>
      </c>
      <c r="Q211" s="263" t="str">
        <f t="shared" si="7"/>
        <v>Other Long-Term Liabilities</v>
      </c>
    </row>
    <row r="212" spans="1:17" x14ac:dyDescent="0.25">
      <c r="A212" s="20" t="s">
        <v>33</v>
      </c>
      <c r="B212" s="20" t="s">
        <v>33</v>
      </c>
      <c r="C212" s="20" t="s">
        <v>33</v>
      </c>
      <c r="D212" s="20" t="s">
        <v>0</v>
      </c>
      <c r="E212" s="20"/>
      <c r="F212" s="15" t="s">
        <v>580</v>
      </c>
      <c r="G212" s="23" t="s">
        <v>22</v>
      </c>
      <c r="H212" s="23" t="s">
        <v>86</v>
      </c>
      <c r="I212" s="20" t="s">
        <v>907</v>
      </c>
      <c r="J212" s="20" t="s">
        <v>907</v>
      </c>
      <c r="K212" s="20" t="s">
        <v>907</v>
      </c>
      <c r="M212" s="20" t="s">
        <v>907</v>
      </c>
      <c r="N212" s="20"/>
      <c r="P212" s="1" t="str">
        <f t="shared" si="6"/>
        <v>22201</v>
      </c>
      <c r="Q212" s="263" t="str">
        <f t="shared" si="7"/>
        <v>Other Long-Term Liability</v>
      </c>
    </row>
    <row r="213" spans="1:17" x14ac:dyDescent="0.25">
      <c r="A213" s="24" t="s">
        <v>33</v>
      </c>
      <c r="B213" s="24" t="s">
        <v>33</v>
      </c>
      <c r="C213" s="24" t="s">
        <v>33</v>
      </c>
      <c r="D213" s="24" t="s">
        <v>0</v>
      </c>
      <c r="E213" s="24" t="s">
        <v>1</v>
      </c>
      <c r="F213" s="5" t="s">
        <v>164</v>
      </c>
      <c r="G213" s="2" t="s">
        <v>22</v>
      </c>
      <c r="H213" s="2" t="s">
        <v>86</v>
      </c>
      <c r="I213" s="24" t="s">
        <v>908</v>
      </c>
      <c r="J213" s="24" t="s">
        <v>908</v>
      </c>
      <c r="K213" s="24" t="s">
        <v>908</v>
      </c>
      <c r="M213" s="24" t="s">
        <v>908</v>
      </c>
      <c r="N213" s="24"/>
      <c r="P213" s="1" t="str">
        <f t="shared" si="6"/>
        <v>22201001</v>
      </c>
      <c r="Q213" s="263" t="str">
        <f t="shared" si="7"/>
        <v>Deferred Tax Liability</v>
      </c>
    </row>
    <row r="214" spans="1:17" x14ac:dyDescent="0.25">
      <c r="A214" s="24" t="s">
        <v>33</v>
      </c>
      <c r="B214" s="24" t="s">
        <v>33</v>
      </c>
      <c r="C214" s="24" t="s">
        <v>33</v>
      </c>
      <c r="D214" s="24" t="s">
        <v>0</v>
      </c>
      <c r="E214" s="24" t="s">
        <v>3</v>
      </c>
      <c r="F214" s="5" t="s">
        <v>165</v>
      </c>
      <c r="G214" s="2" t="s">
        <v>22</v>
      </c>
      <c r="H214" s="2" t="s">
        <v>86</v>
      </c>
      <c r="I214" s="24" t="s">
        <v>908</v>
      </c>
      <c r="J214" s="24" t="s">
        <v>908</v>
      </c>
      <c r="K214" s="24" t="s">
        <v>908</v>
      </c>
      <c r="M214" s="24" t="s">
        <v>908</v>
      </c>
      <c r="N214" s="24"/>
      <c r="P214" s="1" t="str">
        <f t="shared" si="6"/>
        <v>22201002</v>
      </c>
      <c r="Q214" s="263" t="str">
        <f t="shared" si="7"/>
        <v>Leased Payable</v>
      </c>
    </row>
    <row r="215" spans="1:17" x14ac:dyDescent="0.25">
      <c r="A215" s="8" t="s">
        <v>44</v>
      </c>
      <c r="B215" s="8"/>
      <c r="C215" s="8"/>
      <c r="D215" s="8"/>
      <c r="E215" s="8"/>
      <c r="F215" s="9" t="s">
        <v>166</v>
      </c>
      <c r="G215" s="10" t="s">
        <v>22</v>
      </c>
      <c r="H215" s="10" t="s">
        <v>86</v>
      </c>
      <c r="I215" s="10" t="s">
        <v>907</v>
      </c>
      <c r="J215" s="10" t="s">
        <v>907</v>
      </c>
      <c r="K215" s="10" t="s">
        <v>907</v>
      </c>
      <c r="M215" s="10" t="s">
        <v>907</v>
      </c>
      <c r="N215" s="10"/>
      <c r="P215" s="1" t="str">
        <f t="shared" si="6"/>
        <v>3</v>
      </c>
      <c r="Q215" s="263" t="str">
        <f t="shared" si="7"/>
        <v>EQUITY</v>
      </c>
    </row>
    <row r="216" spans="1:17" x14ac:dyDescent="0.25">
      <c r="A216" s="12" t="s">
        <v>44</v>
      </c>
      <c r="B216" s="12" t="s">
        <v>20</v>
      </c>
      <c r="C216" s="12"/>
      <c r="D216" s="12"/>
      <c r="E216" s="12"/>
      <c r="F216" s="13" t="s">
        <v>558</v>
      </c>
      <c r="G216" s="14" t="s">
        <v>22</v>
      </c>
      <c r="H216" s="14" t="s">
        <v>86</v>
      </c>
      <c r="I216" s="14" t="s">
        <v>907</v>
      </c>
      <c r="J216" s="14" t="s">
        <v>907</v>
      </c>
      <c r="K216" s="14" t="s">
        <v>907</v>
      </c>
      <c r="M216" s="14" t="s">
        <v>907</v>
      </c>
      <c r="N216" s="14"/>
      <c r="P216" s="1" t="str">
        <f t="shared" si="6"/>
        <v>31</v>
      </c>
      <c r="Q216" s="263" t="str">
        <f t="shared" si="7"/>
        <v>Shareholder Equity***</v>
      </c>
    </row>
    <row r="217" spans="1:17" x14ac:dyDescent="0.25">
      <c r="A217" s="16" t="s">
        <v>44</v>
      </c>
      <c r="B217" s="16" t="s">
        <v>20</v>
      </c>
      <c r="C217" s="16" t="s">
        <v>20</v>
      </c>
      <c r="D217" s="16"/>
      <c r="E217" s="16"/>
      <c r="F217" s="18" t="s">
        <v>168</v>
      </c>
      <c r="G217" s="19" t="s">
        <v>22</v>
      </c>
      <c r="H217" s="19" t="s">
        <v>86</v>
      </c>
      <c r="I217" s="19" t="s">
        <v>907</v>
      </c>
      <c r="J217" s="19" t="s">
        <v>907</v>
      </c>
      <c r="K217" s="19" t="s">
        <v>907</v>
      </c>
      <c r="M217" s="19" t="s">
        <v>907</v>
      </c>
      <c r="N217" s="19"/>
      <c r="P217" s="1" t="str">
        <f t="shared" si="6"/>
        <v>311</v>
      </c>
      <c r="Q217" s="263" t="str">
        <f t="shared" si="7"/>
        <v>Shareholder Equity**</v>
      </c>
    </row>
    <row r="218" spans="1:17" x14ac:dyDescent="0.25">
      <c r="A218" s="20" t="s">
        <v>44</v>
      </c>
      <c r="B218" s="20" t="s">
        <v>20</v>
      </c>
      <c r="C218" s="20" t="s">
        <v>20</v>
      </c>
      <c r="D218" s="21" t="s">
        <v>0</v>
      </c>
      <c r="E218" s="20"/>
      <c r="F218" s="22" t="s">
        <v>167</v>
      </c>
      <c r="G218" s="23" t="s">
        <v>22</v>
      </c>
      <c r="H218" s="23" t="s">
        <v>86</v>
      </c>
      <c r="I218" s="23" t="s">
        <v>907</v>
      </c>
      <c r="J218" s="23" t="s">
        <v>907</v>
      </c>
      <c r="K218" s="23" t="s">
        <v>907</v>
      </c>
      <c r="M218" s="23" t="s">
        <v>907</v>
      </c>
      <c r="N218" s="23"/>
      <c r="P218" s="1" t="str">
        <f t="shared" si="6"/>
        <v>31101</v>
      </c>
      <c r="Q218" s="263" t="str">
        <f t="shared" si="7"/>
        <v>Shareholder Equity*</v>
      </c>
    </row>
    <row r="219" spans="1:17" x14ac:dyDescent="0.25">
      <c r="A219" s="24" t="s">
        <v>44</v>
      </c>
      <c r="B219" s="24" t="s">
        <v>20</v>
      </c>
      <c r="C219" s="24" t="s">
        <v>20</v>
      </c>
      <c r="D219" s="24" t="s">
        <v>0</v>
      </c>
      <c r="E219" s="24" t="s">
        <v>1</v>
      </c>
      <c r="F219" s="5" t="s">
        <v>848</v>
      </c>
      <c r="G219" s="2" t="s">
        <v>22</v>
      </c>
      <c r="H219" s="2" t="s">
        <v>86</v>
      </c>
      <c r="I219" s="24" t="s">
        <v>908</v>
      </c>
      <c r="J219" s="24" t="s">
        <v>908</v>
      </c>
      <c r="K219" s="24" t="s">
        <v>908</v>
      </c>
      <c r="M219" s="24" t="s">
        <v>908</v>
      </c>
      <c r="N219" s="24"/>
      <c r="P219" s="1" t="str">
        <f t="shared" si="6"/>
        <v>31101001</v>
      </c>
      <c r="Q219" s="263" t="str">
        <f t="shared" si="7"/>
        <v>Paid In Capital</v>
      </c>
    </row>
    <row r="220" spans="1:17" x14ac:dyDescent="0.25">
      <c r="A220" s="24" t="s">
        <v>44</v>
      </c>
      <c r="B220" s="24" t="s">
        <v>20</v>
      </c>
      <c r="C220" s="24" t="s">
        <v>20</v>
      </c>
      <c r="D220" s="24" t="s">
        <v>0</v>
      </c>
      <c r="E220" s="24" t="s">
        <v>3</v>
      </c>
      <c r="F220" s="4" t="s">
        <v>169</v>
      </c>
      <c r="G220" s="2" t="s">
        <v>22</v>
      </c>
      <c r="H220" s="2" t="s">
        <v>23</v>
      </c>
      <c r="I220" s="24" t="s">
        <v>908</v>
      </c>
      <c r="J220" s="24" t="s">
        <v>908</v>
      </c>
      <c r="K220" s="24" t="s">
        <v>908</v>
      </c>
      <c r="M220" s="24" t="s">
        <v>908</v>
      </c>
      <c r="N220" s="2"/>
      <c r="P220" s="1" t="str">
        <f t="shared" si="6"/>
        <v>31101002</v>
      </c>
      <c r="Q220" s="263" t="str">
        <f t="shared" si="7"/>
        <v>Withdrawal</v>
      </c>
    </row>
    <row r="221" spans="1:17" x14ac:dyDescent="0.25">
      <c r="A221" s="24" t="s">
        <v>44</v>
      </c>
      <c r="B221" s="24" t="s">
        <v>20</v>
      </c>
      <c r="C221" s="24" t="s">
        <v>20</v>
      </c>
      <c r="D221" s="24" t="s">
        <v>0</v>
      </c>
      <c r="E221" s="24" t="s">
        <v>5</v>
      </c>
      <c r="F221" s="4" t="s">
        <v>170</v>
      </c>
      <c r="G221" s="2" t="s">
        <v>22</v>
      </c>
      <c r="H221" s="2" t="s">
        <v>86</v>
      </c>
      <c r="I221" s="24" t="s">
        <v>908</v>
      </c>
      <c r="J221" s="24" t="s">
        <v>908</v>
      </c>
      <c r="K221" s="24" t="s">
        <v>908</v>
      </c>
      <c r="M221" s="24" t="s">
        <v>908</v>
      </c>
      <c r="N221" s="2"/>
      <c r="P221" s="1" t="str">
        <f t="shared" si="6"/>
        <v>31101003</v>
      </c>
      <c r="Q221" s="263" t="str">
        <f t="shared" si="7"/>
        <v>Revaluation of Fixed Assets</v>
      </c>
    </row>
    <row r="222" spans="1:17" x14ac:dyDescent="0.25">
      <c r="A222" s="20" t="s">
        <v>44</v>
      </c>
      <c r="B222" s="20" t="s">
        <v>20</v>
      </c>
      <c r="C222" s="20" t="s">
        <v>20</v>
      </c>
      <c r="D222" s="20" t="s">
        <v>2</v>
      </c>
      <c r="E222" s="20"/>
      <c r="F222" s="15" t="s">
        <v>559</v>
      </c>
      <c r="G222" s="23" t="s">
        <v>22</v>
      </c>
      <c r="H222" s="23" t="s">
        <v>86</v>
      </c>
      <c r="I222" s="20" t="s">
        <v>907</v>
      </c>
      <c r="J222" s="20" t="s">
        <v>907</v>
      </c>
      <c r="K222" s="20" t="s">
        <v>907</v>
      </c>
      <c r="M222" s="20" t="s">
        <v>907</v>
      </c>
      <c r="N222" s="20"/>
      <c r="P222" s="1" t="str">
        <f t="shared" si="6"/>
        <v>31102</v>
      </c>
      <c r="Q222" s="263" t="str">
        <f t="shared" si="7"/>
        <v>Retained Earnings*</v>
      </c>
    </row>
    <row r="223" spans="1:17" x14ac:dyDescent="0.25">
      <c r="A223" s="24" t="s">
        <v>44</v>
      </c>
      <c r="B223" s="24" t="s">
        <v>20</v>
      </c>
      <c r="C223" s="24" t="s">
        <v>20</v>
      </c>
      <c r="D223" s="24" t="s">
        <v>2</v>
      </c>
      <c r="E223" s="24" t="s">
        <v>1</v>
      </c>
      <c r="F223" s="5" t="s">
        <v>171</v>
      </c>
      <c r="G223" s="2" t="s">
        <v>22</v>
      </c>
      <c r="H223" s="2" t="s">
        <v>86</v>
      </c>
      <c r="I223" s="24" t="s">
        <v>908</v>
      </c>
      <c r="J223" s="24" t="s">
        <v>908</v>
      </c>
      <c r="K223" s="24" t="s">
        <v>908</v>
      </c>
      <c r="M223" s="24" t="s">
        <v>908</v>
      </c>
      <c r="N223" s="24"/>
      <c r="P223" s="1" t="str">
        <f t="shared" si="6"/>
        <v>31102001</v>
      </c>
      <c r="Q223" s="263" t="str">
        <f t="shared" si="7"/>
        <v>Retained Earnings</v>
      </c>
    </row>
    <row r="224" spans="1:17" x14ac:dyDescent="0.25">
      <c r="A224" s="24" t="s">
        <v>44</v>
      </c>
      <c r="B224" s="24" t="s">
        <v>20</v>
      </c>
      <c r="C224" s="24" t="s">
        <v>20</v>
      </c>
      <c r="D224" s="24" t="s">
        <v>2</v>
      </c>
      <c r="E224" s="24" t="s">
        <v>3</v>
      </c>
      <c r="F224" s="5" t="s">
        <v>172</v>
      </c>
      <c r="G224" s="2" t="s">
        <v>22</v>
      </c>
      <c r="H224" s="2" t="s">
        <v>86</v>
      </c>
      <c r="I224" s="24" t="s">
        <v>908</v>
      </c>
      <c r="J224" s="24" t="s">
        <v>908</v>
      </c>
      <c r="K224" s="24" t="s">
        <v>908</v>
      </c>
      <c r="M224" s="24" t="s">
        <v>908</v>
      </c>
      <c r="N224" s="24"/>
      <c r="P224" s="1" t="str">
        <f t="shared" si="6"/>
        <v>31102002</v>
      </c>
      <c r="Q224" s="263" t="str">
        <f t="shared" si="7"/>
        <v>Profit (Loss) Current Period</v>
      </c>
    </row>
    <row r="225" spans="1:17" x14ac:dyDescent="0.25">
      <c r="A225" s="24" t="s">
        <v>44</v>
      </c>
      <c r="B225" s="24" t="s">
        <v>20</v>
      </c>
      <c r="C225" s="24" t="s">
        <v>20</v>
      </c>
      <c r="D225" s="24" t="s">
        <v>2</v>
      </c>
      <c r="E225" s="24" t="s">
        <v>5</v>
      </c>
      <c r="F225" s="5" t="s">
        <v>104</v>
      </c>
      <c r="G225" s="2" t="s">
        <v>22</v>
      </c>
      <c r="H225" s="2" t="s">
        <v>86</v>
      </c>
      <c r="I225" s="24" t="s">
        <v>908</v>
      </c>
      <c r="J225" s="24" t="s">
        <v>908</v>
      </c>
      <c r="K225" s="24" t="s">
        <v>908</v>
      </c>
      <c r="M225" s="24" t="s">
        <v>908</v>
      </c>
      <c r="N225" s="24"/>
      <c r="P225" s="1" t="str">
        <f t="shared" si="6"/>
        <v>31102003</v>
      </c>
      <c r="Q225" s="263" t="str">
        <f t="shared" si="7"/>
        <v>Package Account (Bridge Account)</v>
      </c>
    </row>
    <row r="226" spans="1:17" x14ac:dyDescent="0.25">
      <c r="A226" s="24" t="s">
        <v>44</v>
      </c>
      <c r="B226" s="24" t="s">
        <v>20</v>
      </c>
      <c r="C226" s="24" t="s">
        <v>20</v>
      </c>
      <c r="D226" s="24" t="s">
        <v>2</v>
      </c>
      <c r="E226" s="24" t="s">
        <v>7</v>
      </c>
      <c r="F226" s="5" t="s">
        <v>849</v>
      </c>
      <c r="G226" s="2" t="s">
        <v>22</v>
      </c>
      <c r="H226" s="2" t="s">
        <v>86</v>
      </c>
      <c r="I226" s="24" t="s">
        <v>908</v>
      </c>
      <c r="J226" s="24" t="s">
        <v>908</v>
      </c>
      <c r="K226" s="24" t="s">
        <v>908</v>
      </c>
      <c r="M226" s="24" t="s">
        <v>908</v>
      </c>
      <c r="N226" s="24"/>
      <c r="P226" s="1" t="str">
        <f t="shared" si="6"/>
        <v>31102004</v>
      </c>
      <c r="Q226" s="263" t="str">
        <f t="shared" si="7"/>
        <v>Suspend Account</v>
      </c>
    </row>
    <row r="227" spans="1:17" x14ac:dyDescent="0.25">
      <c r="A227" s="8" t="s">
        <v>54</v>
      </c>
      <c r="B227" s="8"/>
      <c r="C227" s="8"/>
      <c r="D227" s="8"/>
      <c r="E227" s="8"/>
      <c r="F227" s="9" t="s">
        <v>173</v>
      </c>
      <c r="G227" s="10" t="s">
        <v>174</v>
      </c>
      <c r="H227" s="10" t="s">
        <v>86</v>
      </c>
      <c r="I227" s="10" t="s">
        <v>907</v>
      </c>
      <c r="J227" s="10" t="s">
        <v>907</v>
      </c>
      <c r="K227" s="10" t="s">
        <v>907</v>
      </c>
      <c r="M227" s="10" t="s">
        <v>907</v>
      </c>
      <c r="N227" s="10"/>
      <c r="P227" s="1" t="str">
        <f t="shared" si="6"/>
        <v>4</v>
      </c>
      <c r="Q227" s="263" t="str">
        <f t="shared" si="7"/>
        <v>REVENUE</v>
      </c>
    </row>
    <row r="228" spans="1:17" x14ac:dyDescent="0.25">
      <c r="A228" s="12" t="s">
        <v>54</v>
      </c>
      <c r="B228" s="12" t="s">
        <v>20</v>
      </c>
      <c r="C228" s="12"/>
      <c r="D228" s="12"/>
      <c r="E228" s="12"/>
      <c r="F228" s="13" t="s">
        <v>175</v>
      </c>
      <c r="G228" s="14" t="s">
        <v>174</v>
      </c>
      <c r="H228" s="14" t="s">
        <v>86</v>
      </c>
      <c r="I228" s="14" t="s">
        <v>907</v>
      </c>
      <c r="J228" s="14" t="s">
        <v>907</v>
      </c>
      <c r="K228" s="14" t="s">
        <v>907</v>
      </c>
      <c r="M228" s="14" t="s">
        <v>907</v>
      </c>
      <c r="N228" s="14"/>
      <c r="P228" s="1" t="str">
        <f t="shared" si="6"/>
        <v>41</v>
      </c>
      <c r="Q228" s="263" t="str">
        <f t="shared" si="7"/>
        <v>Revenue - Department</v>
      </c>
    </row>
    <row r="229" spans="1:17" x14ac:dyDescent="0.25">
      <c r="A229" s="16" t="s">
        <v>54</v>
      </c>
      <c r="B229" s="16" t="s">
        <v>20</v>
      </c>
      <c r="C229" s="16" t="s">
        <v>20</v>
      </c>
      <c r="D229" s="16"/>
      <c r="E229" s="16"/>
      <c r="F229" s="18" t="s">
        <v>177</v>
      </c>
      <c r="G229" s="19" t="s">
        <v>174</v>
      </c>
      <c r="H229" s="19" t="s">
        <v>86</v>
      </c>
      <c r="I229" s="19" t="s">
        <v>907</v>
      </c>
      <c r="J229" s="19" t="s">
        <v>907</v>
      </c>
      <c r="K229" s="19" t="s">
        <v>907</v>
      </c>
      <c r="M229" s="19" t="s">
        <v>907</v>
      </c>
      <c r="N229" s="19"/>
      <c r="P229" s="1" t="str">
        <f t="shared" si="6"/>
        <v>411</v>
      </c>
      <c r="Q229" s="263" t="str">
        <f t="shared" si="7"/>
        <v>Room Revenue*</v>
      </c>
    </row>
    <row r="230" spans="1:17" x14ac:dyDescent="0.25">
      <c r="A230" s="20" t="s">
        <v>54</v>
      </c>
      <c r="B230" s="20" t="s">
        <v>20</v>
      </c>
      <c r="C230" s="20" t="s">
        <v>20</v>
      </c>
      <c r="D230" s="21" t="s">
        <v>0</v>
      </c>
      <c r="E230" s="20"/>
      <c r="F230" s="22" t="s">
        <v>176</v>
      </c>
      <c r="G230" s="23" t="s">
        <v>174</v>
      </c>
      <c r="H230" s="23" t="s">
        <v>86</v>
      </c>
      <c r="I230" s="23" t="s">
        <v>907</v>
      </c>
      <c r="J230" s="23" t="s">
        <v>907</v>
      </c>
      <c r="K230" s="23" t="s">
        <v>907</v>
      </c>
      <c r="M230" s="23" t="s">
        <v>907</v>
      </c>
      <c r="N230" s="23"/>
      <c r="P230" s="1" t="str">
        <f t="shared" si="6"/>
        <v>41101</v>
      </c>
      <c r="Q230" s="263" t="str">
        <f t="shared" si="7"/>
        <v>Room Revenue</v>
      </c>
    </row>
    <row r="231" spans="1:17" x14ac:dyDescent="0.25">
      <c r="A231" s="24" t="s">
        <v>54</v>
      </c>
      <c r="B231" s="24" t="s">
        <v>20</v>
      </c>
      <c r="C231" s="24" t="s">
        <v>20</v>
      </c>
      <c r="D231" s="24" t="s">
        <v>0</v>
      </c>
      <c r="E231" s="24" t="s">
        <v>1</v>
      </c>
      <c r="F231" s="5" t="s">
        <v>178</v>
      </c>
      <c r="G231" s="2" t="s">
        <v>174</v>
      </c>
      <c r="H231" s="2" t="s">
        <v>86</v>
      </c>
      <c r="I231" s="24" t="s">
        <v>908</v>
      </c>
      <c r="J231" s="24" t="s">
        <v>908</v>
      </c>
      <c r="K231" s="24" t="s">
        <v>908</v>
      </c>
      <c r="M231" s="24" t="s">
        <v>908</v>
      </c>
      <c r="N231" s="24"/>
      <c r="P231" s="1" t="str">
        <f t="shared" si="6"/>
        <v>41101001</v>
      </c>
      <c r="Q231" s="263" t="str">
        <f t="shared" si="7"/>
        <v>RM - Room Revenue</v>
      </c>
    </row>
    <row r="232" spans="1:17" x14ac:dyDescent="0.25">
      <c r="A232" s="24" t="s">
        <v>54</v>
      </c>
      <c r="B232" s="24" t="s">
        <v>20</v>
      </c>
      <c r="C232" s="24" t="s">
        <v>20</v>
      </c>
      <c r="D232" s="24" t="s">
        <v>0</v>
      </c>
      <c r="E232" s="24" t="s">
        <v>3</v>
      </c>
      <c r="F232" s="5" t="s">
        <v>179</v>
      </c>
      <c r="G232" s="2" t="s">
        <v>174</v>
      </c>
      <c r="H232" s="2" t="s">
        <v>86</v>
      </c>
      <c r="I232" s="24" t="s">
        <v>908</v>
      </c>
      <c r="J232" s="24" t="s">
        <v>908</v>
      </c>
      <c r="K232" s="24" t="s">
        <v>908</v>
      </c>
      <c r="M232" s="24" t="s">
        <v>908</v>
      </c>
      <c r="N232" s="24"/>
      <c r="P232" s="1" t="str">
        <f t="shared" si="6"/>
        <v>41101002</v>
      </c>
      <c r="Q232" s="263" t="str">
        <f t="shared" si="7"/>
        <v>RM - Other Revenue</v>
      </c>
    </row>
    <row r="233" spans="1:17" x14ac:dyDescent="0.25">
      <c r="A233" s="24" t="s">
        <v>54</v>
      </c>
      <c r="B233" s="24" t="s">
        <v>20</v>
      </c>
      <c r="C233" s="24" t="s">
        <v>20</v>
      </c>
      <c r="D233" s="24" t="s">
        <v>0</v>
      </c>
      <c r="E233" s="24" t="s">
        <v>5</v>
      </c>
      <c r="F233" s="5" t="s">
        <v>180</v>
      </c>
      <c r="G233" s="2" t="s">
        <v>174</v>
      </c>
      <c r="H233" s="2" t="s">
        <v>23</v>
      </c>
      <c r="I233" s="24" t="s">
        <v>908</v>
      </c>
      <c r="J233" s="24" t="s">
        <v>908</v>
      </c>
      <c r="K233" s="24" t="s">
        <v>908</v>
      </c>
      <c r="M233" s="24" t="s">
        <v>908</v>
      </c>
      <c r="N233" s="24"/>
      <c r="P233" s="1" t="str">
        <f t="shared" si="6"/>
        <v>41101003</v>
      </c>
      <c r="Q233" s="263" t="str">
        <f t="shared" si="7"/>
        <v>RM - Room Discount &amp; Allowances</v>
      </c>
    </row>
    <row r="234" spans="1:17" x14ac:dyDescent="0.25">
      <c r="A234" s="16" t="s">
        <v>54</v>
      </c>
      <c r="B234" s="16" t="s">
        <v>20</v>
      </c>
      <c r="C234" s="16" t="s">
        <v>33</v>
      </c>
      <c r="D234" s="16"/>
      <c r="E234" s="16"/>
      <c r="F234" s="18" t="s">
        <v>181</v>
      </c>
      <c r="G234" s="19" t="s">
        <v>174</v>
      </c>
      <c r="H234" s="19" t="s">
        <v>86</v>
      </c>
      <c r="I234" s="19" t="s">
        <v>907</v>
      </c>
      <c r="J234" s="19" t="s">
        <v>907</v>
      </c>
      <c r="K234" s="19" t="s">
        <v>907</v>
      </c>
      <c r="M234" s="19" t="s">
        <v>907</v>
      </c>
      <c r="N234" s="19"/>
      <c r="P234" s="1" t="str">
        <f t="shared" si="6"/>
        <v>412</v>
      </c>
      <c r="Q234" s="263" t="str">
        <f t="shared" si="7"/>
        <v>Food &amp; Beverage Revenue</v>
      </c>
    </row>
    <row r="235" spans="1:17" x14ac:dyDescent="0.25">
      <c r="A235" s="20" t="s">
        <v>54</v>
      </c>
      <c r="B235" s="20" t="s">
        <v>20</v>
      </c>
      <c r="C235" s="20" t="s">
        <v>33</v>
      </c>
      <c r="D235" s="21" t="s">
        <v>0</v>
      </c>
      <c r="E235" s="20"/>
      <c r="F235" s="22" t="s">
        <v>182</v>
      </c>
      <c r="G235" s="23" t="s">
        <v>174</v>
      </c>
      <c r="H235" s="23" t="s">
        <v>86</v>
      </c>
      <c r="I235" s="23" t="s">
        <v>907</v>
      </c>
      <c r="J235" s="23" t="s">
        <v>907</v>
      </c>
      <c r="K235" s="23" t="s">
        <v>907</v>
      </c>
      <c r="M235" s="23" t="s">
        <v>907</v>
      </c>
      <c r="N235" s="23"/>
      <c r="P235" s="1" t="str">
        <f t="shared" si="6"/>
        <v>41201</v>
      </c>
      <c r="Q235" s="263" t="str">
        <f t="shared" si="7"/>
        <v>Restaurant &amp; Bar Revenue</v>
      </c>
    </row>
    <row r="236" spans="1:17" x14ac:dyDescent="0.25">
      <c r="A236" s="24" t="s">
        <v>54</v>
      </c>
      <c r="B236" s="24" t="s">
        <v>20</v>
      </c>
      <c r="C236" s="24" t="s">
        <v>33</v>
      </c>
      <c r="D236" s="24" t="s">
        <v>0</v>
      </c>
      <c r="E236" s="24" t="s">
        <v>1</v>
      </c>
      <c r="F236" s="5" t="s">
        <v>183</v>
      </c>
      <c r="G236" s="2" t="s">
        <v>174</v>
      </c>
      <c r="H236" s="2" t="s">
        <v>86</v>
      </c>
      <c r="I236" s="24" t="s">
        <v>907</v>
      </c>
      <c r="J236" s="2" t="s">
        <v>910</v>
      </c>
      <c r="K236" s="24" t="s">
        <v>908</v>
      </c>
      <c r="M236" s="2" t="s">
        <v>907</v>
      </c>
      <c r="N236" s="24"/>
      <c r="P236" s="1" t="str">
        <f t="shared" si="6"/>
        <v>41201001</v>
      </c>
      <c r="Q236" s="263" t="str">
        <f t="shared" si="7"/>
        <v>RB - Food Revenue</v>
      </c>
    </row>
    <row r="237" spans="1:17" x14ac:dyDescent="0.25">
      <c r="A237" s="24" t="s">
        <v>54</v>
      </c>
      <c r="B237" s="24" t="s">
        <v>20</v>
      </c>
      <c r="C237" s="24" t="s">
        <v>33</v>
      </c>
      <c r="D237" s="24" t="s">
        <v>0</v>
      </c>
      <c r="E237" s="24" t="s">
        <v>3</v>
      </c>
      <c r="F237" s="5" t="s">
        <v>184</v>
      </c>
      <c r="G237" s="2" t="s">
        <v>174</v>
      </c>
      <c r="H237" s="2" t="s">
        <v>86</v>
      </c>
      <c r="I237" s="24" t="s">
        <v>907</v>
      </c>
      <c r="J237" s="2" t="s">
        <v>910</v>
      </c>
      <c r="K237" s="24" t="s">
        <v>908</v>
      </c>
      <c r="M237" s="2" t="s">
        <v>907</v>
      </c>
      <c r="N237" s="24"/>
      <c r="P237" s="1" t="str">
        <f t="shared" si="6"/>
        <v>41201002</v>
      </c>
      <c r="Q237" s="263" t="str">
        <f t="shared" si="7"/>
        <v>RB - Beverage Revenue</v>
      </c>
    </row>
    <row r="238" spans="1:17" x14ac:dyDescent="0.25">
      <c r="A238" s="24" t="s">
        <v>54</v>
      </c>
      <c r="B238" s="24" t="s">
        <v>20</v>
      </c>
      <c r="C238" s="24" t="s">
        <v>33</v>
      </c>
      <c r="D238" s="24" t="s">
        <v>0</v>
      </c>
      <c r="E238" s="24" t="s">
        <v>5</v>
      </c>
      <c r="F238" s="5" t="s">
        <v>897</v>
      </c>
      <c r="G238" s="2" t="s">
        <v>174</v>
      </c>
      <c r="H238" s="2" t="s">
        <v>86</v>
      </c>
      <c r="I238" s="24" t="s">
        <v>908</v>
      </c>
      <c r="J238" s="2" t="s">
        <v>910</v>
      </c>
      <c r="K238" s="24" t="s">
        <v>907</v>
      </c>
      <c r="M238" s="2" t="s">
        <v>908</v>
      </c>
      <c r="N238" s="24"/>
      <c r="P238" s="1" t="str">
        <f t="shared" si="6"/>
        <v>41201003</v>
      </c>
      <c r="Q238" s="263" t="str">
        <f t="shared" si="7"/>
        <v>RB - Breakfast Catering</v>
      </c>
    </row>
    <row r="239" spans="1:17" x14ac:dyDescent="0.25">
      <c r="A239" s="24" t="s">
        <v>54</v>
      </c>
      <c r="B239" s="24" t="s">
        <v>20</v>
      </c>
      <c r="C239" s="24" t="s">
        <v>33</v>
      </c>
      <c r="D239" s="24" t="s">
        <v>0</v>
      </c>
      <c r="E239" s="24" t="s">
        <v>7</v>
      </c>
      <c r="F239" s="5" t="s">
        <v>185</v>
      </c>
      <c r="G239" s="2" t="s">
        <v>174</v>
      </c>
      <c r="H239" s="2" t="s">
        <v>86</v>
      </c>
      <c r="I239" s="24" t="s">
        <v>907</v>
      </c>
      <c r="J239" s="2" t="s">
        <v>910</v>
      </c>
      <c r="K239" s="24" t="s">
        <v>908</v>
      </c>
      <c r="M239" s="2" t="s">
        <v>907</v>
      </c>
      <c r="N239" s="24"/>
      <c r="P239" s="1" t="str">
        <f t="shared" si="6"/>
        <v>41201004</v>
      </c>
      <c r="Q239" s="263" t="str">
        <f t="shared" si="7"/>
        <v>RB - Other Revenue</v>
      </c>
    </row>
    <row r="240" spans="1:17" x14ac:dyDescent="0.25">
      <c r="A240" s="24" t="s">
        <v>54</v>
      </c>
      <c r="B240" s="24" t="s">
        <v>20</v>
      </c>
      <c r="C240" s="24" t="s">
        <v>33</v>
      </c>
      <c r="D240" s="24" t="s">
        <v>0</v>
      </c>
      <c r="E240" s="24" t="s">
        <v>9</v>
      </c>
      <c r="F240" s="5" t="s">
        <v>186</v>
      </c>
      <c r="G240" s="2" t="s">
        <v>174</v>
      </c>
      <c r="H240" s="2" t="s">
        <v>23</v>
      </c>
      <c r="I240" s="24" t="s">
        <v>907</v>
      </c>
      <c r="J240" s="2" t="s">
        <v>910</v>
      </c>
      <c r="K240" s="24" t="s">
        <v>908</v>
      </c>
      <c r="M240" s="2" t="s">
        <v>907</v>
      </c>
      <c r="N240" s="24"/>
      <c r="P240" s="1" t="str">
        <f t="shared" si="6"/>
        <v>41201005</v>
      </c>
      <c r="Q240" s="263" t="str">
        <f t="shared" si="7"/>
        <v>RB - Food Discount &amp; Allowances</v>
      </c>
    </row>
    <row r="241" spans="1:17" x14ac:dyDescent="0.25">
      <c r="A241" s="24" t="s">
        <v>54</v>
      </c>
      <c r="B241" s="24" t="s">
        <v>20</v>
      </c>
      <c r="C241" s="24" t="s">
        <v>33</v>
      </c>
      <c r="D241" s="24" t="s">
        <v>0</v>
      </c>
      <c r="E241" s="24" t="s">
        <v>9</v>
      </c>
      <c r="F241" s="5" t="s">
        <v>187</v>
      </c>
      <c r="G241" s="2" t="s">
        <v>174</v>
      </c>
      <c r="H241" s="2" t="s">
        <v>23</v>
      </c>
      <c r="I241" s="24" t="s">
        <v>907</v>
      </c>
      <c r="J241" s="2" t="s">
        <v>910</v>
      </c>
      <c r="K241" s="24" t="s">
        <v>908</v>
      </c>
      <c r="M241" s="2" t="s">
        <v>907</v>
      </c>
      <c r="N241" s="24"/>
      <c r="P241" s="1" t="str">
        <f t="shared" si="6"/>
        <v>41201005</v>
      </c>
      <c r="Q241" s="263" t="str">
        <f t="shared" si="7"/>
        <v>RB - Beverage Discount &amp; Allowances</v>
      </c>
    </row>
    <row r="242" spans="1:17" x14ac:dyDescent="0.25">
      <c r="A242" s="20" t="s">
        <v>54</v>
      </c>
      <c r="B242" s="20" t="s">
        <v>20</v>
      </c>
      <c r="C242" s="20" t="s">
        <v>33</v>
      </c>
      <c r="D242" s="21" t="s">
        <v>2</v>
      </c>
      <c r="E242" s="20"/>
      <c r="F242" s="22" t="s">
        <v>188</v>
      </c>
      <c r="G242" s="23" t="s">
        <v>174</v>
      </c>
      <c r="H242" s="23" t="s">
        <v>86</v>
      </c>
      <c r="I242" s="23" t="s">
        <v>907</v>
      </c>
      <c r="J242" s="23" t="s">
        <v>907</v>
      </c>
      <c r="K242" s="23" t="s">
        <v>907</v>
      </c>
      <c r="M242" s="23" t="s">
        <v>907</v>
      </c>
      <c r="N242" s="23"/>
      <c r="P242" s="1" t="str">
        <f t="shared" si="6"/>
        <v>41202</v>
      </c>
      <c r="Q242" s="263" t="str">
        <f t="shared" si="7"/>
        <v>Bar &amp; Lounge Revenue</v>
      </c>
    </row>
    <row r="243" spans="1:17" x14ac:dyDescent="0.25">
      <c r="A243" s="24" t="s">
        <v>54</v>
      </c>
      <c r="B243" s="24" t="s">
        <v>20</v>
      </c>
      <c r="C243" s="24" t="s">
        <v>33</v>
      </c>
      <c r="D243" s="24" t="s">
        <v>2</v>
      </c>
      <c r="E243" s="24" t="s">
        <v>1</v>
      </c>
      <c r="F243" s="5" t="s">
        <v>189</v>
      </c>
      <c r="G243" s="2" t="s">
        <v>174</v>
      </c>
      <c r="H243" s="2" t="s">
        <v>86</v>
      </c>
      <c r="I243" s="24" t="s">
        <v>907</v>
      </c>
      <c r="J243" s="2" t="s">
        <v>910</v>
      </c>
      <c r="K243" s="24" t="s">
        <v>908</v>
      </c>
      <c r="M243" s="2" t="s">
        <v>907</v>
      </c>
      <c r="N243" s="24"/>
      <c r="P243" s="1" t="str">
        <f t="shared" si="6"/>
        <v>41202001</v>
      </c>
      <c r="Q243" s="263" t="str">
        <f t="shared" si="7"/>
        <v>BL - Food Revenue</v>
      </c>
    </row>
    <row r="244" spans="1:17" x14ac:dyDescent="0.25">
      <c r="A244" s="24" t="s">
        <v>54</v>
      </c>
      <c r="B244" s="24" t="s">
        <v>20</v>
      </c>
      <c r="C244" s="24" t="s">
        <v>33</v>
      </c>
      <c r="D244" s="24" t="s">
        <v>2</v>
      </c>
      <c r="E244" s="24" t="s">
        <v>3</v>
      </c>
      <c r="F244" s="5" t="s">
        <v>190</v>
      </c>
      <c r="G244" s="2" t="s">
        <v>174</v>
      </c>
      <c r="H244" s="2" t="s">
        <v>86</v>
      </c>
      <c r="I244" s="24" t="s">
        <v>907</v>
      </c>
      <c r="J244" s="2" t="s">
        <v>910</v>
      </c>
      <c r="K244" s="24" t="s">
        <v>908</v>
      </c>
      <c r="M244" s="2" t="s">
        <v>907</v>
      </c>
      <c r="N244" s="24"/>
      <c r="P244" s="1" t="str">
        <f t="shared" si="6"/>
        <v>41202002</v>
      </c>
      <c r="Q244" s="263" t="str">
        <f t="shared" si="7"/>
        <v>BL - Beverage Revenue</v>
      </c>
    </row>
    <row r="245" spans="1:17" x14ac:dyDescent="0.25">
      <c r="A245" s="24" t="s">
        <v>54</v>
      </c>
      <c r="B245" s="24" t="s">
        <v>20</v>
      </c>
      <c r="C245" s="24" t="s">
        <v>33</v>
      </c>
      <c r="D245" s="24" t="s">
        <v>2</v>
      </c>
      <c r="E245" s="24" t="s">
        <v>5</v>
      </c>
      <c r="F245" s="5" t="s">
        <v>191</v>
      </c>
      <c r="G245" s="2" t="s">
        <v>174</v>
      </c>
      <c r="H245" s="2" t="s">
        <v>86</v>
      </c>
      <c r="I245" s="24" t="s">
        <v>907</v>
      </c>
      <c r="J245" s="2" t="s">
        <v>910</v>
      </c>
      <c r="K245" s="24" t="s">
        <v>908</v>
      </c>
      <c r="M245" s="2" t="s">
        <v>907</v>
      </c>
      <c r="N245" s="24"/>
      <c r="P245" s="1" t="str">
        <f t="shared" si="6"/>
        <v>41202003</v>
      </c>
      <c r="Q245" s="263" t="str">
        <f t="shared" si="7"/>
        <v>BL - Other Revenue</v>
      </c>
    </row>
    <row r="246" spans="1:17" x14ac:dyDescent="0.25">
      <c r="A246" s="24" t="s">
        <v>54</v>
      </c>
      <c r="B246" s="24" t="s">
        <v>20</v>
      </c>
      <c r="C246" s="24" t="s">
        <v>33</v>
      </c>
      <c r="D246" s="24" t="s">
        <v>2</v>
      </c>
      <c r="E246" s="24" t="s">
        <v>7</v>
      </c>
      <c r="F246" s="5" t="s">
        <v>192</v>
      </c>
      <c r="G246" s="2" t="s">
        <v>174</v>
      </c>
      <c r="H246" s="2" t="s">
        <v>23</v>
      </c>
      <c r="I246" s="24" t="s">
        <v>907</v>
      </c>
      <c r="J246" s="2" t="s">
        <v>910</v>
      </c>
      <c r="K246" s="24" t="s">
        <v>908</v>
      </c>
      <c r="M246" s="2" t="s">
        <v>907</v>
      </c>
      <c r="N246" s="24"/>
      <c r="P246" s="1" t="str">
        <f t="shared" si="6"/>
        <v>41202004</v>
      </c>
      <c r="Q246" s="263" t="str">
        <f t="shared" si="7"/>
        <v>BL - Food Discount &amp; Allowances</v>
      </c>
    </row>
    <row r="247" spans="1:17" x14ac:dyDescent="0.25">
      <c r="A247" s="24" t="s">
        <v>54</v>
      </c>
      <c r="B247" s="24" t="s">
        <v>20</v>
      </c>
      <c r="C247" s="24" t="s">
        <v>33</v>
      </c>
      <c r="D247" s="24" t="s">
        <v>2</v>
      </c>
      <c r="E247" s="24" t="s">
        <v>9</v>
      </c>
      <c r="F247" s="5" t="s">
        <v>193</v>
      </c>
      <c r="G247" s="2" t="s">
        <v>174</v>
      </c>
      <c r="H247" s="2" t="s">
        <v>23</v>
      </c>
      <c r="I247" s="24" t="s">
        <v>907</v>
      </c>
      <c r="J247" s="2" t="s">
        <v>910</v>
      </c>
      <c r="K247" s="24" t="s">
        <v>908</v>
      </c>
      <c r="M247" s="2" t="s">
        <v>907</v>
      </c>
      <c r="N247" s="24"/>
      <c r="P247" s="1" t="str">
        <f t="shared" si="6"/>
        <v>41202005</v>
      </c>
      <c r="Q247" s="263" t="str">
        <f t="shared" si="7"/>
        <v>BL - Beverage Discount &amp; Allowances</v>
      </c>
    </row>
    <row r="248" spans="1:17" x14ac:dyDescent="0.25">
      <c r="A248" s="20" t="s">
        <v>54</v>
      </c>
      <c r="B248" s="20" t="s">
        <v>20</v>
      </c>
      <c r="C248" s="20" t="s">
        <v>33</v>
      </c>
      <c r="D248" s="20" t="s">
        <v>4</v>
      </c>
      <c r="E248" s="20"/>
      <c r="F248" s="22" t="s">
        <v>194</v>
      </c>
      <c r="G248" s="23" t="s">
        <v>174</v>
      </c>
      <c r="H248" s="23" t="s">
        <v>86</v>
      </c>
      <c r="I248" s="23" t="s">
        <v>907</v>
      </c>
      <c r="J248" s="23" t="s">
        <v>907</v>
      </c>
      <c r="K248" s="23" t="s">
        <v>907</v>
      </c>
      <c r="M248" s="23" t="s">
        <v>907</v>
      </c>
      <c r="N248" s="23"/>
      <c r="P248" s="1" t="str">
        <f t="shared" si="6"/>
        <v>41203</v>
      </c>
      <c r="Q248" s="263" t="str">
        <f t="shared" si="7"/>
        <v>Banquet &amp; Meeting Package Revenue</v>
      </c>
    </row>
    <row r="249" spans="1:17" x14ac:dyDescent="0.25">
      <c r="A249" s="24" t="s">
        <v>54</v>
      </c>
      <c r="B249" s="24" t="s">
        <v>20</v>
      </c>
      <c r="C249" s="24" t="s">
        <v>33</v>
      </c>
      <c r="D249" s="24" t="s">
        <v>4</v>
      </c>
      <c r="E249" s="24" t="s">
        <v>1</v>
      </c>
      <c r="F249" s="5" t="s">
        <v>195</v>
      </c>
      <c r="G249" s="2" t="s">
        <v>174</v>
      </c>
      <c r="H249" s="2" t="s">
        <v>86</v>
      </c>
      <c r="I249" s="24" t="s">
        <v>908</v>
      </c>
      <c r="J249" s="24" t="s">
        <v>908</v>
      </c>
      <c r="K249" s="24" t="s">
        <v>908</v>
      </c>
      <c r="M249" s="24" t="s">
        <v>908</v>
      </c>
      <c r="N249" s="24"/>
      <c r="P249" s="1" t="str">
        <f t="shared" si="6"/>
        <v>41203001</v>
      </c>
      <c r="Q249" s="263" t="str">
        <f t="shared" si="7"/>
        <v>BQ - Banquet Revenue</v>
      </c>
    </row>
    <row r="250" spans="1:17" x14ac:dyDescent="0.25">
      <c r="A250" s="24" t="s">
        <v>54</v>
      </c>
      <c r="B250" s="24" t="s">
        <v>20</v>
      </c>
      <c r="C250" s="24" t="s">
        <v>33</v>
      </c>
      <c r="D250" s="24" t="s">
        <v>4</v>
      </c>
      <c r="E250" s="24" t="s">
        <v>3</v>
      </c>
      <c r="F250" s="5" t="s">
        <v>196</v>
      </c>
      <c r="G250" s="2" t="s">
        <v>174</v>
      </c>
      <c r="H250" s="2" t="s">
        <v>86</v>
      </c>
      <c r="I250" s="24" t="s">
        <v>908</v>
      </c>
      <c r="J250" s="24" t="s">
        <v>908</v>
      </c>
      <c r="K250" s="24" t="s">
        <v>908</v>
      </c>
      <c r="M250" s="24" t="s">
        <v>908</v>
      </c>
      <c r="N250" s="24"/>
      <c r="P250" s="1" t="str">
        <f t="shared" si="6"/>
        <v>41203002</v>
      </c>
      <c r="Q250" s="263" t="str">
        <f t="shared" si="7"/>
        <v>BQ - Meeting Package Revenue</v>
      </c>
    </row>
    <row r="251" spans="1:17" x14ac:dyDescent="0.25">
      <c r="A251" s="24" t="s">
        <v>54</v>
      </c>
      <c r="B251" s="24" t="s">
        <v>20</v>
      </c>
      <c r="C251" s="24" t="s">
        <v>33</v>
      </c>
      <c r="D251" s="24" t="s">
        <v>4</v>
      </c>
      <c r="E251" s="24" t="s">
        <v>5</v>
      </c>
      <c r="F251" s="5" t="s">
        <v>197</v>
      </c>
      <c r="G251" s="2" t="s">
        <v>174</v>
      </c>
      <c r="H251" s="2" t="s">
        <v>86</v>
      </c>
      <c r="I251" s="24" t="s">
        <v>908</v>
      </c>
      <c r="J251" s="24" t="s">
        <v>908</v>
      </c>
      <c r="K251" s="24" t="s">
        <v>908</v>
      </c>
      <c r="M251" s="24" t="s">
        <v>908</v>
      </c>
      <c r="N251" s="24"/>
      <c r="P251" s="1" t="str">
        <f t="shared" si="6"/>
        <v>41203003</v>
      </c>
      <c r="Q251" s="263" t="str">
        <f t="shared" si="7"/>
        <v>BQ - Other Revenue</v>
      </c>
    </row>
    <row r="252" spans="1:17" x14ac:dyDescent="0.25">
      <c r="A252" s="24" t="s">
        <v>54</v>
      </c>
      <c r="B252" s="24" t="s">
        <v>20</v>
      </c>
      <c r="C252" s="24" t="s">
        <v>33</v>
      </c>
      <c r="D252" s="24" t="s">
        <v>4</v>
      </c>
      <c r="E252" s="24" t="s">
        <v>7</v>
      </c>
      <c r="F252" s="5" t="s">
        <v>198</v>
      </c>
      <c r="G252" s="2" t="s">
        <v>174</v>
      </c>
      <c r="H252" s="2" t="s">
        <v>23</v>
      </c>
      <c r="I252" s="24" t="s">
        <v>908</v>
      </c>
      <c r="J252" s="24" t="s">
        <v>908</v>
      </c>
      <c r="K252" s="24" t="s">
        <v>908</v>
      </c>
      <c r="M252" s="24" t="s">
        <v>908</v>
      </c>
      <c r="N252" s="24"/>
      <c r="P252" s="1" t="str">
        <f t="shared" si="6"/>
        <v>41203004</v>
      </c>
      <c r="Q252" s="263" t="str">
        <f t="shared" si="7"/>
        <v>BQ - Banquet Discount &amp; Allowances</v>
      </c>
    </row>
    <row r="253" spans="1:17" x14ac:dyDescent="0.25">
      <c r="A253" s="24" t="s">
        <v>54</v>
      </c>
      <c r="B253" s="24" t="s">
        <v>20</v>
      </c>
      <c r="C253" s="24" t="s">
        <v>33</v>
      </c>
      <c r="D253" s="24" t="s">
        <v>4</v>
      </c>
      <c r="E253" s="24" t="s">
        <v>9</v>
      </c>
      <c r="F253" s="5" t="s">
        <v>199</v>
      </c>
      <c r="G253" s="2" t="s">
        <v>174</v>
      </c>
      <c r="H253" s="2" t="s">
        <v>23</v>
      </c>
      <c r="I253" s="24" t="s">
        <v>908</v>
      </c>
      <c r="J253" s="24" t="s">
        <v>908</v>
      </c>
      <c r="K253" s="24" t="s">
        <v>908</v>
      </c>
      <c r="M253" s="24" t="s">
        <v>908</v>
      </c>
      <c r="N253" s="24"/>
      <c r="P253" s="1" t="str">
        <f t="shared" si="6"/>
        <v>41203005</v>
      </c>
      <c r="Q253" s="263" t="str">
        <f t="shared" si="7"/>
        <v>BQ - Meeting Package Discount &amp; Allowances</v>
      </c>
    </row>
    <row r="254" spans="1:17" x14ac:dyDescent="0.25">
      <c r="A254" s="16" t="s">
        <v>54</v>
      </c>
      <c r="B254" s="16" t="s">
        <v>20</v>
      </c>
      <c r="C254" s="16" t="s">
        <v>44</v>
      </c>
      <c r="D254" s="16"/>
      <c r="E254" s="16"/>
      <c r="F254" s="18" t="s">
        <v>200</v>
      </c>
      <c r="G254" s="19" t="s">
        <v>174</v>
      </c>
      <c r="H254" s="19" t="s">
        <v>86</v>
      </c>
      <c r="I254" s="19" t="s">
        <v>907</v>
      </c>
      <c r="J254" s="19" t="s">
        <v>907</v>
      </c>
      <c r="K254" s="19" t="s">
        <v>907</v>
      </c>
      <c r="M254" s="19" t="s">
        <v>907</v>
      </c>
      <c r="N254" s="19"/>
      <c r="P254" s="1" t="str">
        <f t="shared" si="6"/>
        <v>413</v>
      </c>
      <c r="Q254" s="263" t="str">
        <f t="shared" si="7"/>
        <v>Other Revenue</v>
      </c>
    </row>
    <row r="255" spans="1:17" x14ac:dyDescent="0.25">
      <c r="A255" s="20" t="s">
        <v>54</v>
      </c>
      <c r="B255" s="20" t="s">
        <v>20</v>
      </c>
      <c r="C255" s="20" t="s">
        <v>44</v>
      </c>
      <c r="D255" s="21" t="s">
        <v>0</v>
      </c>
      <c r="E255" s="20"/>
      <c r="F255" s="22" t="s">
        <v>201</v>
      </c>
      <c r="G255" s="23" t="s">
        <v>174</v>
      </c>
      <c r="H255" s="23" t="s">
        <v>86</v>
      </c>
      <c r="I255" s="23" t="s">
        <v>907</v>
      </c>
      <c r="J255" s="23" t="s">
        <v>907</v>
      </c>
      <c r="K255" s="23" t="s">
        <v>907</v>
      </c>
      <c r="M255" s="23" t="s">
        <v>907</v>
      </c>
      <c r="N255" s="23"/>
      <c r="P255" s="1" t="str">
        <f t="shared" si="6"/>
        <v>41301</v>
      </c>
      <c r="Q255" s="263" t="str">
        <f t="shared" si="7"/>
        <v>Other Operating Revenue</v>
      </c>
    </row>
    <row r="256" spans="1:17" x14ac:dyDescent="0.25">
      <c r="A256" s="24" t="s">
        <v>54</v>
      </c>
      <c r="B256" s="24" t="s">
        <v>20</v>
      </c>
      <c r="C256" s="24" t="s">
        <v>44</v>
      </c>
      <c r="D256" s="24" t="s">
        <v>0</v>
      </c>
      <c r="E256" s="24" t="s">
        <v>1</v>
      </c>
      <c r="F256" s="5" t="s">
        <v>202</v>
      </c>
      <c r="G256" s="2" t="s">
        <v>174</v>
      </c>
      <c r="H256" s="2" t="s">
        <v>86</v>
      </c>
      <c r="I256" s="24" t="s">
        <v>908</v>
      </c>
      <c r="J256" s="24" t="s">
        <v>908</v>
      </c>
      <c r="K256" s="24" t="s">
        <v>908</v>
      </c>
      <c r="M256" s="24" t="s">
        <v>908</v>
      </c>
      <c r="N256" s="24"/>
      <c r="P256" s="1" t="str">
        <f t="shared" si="6"/>
        <v>41301001</v>
      </c>
      <c r="Q256" s="263" t="str">
        <f t="shared" si="7"/>
        <v>OT - Business Center</v>
      </c>
    </row>
    <row r="257" spans="1:17" x14ac:dyDescent="0.25">
      <c r="A257" s="24" t="s">
        <v>54</v>
      </c>
      <c r="B257" s="24" t="s">
        <v>20</v>
      </c>
      <c r="C257" s="24" t="s">
        <v>44</v>
      </c>
      <c r="D257" s="24" t="s">
        <v>0</v>
      </c>
      <c r="E257" s="24" t="s">
        <v>3</v>
      </c>
      <c r="F257" s="5" t="s">
        <v>203</v>
      </c>
      <c r="G257" s="2" t="s">
        <v>174</v>
      </c>
      <c r="H257" s="2" t="s">
        <v>86</v>
      </c>
      <c r="I257" s="24" t="s">
        <v>908</v>
      </c>
      <c r="J257" s="24" t="s">
        <v>908</v>
      </c>
      <c r="K257" s="24" t="s">
        <v>908</v>
      </c>
      <c r="M257" s="24" t="s">
        <v>908</v>
      </c>
      <c r="N257" s="24"/>
      <c r="P257" s="1" t="str">
        <f t="shared" si="6"/>
        <v>41301002</v>
      </c>
      <c r="Q257" s="263" t="str">
        <f t="shared" si="7"/>
        <v>OT - Car Rental &amp; Transportation</v>
      </c>
    </row>
    <row r="258" spans="1:17" x14ac:dyDescent="0.25">
      <c r="A258" s="24" t="s">
        <v>54</v>
      </c>
      <c r="B258" s="24" t="s">
        <v>20</v>
      </c>
      <c r="C258" s="24" t="s">
        <v>44</v>
      </c>
      <c r="D258" s="24" t="s">
        <v>0</v>
      </c>
      <c r="E258" s="24" t="s">
        <v>5</v>
      </c>
      <c r="F258" s="5" t="s">
        <v>204</v>
      </c>
      <c r="G258" s="2" t="s">
        <v>174</v>
      </c>
      <c r="H258" s="2" t="s">
        <v>86</v>
      </c>
      <c r="I258" s="24" t="s">
        <v>908</v>
      </c>
      <c r="J258" s="24" t="s">
        <v>908</v>
      </c>
      <c r="K258" s="24" t="s">
        <v>908</v>
      </c>
      <c r="M258" s="24" t="s">
        <v>908</v>
      </c>
      <c r="N258" s="24"/>
      <c r="P258" s="1" t="str">
        <f t="shared" si="6"/>
        <v>41301003</v>
      </c>
      <c r="Q258" s="263" t="str">
        <f t="shared" si="7"/>
        <v>OT - Guest Laundry &amp; Dry Cleaning</v>
      </c>
    </row>
    <row r="259" spans="1:17" x14ac:dyDescent="0.25">
      <c r="A259" s="24" t="s">
        <v>54</v>
      </c>
      <c r="B259" s="24" t="s">
        <v>20</v>
      </c>
      <c r="C259" s="24" t="s">
        <v>44</v>
      </c>
      <c r="D259" s="24" t="s">
        <v>0</v>
      </c>
      <c r="E259" s="24" t="s">
        <v>7</v>
      </c>
      <c r="F259" s="5" t="s">
        <v>850</v>
      </c>
      <c r="G259" s="2" t="s">
        <v>174</v>
      </c>
      <c r="H259" s="2" t="s">
        <v>86</v>
      </c>
      <c r="I259" s="24" t="s">
        <v>907</v>
      </c>
      <c r="J259" s="24" t="s">
        <v>910</v>
      </c>
      <c r="K259" s="24" t="s">
        <v>910</v>
      </c>
      <c r="M259" s="24" t="s">
        <v>907</v>
      </c>
      <c r="N259" s="24"/>
      <c r="P259" s="1" t="str">
        <f t="shared" si="6"/>
        <v>41301004</v>
      </c>
      <c r="Q259" s="263" t="str">
        <f t="shared" si="7"/>
        <v>OT - Spa</v>
      </c>
    </row>
    <row r="260" spans="1:17" x14ac:dyDescent="0.25">
      <c r="A260" s="24" t="s">
        <v>54</v>
      </c>
      <c r="B260" s="24" t="s">
        <v>20</v>
      </c>
      <c r="C260" s="24" t="s">
        <v>44</v>
      </c>
      <c r="D260" s="24" t="s">
        <v>0</v>
      </c>
      <c r="E260" s="24" t="s">
        <v>9</v>
      </c>
      <c r="F260" s="5" t="s">
        <v>387</v>
      </c>
      <c r="G260" s="2" t="s">
        <v>174</v>
      </c>
      <c r="H260" s="2" t="s">
        <v>86</v>
      </c>
      <c r="I260" s="24" t="s">
        <v>908</v>
      </c>
      <c r="J260" s="24" t="s">
        <v>908</v>
      </c>
      <c r="K260" s="24" t="s">
        <v>908</v>
      </c>
      <c r="M260" s="24" t="s">
        <v>908</v>
      </c>
      <c r="N260" s="24"/>
      <c r="P260" s="1" t="str">
        <f t="shared" si="6"/>
        <v>41301005</v>
      </c>
      <c r="Q260" s="263" t="str">
        <f t="shared" si="7"/>
        <v>OT - Telephone &amp; Fax</v>
      </c>
    </row>
    <row r="261" spans="1:17" x14ac:dyDescent="0.25">
      <c r="A261" s="24" t="s">
        <v>54</v>
      </c>
      <c r="B261" s="24" t="s">
        <v>20</v>
      </c>
      <c r="C261" s="24" t="s">
        <v>44</v>
      </c>
      <c r="D261" s="24" t="s">
        <v>0</v>
      </c>
      <c r="E261" s="24" t="s">
        <v>10</v>
      </c>
      <c r="F261" s="5" t="s">
        <v>902</v>
      </c>
      <c r="G261" s="2" t="s">
        <v>174</v>
      </c>
      <c r="H261" s="2" t="s">
        <v>86</v>
      </c>
      <c r="I261" s="24" t="s">
        <v>907</v>
      </c>
      <c r="J261" s="24" t="s">
        <v>910</v>
      </c>
      <c r="K261" s="24" t="s">
        <v>910</v>
      </c>
      <c r="M261" s="24" t="s">
        <v>907</v>
      </c>
      <c r="N261" s="24"/>
      <c r="P261" s="1" t="str">
        <f t="shared" ref="P261:P324" si="8">CONCATENATE(A261,B261,C261,D261,E261)</f>
        <v>41301006</v>
      </c>
      <c r="Q261" s="263" t="str">
        <f t="shared" si="7"/>
        <v>OT - Sport &amp; Recreation</v>
      </c>
    </row>
    <row r="262" spans="1:17" x14ac:dyDescent="0.25">
      <c r="A262" s="24" t="s">
        <v>54</v>
      </c>
      <c r="B262" s="24" t="s">
        <v>20</v>
      </c>
      <c r="C262" s="24" t="s">
        <v>44</v>
      </c>
      <c r="D262" s="24" t="s">
        <v>0</v>
      </c>
      <c r="E262" s="24" t="s">
        <v>11</v>
      </c>
      <c r="F262" s="5" t="s">
        <v>851</v>
      </c>
      <c r="G262" s="2" t="s">
        <v>174</v>
      </c>
      <c r="H262" s="2" t="s">
        <v>86</v>
      </c>
      <c r="I262" s="24" t="s">
        <v>910</v>
      </c>
      <c r="J262" s="24" t="s">
        <v>910</v>
      </c>
      <c r="K262" s="24" t="s">
        <v>910</v>
      </c>
      <c r="M262" s="24" t="s">
        <v>907</v>
      </c>
      <c r="N262" s="24"/>
      <c r="P262" s="1" t="str">
        <f t="shared" si="8"/>
        <v>41301007</v>
      </c>
      <c r="Q262" s="263" t="str">
        <f t="shared" si="7"/>
        <v>OT - Space Rented</v>
      </c>
    </row>
    <row r="263" spans="1:17" x14ac:dyDescent="0.25">
      <c r="A263" s="24" t="s">
        <v>54</v>
      </c>
      <c r="B263" s="24" t="s">
        <v>20</v>
      </c>
      <c r="C263" s="24" t="s">
        <v>44</v>
      </c>
      <c r="D263" s="24" t="s">
        <v>0</v>
      </c>
      <c r="E263" s="24" t="s">
        <v>13</v>
      </c>
      <c r="F263" s="5" t="s">
        <v>531</v>
      </c>
      <c r="G263" s="2" t="s">
        <v>174</v>
      </c>
      <c r="H263" s="2" t="s">
        <v>23</v>
      </c>
      <c r="I263" s="24" t="s">
        <v>908</v>
      </c>
      <c r="J263" s="24" t="s">
        <v>908</v>
      </c>
      <c r="K263" s="24" t="s">
        <v>908</v>
      </c>
      <c r="M263" s="24" t="s">
        <v>908</v>
      </c>
      <c r="N263" s="24"/>
      <c r="P263" s="1" t="str">
        <f t="shared" si="8"/>
        <v>41301008</v>
      </c>
      <c r="Q263" s="263" t="str">
        <f t="shared" si="7"/>
        <v>OT - Business Center Discount &amp; Allowances</v>
      </c>
    </row>
    <row r="264" spans="1:17" x14ac:dyDescent="0.25">
      <c r="A264" s="24" t="s">
        <v>54</v>
      </c>
      <c r="B264" s="24" t="s">
        <v>20</v>
      </c>
      <c r="C264" s="24" t="s">
        <v>44</v>
      </c>
      <c r="D264" s="24" t="s">
        <v>0</v>
      </c>
      <c r="E264" s="24" t="s">
        <v>15</v>
      </c>
      <c r="F264" s="5" t="s">
        <v>532</v>
      </c>
      <c r="G264" s="2" t="s">
        <v>174</v>
      </c>
      <c r="H264" s="2" t="s">
        <v>23</v>
      </c>
      <c r="I264" s="24" t="s">
        <v>908</v>
      </c>
      <c r="J264" s="24" t="s">
        <v>908</v>
      </c>
      <c r="K264" s="24" t="s">
        <v>908</v>
      </c>
      <c r="M264" s="24" t="s">
        <v>908</v>
      </c>
      <c r="N264" s="24"/>
      <c r="P264" s="1" t="str">
        <f t="shared" si="8"/>
        <v>41301009</v>
      </c>
      <c r="Q264" s="263" t="str">
        <f t="shared" si="7"/>
        <v>OT - Car Rental &amp; Transportation Discount &amp; Allowances</v>
      </c>
    </row>
    <row r="265" spans="1:17" x14ac:dyDescent="0.25">
      <c r="A265" s="24" t="s">
        <v>54</v>
      </c>
      <c r="B265" s="24" t="s">
        <v>20</v>
      </c>
      <c r="C265" s="24" t="s">
        <v>44</v>
      </c>
      <c r="D265" s="24" t="s">
        <v>0</v>
      </c>
      <c r="E265" s="24" t="s">
        <v>238</v>
      </c>
      <c r="F265" s="5" t="s">
        <v>533</v>
      </c>
      <c r="G265" s="2" t="s">
        <v>174</v>
      </c>
      <c r="H265" s="2" t="s">
        <v>23</v>
      </c>
      <c r="I265" s="24" t="s">
        <v>908</v>
      </c>
      <c r="J265" s="24" t="s">
        <v>908</v>
      </c>
      <c r="K265" s="24" t="s">
        <v>908</v>
      </c>
      <c r="M265" s="24" t="s">
        <v>908</v>
      </c>
      <c r="N265" s="24"/>
      <c r="P265" s="1" t="str">
        <f t="shared" si="8"/>
        <v>41301010</v>
      </c>
      <c r="Q265" s="263" t="str">
        <f t="shared" ref="Q265:Q328" si="9">F265</f>
        <v>OT - Guest Laundry &amp; Dry Cleaning Discount &amp; Allowances</v>
      </c>
    </row>
    <row r="266" spans="1:17" x14ac:dyDescent="0.25">
      <c r="A266" s="24" t="s">
        <v>54</v>
      </c>
      <c r="B266" s="24" t="s">
        <v>20</v>
      </c>
      <c r="C266" s="24" t="s">
        <v>44</v>
      </c>
      <c r="D266" s="24" t="s">
        <v>0</v>
      </c>
      <c r="E266" s="24" t="s">
        <v>240</v>
      </c>
      <c r="F266" s="5" t="s">
        <v>852</v>
      </c>
      <c r="G266" s="2" t="s">
        <v>174</v>
      </c>
      <c r="H266" s="2" t="s">
        <v>23</v>
      </c>
      <c r="I266" s="24" t="s">
        <v>907</v>
      </c>
      <c r="J266" s="24" t="s">
        <v>910</v>
      </c>
      <c r="K266" s="24" t="s">
        <v>910</v>
      </c>
      <c r="M266" s="24" t="s">
        <v>907</v>
      </c>
      <c r="N266" s="24"/>
      <c r="P266" s="1" t="str">
        <f t="shared" si="8"/>
        <v>41301011</v>
      </c>
      <c r="Q266" s="263" t="str">
        <f t="shared" si="9"/>
        <v>OT - Spa Discount &amp; Allowances</v>
      </c>
    </row>
    <row r="267" spans="1:17" x14ac:dyDescent="0.25">
      <c r="A267" s="24" t="s">
        <v>54</v>
      </c>
      <c r="B267" s="24" t="s">
        <v>20</v>
      </c>
      <c r="C267" s="24" t="s">
        <v>44</v>
      </c>
      <c r="D267" s="24" t="s">
        <v>0</v>
      </c>
      <c r="E267" s="24" t="s">
        <v>331</v>
      </c>
      <c r="F267" s="5" t="s">
        <v>853</v>
      </c>
      <c r="G267" s="2" t="s">
        <v>174</v>
      </c>
      <c r="H267" s="2" t="s">
        <v>23</v>
      </c>
      <c r="I267" s="24" t="s">
        <v>908</v>
      </c>
      <c r="J267" s="24" t="s">
        <v>908</v>
      </c>
      <c r="K267" s="24" t="s">
        <v>908</v>
      </c>
      <c r="M267" s="24" t="s">
        <v>908</v>
      </c>
      <c r="N267" s="24"/>
      <c r="P267" s="1" t="str">
        <f t="shared" si="8"/>
        <v>41301012</v>
      </c>
      <c r="Q267" s="263" t="str">
        <f t="shared" si="9"/>
        <v>OT - Telephone &amp; Fax Discount &amp; Allowances</v>
      </c>
    </row>
    <row r="268" spans="1:17" x14ac:dyDescent="0.25">
      <c r="A268" s="24" t="s">
        <v>54</v>
      </c>
      <c r="B268" s="24" t="s">
        <v>20</v>
      </c>
      <c r="C268" s="24" t="s">
        <v>44</v>
      </c>
      <c r="D268" s="24" t="s">
        <v>0</v>
      </c>
      <c r="E268" s="24" t="s">
        <v>333</v>
      </c>
      <c r="F268" s="5" t="s">
        <v>903</v>
      </c>
      <c r="G268" s="2" t="s">
        <v>174</v>
      </c>
      <c r="H268" s="2" t="s">
        <v>23</v>
      </c>
      <c r="I268" s="24" t="s">
        <v>907</v>
      </c>
      <c r="J268" s="24" t="s">
        <v>910</v>
      </c>
      <c r="K268" s="24" t="s">
        <v>910</v>
      </c>
      <c r="M268" s="24" t="s">
        <v>907</v>
      </c>
      <c r="N268" s="24"/>
      <c r="P268" s="1" t="str">
        <f t="shared" si="8"/>
        <v>41301013</v>
      </c>
      <c r="Q268" s="263" t="str">
        <f t="shared" si="9"/>
        <v>OT - Sport &amp; Recreation Discount &amp; Allowances</v>
      </c>
    </row>
    <row r="269" spans="1:17" x14ac:dyDescent="0.25">
      <c r="A269" s="24" t="s">
        <v>54</v>
      </c>
      <c r="B269" s="24" t="s">
        <v>20</v>
      </c>
      <c r="C269" s="24" t="s">
        <v>44</v>
      </c>
      <c r="D269" s="24" t="s">
        <v>0</v>
      </c>
      <c r="E269" s="24" t="s">
        <v>43</v>
      </c>
      <c r="F269" s="5" t="s">
        <v>585</v>
      </c>
      <c r="G269" s="2" t="s">
        <v>174</v>
      </c>
      <c r="H269" s="2" t="s">
        <v>86</v>
      </c>
      <c r="I269" s="24" t="s">
        <v>908</v>
      </c>
      <c r="J269" s="24" t="s">
        <v>908</v>
      </c>
      <c r="K269" s="24" t="s">
        <v>908</v>
      </c>
      <c r="M269" s="24" t="s">
        <v>908</v>
      </c>
      <c r="N269" s="24"/>
      <c r="P269" s="1" t="str">
        <f t="shared" si="8"/>
        <v>41301999</v>
      </c>
      <c r="Q269" s="263" t="str">
        <f t="shared" si="9"/>
        <v>OT - Miscellaneous Revenue</v>
      </c>
    </row>
    <row r="270" spans="1:17" x14ac:dyDescent="0.25">
      <c r="A270" s="8" t="s">
        <v>58</v>
      </c>
      <c r="B270" s="8"/>
      <c r="C270" s="8"/>
      <c r="D270" s="8"/>
      <c r="E270" s="8"/>
      <c r="F270" s="9" t="s">
        <v>205</v>
      </c>
      <c r="G270" s="10" t="s">
        <v>174</v>
      </c>
      <c r="H270" s="10" t="s">
        <v>23</v>
      </c>
      <c r="I270" s="10" t="s">
        <v>907</v>
      </c>
      <c r="J270" s="10" t="s">
        <v>907</v>
      </c>
      <c r="K270" s="10" t="s">
        <v>907</v>
      </c>
      <c r="M270" s="10" t="s">
        <v>907</v>
      </c>
      <c r="N270" s="10"/>
      <c r="P270" s="1" t="str">
        <f t="shared" si="8"/>
        <v>5</v>
      </c>
      <c r="Q270" s="263" t="str">
        <f t="shared" si="9"/>
        <v>COST OF SALES</v>
      </c>
    </row>
    <row r="271" spans="1:17" x14ac:dyDescent="0.25">
      <c r="A271" s="12" t="s">
        <v>58</v>
      </c>
      <c r="B271" s="12" t="s">
        <v>20</v>
      </c>
      <c r="C271" s="12"/>
      <c r="D271" s="12"/>
      <c r="E271" s="12"/>
      <c r="F271" s="13" t="s">
        <v>206</v>
      </c>
      <c r="G271" s="14" t="s">
        <v>174</v>
      </c>
      <c r="H271" s="14" t="s">
        <v>23</v>
      </c>
      <c r="I271" s="14" t="s">
        <v>907</v>
      </c>
      <c r="J271" s="14" t="s">
        <v>907</v>
      </c>
      <c r="K271" s="14" t="s">
        <v>907</v>
      </c>
      <c r="M271" s="14" t="s">
        <v>907</v>
      </c>
      <c r="N271" s="14"/>
      <c r="P271" s="1" t="str">
        <f t="shared" si="8"/>
        <v>51</v>
      </c>
      <c r="Q271" s="263" t="str">
        <f t="shared" si="9"/>
        <v>Cost Of Sales - Department</v>
      </c>
    </row>
    <row r="272" spans="1:17" x14ac:dyDescent="0.25">
      <c r="A272" s="16" t="s">
        <v>58</v>
      </c>
      <c r="B272" s="16" t="s">
        <v>20</v>
      </c>
      <c r="C272" s="16" t="s">
        <v>20</v>
      </c>
      <c r="D272" s="16"/>
      <c r="E272" s="16"/>
      <c r="F272" s="18" t="s">
        <v>207</v>
      </c>
      <c r="G272" s="19" t="s">
        <v>174</v>
      </c>
      <c r="H272" s="19" t="s">
        <v>23</v>
      </c>
      <c r="I272" s="19" t="s">
        <v>907</v>
      </c>
      <c r="J272" s="19" t="s">
        <v>907</v>
      </c>
      <c r="K272" s="19" t="s">
        <v>907</v>
      </c>
      <c r="M272" s="19" t="s">
        <v>907</v>
      </c>
      <c r="N272" s="19"/>
      <c r="P272" s="1" t="str">
        <f t="shared" si="8"/>
        <v>511</v>
      </c>
      <c r="Q272" s="263" t="str">
        <f t="shared" si="9"/>
        <v>Food &amp; Beverage Cost Of Sales</v>
      </c>
    </row>
    <row r="273" spans="1:17" x14ac:dyDescent="0.25">
      <c r="A273" s="20" t="s">
        <v>58</v>
      </c>
      <c r="B273" s="20" t="s">
        <v>20</v>
      </c>
      <c r="C273" s="20" t="s">
        <v>20</v>
      </c>
      <c r="D273" s="21" t="s">
        <v>0</v>
      </c>
      <c r="E273" s="20"/>
      <c r="F273" s="22" t="s">
        <v>208</v>
      </c>
      <c r="G273" s="23" t="s">
        <v>174</v>
      </c>
      <c r="H273" s="23" t="s">
        <v>23</v>
      </c>
      <c r="I273" s="23" t="s">
        <v>907</v>
      </c>
      <c r="J273" s="23" t="s">
        <v>907</v>
      </c>
      <c r="K273" s="23" t="s">
        <v>907</v>
      </c>
      <c r="M273" s="23" t="s">
        <v>907</v>
      </c>
      <c r="N273" s="23"/>
      <c r="P273" s="1" t="str">
        <f t="shared" si="8"/>
        <v>51101</v>
      </c>
      <c r="Q273" s="263" t="str">
        <f t="shared" si="9"/>
        <v>Restaurant &amp; Bar - Cost Of Sales</v>
      </c>
    </row>
    <row r="274" spans="1:17" x14ac:dyDescent="0.25">
      <c r="A274" s="24" t="s">
        <v>58</v>
      </c>
      <c r="B274" s="24" t="s">
        <v>20</v>
      </c>
      <c r="C274" s="24" t="s">
        <v>20</v>
      </c>
      <c r="D274" s="24" t="s">
        <v>0</v>
      </c>
      <c r="E274" s="24" t="s">
        <v>1</v>
      </c>
      <c r="F274" s="5" t="s">
        <v>209</v>
      </c>
      <c r="G274" s="2" t="s">
        <v>174</v>
      </c>
      <c r="H274" s="2" t="s">
        <v>23</v>
      </c>
      <c r="I274" s="24" t="s">
        <v>907</v>
      </c>
      <c r="J274" s="2" t="s">
        <v>910</v>
      </c>
      <c r="K274" s="24" t="s">
        <v>908</v>
      </c>
      <c r="M274" s="2" t="s">
        <v>907</v>
      </c>
      <c r="N274" s="24"/>
      <c r="P274" s="1" t="str">
        <f t="shared" si="8"/>
        <v>51101001</v>
      </c>
      <c r="Q274" s="263" t="str">
        <f t="shared" si="9"/>
        <v>RB - Cost of Food</v>
      </c>
    </row>
    <row r="275" spans="1:17" x14ac:dyDescent="0.25">
      <c r="A275" s="24" t="s">
        <v>58</v>
      </c>
      <c r="B275" s="24" t="s">
        <v>20</v>
      </c>
      <c r="C275" s="24" t="s">
        <v>20</v>
      </c>
      <c r="D275" s="24" t="s">
        <v>0</v>
      </c>
      <c r="E275" s="24" t="s">
        <v>3</v>
      </c>
      <c r="F275" s="5" t="s">
        <v>210</v>
      </c>
      <c r="G275" s="2" t="s">
        <v>174</v>
      </c>
      <c r="H275" s="2" t="s">
        <v>23</v>
      </c>
      <c r="I275" s="24" t="s">
        <v>907</v>
      </c>
      <c r="J275" s="2" t="s">
        <v>910</v>
      </c>
      <c r="K275" s="24" t="s">
        <v>908</v>
      </c>
      <c r="M275" s="2" t="s">
        <v>907</v>
      </c>
      <c r="N275" s="24"/>
      <c r="P275" s="1" t="str">
        <f t="shared" si="8"/>
        <v>51101002</v>
      </c>
      <c r="Q275" s="263" t="str">
        <f t="shared" si="9"/>
        <v>RB - Cost of Beverage</v>
      </c>
    </row>
    <row r="276" spans="1:17" x14ac:dyDescent="0.25">
      <c r="A276" s="24" t="s">
        <v>58</v>
      </c>
      <c r="B276" s="24" t="s">
        <v>20</v>
      </c>
      <c r="C276" s="24" t="s">
        <v>20</v>
      </c>
      <c r="D276" s="24" t="s">
        <v>0</v>
      </c>
      <c r="E276" s="24" t="s">
        <v>5</v>
      </c>
      <c r="F276" s="5" t="s">
        <v>898</v>
      </c>
      <c r="G276" s="2" t="s">
        <v>174</v>
      </c>
      <c r="H276" s="2" t="s">
        <v>23</v>
      </c>
      <c r="I276" s="24" t="s">
        <v>908</v>
      </c>
      <c r="J276" s="2" t="s">
        <v>910</v>
      </c>
      <c r="K276" s="24" t="s">
        <v>907</v>
      </c>
      <c r="M276" s="2" t="s">
        <v>908</v>
      </c>
      <c r="N276" s="24"/>
      <c r="P276" s="1" t="str">
        <f t="shared" si="8"/>
        <v>51101003</v>
      </c>
      <c r="Q276" s="263" t="str">
        <f t="shared" si="9"/>
        <v>RB - Cost of Breakfast Catering</v>
      </c>
    </row>
    <row r="277" spans="1:17" x14ac:dyDescent="0.25">
      <c r="A277" s="24" t="s">
        <v>58</v>
      </c>
      <c r="B277" s="24" t="s">
        <v>20</v>
      </c>
      <c r="C277" s="24" t="s">
        <v>20</v>
      </c>
      <c r="D277" s="24" t="s">
        <v>0</v>
      </c>
      <c r="E277" s="24" t="s">
        <v>7</v>
      </c>
      <c r="F277" s="5" t="s">
        <v>211</v>
      </c>
      <c r="G277" s="2" t="s">
        <v>174</v>
      </c>
      <c r="H277" s="2" t="s">
        <v>23</v>
      </c>
      <c r="I277" s="24" t="s">
        <v>908</v>
      </c>
      <c r="J277" s="24" t="s">
        <v>908</v>
      </c>
      <c r="K277" s="24" t="s">
        <v>908</v>
      </c>
      <c r="M277" s="24" t="s">
        <v>908</v>
      </c>
      <c r="N277" s="24"/>
      <c r="P277" s="1" t="str">
        <f t="shared" si="8"/>
        <v>51101004</v>
      </c>
      <c r="Q277" s="263" t="str">
        <f t="shared" si="9"/>
        <v>RB - Other Cost of Sales</v>
      </c>
    </row>
    <row r="278" spans="1:17" x14ac:dyDescent="0.25">
      <c r="A278" s="20" t="s">
        <v>58</v>
      </c>
      <c r="B278" s="20" t="s">
        <v>20</v>
      </c>
      <c r="C278" s="20" t="s">
        <v>20</v>
      </c>
      <c r="D278" s="21" t="s">
        <v>2</v>
      </c>
      <c r="E278" s="20"/>
      <c r="F278" s="22" t="s">
        <v>212</v>
      </c>
      <c r="G278" s="23" t="s">
        <v>174</v>
      </c>
      <c r="H278" s="23" t="s">
        <v>23</v>
      </c>
      <c r="I278" s="23" t="s">
        <v>907</v>
      </c>
      <c r="J278" s="23" t="s">
        <v>907</v>
      </c>
      <c r="K278" s="23" t="s">
        <v>907</v>
      </c>
      <c r="M278" s="23" t="s">
        <v>907</v>
      </c>
      <c r="N278" s="23"/>
      <c r="P278" s="1" t="str">
        <f t="shared" si="8"/>
        <v>51102</v>
      </c>
      <c r="Q278" s="263" t="str">
        <f t="shared" si="9"/>
        <v>Bar &amp; Lounge  - Cost Of Sales</v>
      </c>
    </row>
    <row r="279" spans="1:17" x14ac:dyDescent="0.25">
      <c r="A279" s="24" t="s">
        <v>58</v>
      </c>
      <c r="B279" s="24" t="s">
        <v>20</v>
      </c>
      <c r="C279" s="24" t="s">
        <v>20</v>
      </c>
      <c r="D279" s="24" t="s">
        <v>2</v>
      </c>
      <c r="E279" s="24" t="s">
        <v>1</v>
      </c>
      <c r="F279" s="5" t="s">
        <v>213</v>
      </c>
      <c r="G279" s="2" t="s">
        <v>174</v>
      </c>
      <c r="H279" s="2" t="s">
        <v>23</v>
      </c>
      <c r="I279" s="24" t="s">
        <v>907</v>
      </c>
      <c r="J279" s="2" t="s">
        <v>910</v>
      </c>
      <c r="K279" s="24" t="s">
        <v>908</v>
      </c>
      <c r="M279" s="2" t="s">
        <v>907</v>
      </c>
      <c r="N279" s="24"/>
      <c r="P279" s="1" t="str">
        <f t="shared" si="8"/>
        <v>51102001</v>
      </c>
      <c r="Q279" s="263" t="str">
        <f t="shared" si="9"/>
        <v>BL - Cost of Food</v>
      </c>
    </row>
    <row r="280" spans="1:17" x14ac:dyDescent="0.25">
      <c r="A280" s="24" t="s">
        <v>58</v>
      </c>
      <c r="B280" s="24" t="s">
        <v>20</v>
      </c>
      <c r="C280" s="24" t="s">
        <v>20</v>
      </c>
      <c r="D280" s="24" t="s">
        <v>2</v>
      </c>
      <c r="E280" s="24" t="s">
        <v>3</v>
      </c>
      <c r="F280" s="5" t="s">
        <v>214</v>
      </c>
      <c r="G280" s="2" t="s">
        <v>174</v>
      </c>
      <c r="H280" s="2" t="s">
        <v>23</v>
      </c>
      <c r="I280" s="24" t="s">
        <v>907</v>
      </c>
      <c r="J280" s="2" t="s">
        <v>910</v>
      </c>
      <c r="K280" s="24" t="s">
        <v>908</v>
      </c>
      <c r="M280" s="2" t="s">
        <v>907</v>
      </c>
      <c r="N280" s="24"/>
      <c r="P280" s="1" t="str">
        <f t="shared" si="8"/>
        <v>51102002</v>
      </c>
      <c r="Q280" s="263" t="str">
        <f t="shared" si="9"/>
        <v>BL - Cost of Beverage</v>
      </c>
    </row>
    <row r="281" spans="1:17" x14ac:dyDescent="0.25">
      <c r="A281" s="24" t="s">
        <v>58</v>
      </c>
      <c r="B281" s="24" t="s">
        <v>20</v>
      </c>
      <c r="C281" s="24" t="s">
        <v>20</v>
      </c>
      <c r="D281" s="24" t="s">
        <v>2</v>
      </c>
      <c r="E281" s="24" t="s">
        <v>5</v>
      </c>
      <c r="F281" s="5" t="s">
        <v>215</v>
      </c>
      <c r="G281" s="2" t="s">
        <v>174</v>
      </c>
      <c r="H281" s="2" t="s">
        <v>23</v>
      </c>
      <c r="I281" s="24" t="s">
        <v>907</v>
      </c>
      <c r="J281" s="2" t="s">
        <v>910</v>
      </c>
      <c r="K281" s="24" t="s">
        <v>908</v>
      </c>
      <c r="M281" s="2" t="s">
        <v>907</v>
      </c>
      <c r="N281" s="24"/>
      <c r="P281" s="1" t="str">
        <f t="shared" si="8"/>
        <v>51102003</v>
      </c>
      <c r="Q281" s="263" t="str">
        <f t="shared" si="9"/>
        <v>BL - Other Cost of Sales</v>
      </c>
    </row>
    <row r="282" spans="1:17" x14ac:dyDescent="0.25">
      <c r="A282" s="20" t="s">
        <v>58</v>
      </c>
      <c r="B282" s="20" t="s">
        <v>20</v>
      </c>
      <c r="C282" s="20" t="s">
        <v>20</v>
      </c>
      <c r="D282" s="21" t="s">
        <v>4</v>
      </c>
      <c r="E282" s="20"/>
      <c r="F282" s="22" t="s">
        <v>216</v>
      </c>
      <c r="G282" s="23" t="s">
        <v>174</v>
      </c>
      <c r="H282" s="23" t="s">
        <v>23</v>
      </c>
      <c r="I282" s="23" t="s">
        <v>907</v>
      </c>
      <c r="J282" s="23" t="s">
        <v>907</v>
      </c>
      <c r="K282" s="23" t="s">
        <v>907</v>
      </c>
      <c r="M282" s="23" t="s">
        <v>907</v>
      </c>
      <c r="N282" s="23"/>
      <c r="P282" s="1" t="str">
        <f t="shared" si="8"/>
        <v>51103</v>
      </c>
      <c r="Q282" s="263" t="str">
        <f t="shared" si="9"/>
        <v>Banquet &amp; Meeting Package - Cost Of Sales</v>
      </c>
    </row>
    <row r="283" spans="1:17" x14ac:dyDescent="0.25">
      <c r="A283" s="24" t="s">
        <v>58</v>
      </c>
      <c r="B283" s="24" t="s">
        <v>20</v>
      </c>
      <c r="C283" s="24" t="s">
        <v>20</v>
      </c>
      <c r="D283" s="24" t="s">
        <v>4</v>
      </c>
      <c r="E283" s="24" t="s">
        <v>1</v>
      </c>
      <c r="F283" s="5" t="s">
        <v>217</v>
      </c>
      <c r="G283" s="2" t="s">
        <v>174</v>
      </c>
      <c r="H283" s="2" t="s">
        <v>23</v>
      </c>
      <c r="I283" s="24" t="s">
        <v>908</v>
      </c>
      <c r="J283" s="24" t="s">
        <v>908</v>
      </c>
      <c r="K283" s="24" t="s">
        <v>908</v>
      </c>
      <c r="M283" s="24" t="s">
        <v>908</v>
      </c>
      <c r="N283" s="24"/>
      <c r="P283" s="1" t="str">
        <f t="shared" si="8"/>
        <v>51103001</v>
      </c>
      <c r="Q283" s="263" t="str">
        <f t="shared" si="9"/>
        <v>BQ - Cost of Banquet</v>
      </c>
    </row>
    <row r="284" spans="1:17" x14ac:dyDescent="0.25">
      <c r="A284" s="24" t="s">
        <v>58</v>
      </c>
      <c r="B284" s="24" t="s">
        <v>20</v>
      </c>
      <c r="C284" s="24" t="s">
        <v>20</v>
      </c>
      <c r="D284" s="24" t="s">
        <v>4</v>
      </c>
      <c r="E284" s="24" t="s">
        <v>3</v>
      </c>
      <c r="F284" s="5" t="s">
        <v>218</v>
      </c>
      <c r="G284" s="2" t="s">
        <v>174</v>
      </c>
      <c r="H284" s="2" t="s">
        <v>23</v>
      </c>
      <c r="I284" s="24" t="s">
        <v>908</v>
      </c>
      <c r="J284" s="24" t="s">
        <v>908</v>
      </c>
      <c r="K284" s="24" t="s">
        <v>908</v>
      </c>
      <c r="M284" s="24" t="s">
        <v>908</v>
      </c>
      <c r="N284" s="24"/>
      <c r="P284" s="1" t="str">
        <f t="shared" si="8"/>
        <v>51103002</v>
      </c>
      <c r="Q284" s="263" t="str">
        <f t="shared" si="9"/>
        <v>BQ - Cost of Meeting Package</v>
      </c>
    </row>
    <row r="285" spans="1:17" x14ac:dyDescent="0.25">
      <c r="A285" s="24" t="s">
        <v>58</v>
      </c>
      <c r="B285" s="24" t="s">
        <v>20</v>
      </c>
      <c r="C285" s="24" t="s">
        <v>20</v>
      </c>
      <c r="D285" s="24" t="s">
        <v>4</v>
      </c>
      <c r="E285" s="24" t="s">
        <v>5</v>
      </c>
      <c r="F285" s="5" t="s">
        <v>219</v>
      </c>
      <c r="G285" s="2" t="s">
        <v>174</v>
      </c>
      <c r="H285" s="2" t="s">
        <v>23</v>
      </c>
      <c r="I285" s="24" t="s">
        <v>908</v>
      </c>
      <c r="J285" s="24" t="s">
        <v>908</v>
      </c>
      <c r="K285" s="24" t="s">
        <v>908</v>
      </c>
      <c r="M285" s="24" t="s">
        <v>908</v>
      </c>
      <c r="N285" s="24"/>
      <c r="P285" s="1" t="str">
        <f t="shared" si="8"/>
        <v>51103003</v>
      </c>
      <c r="Q285" s="263" t="str">
        <f t="shared" si="9"/>
        <v>BQ - Other Cost of Sales</v>
      </c>
    </row>
    <row r="286" spans="1:17" x14ac:dyDescent="0.25">
      <c r="A286" s="16" t="s">
        <v>58</v>
      </c>
      <c r="B286" s="16" t="s">
        <v>20</v>
      </c>
      <c r="C286" s="16" t="s">
        <v>33</v>
      </c>
      <c r="D286" s="16"/>
      <c r="E286" s="16"/>
      <c r="F286" s="11" t="s">
        <v>854</v>
      </c>
      <c r="G286" s="19" t="s">
        <v>174</v>
      </c>
      <c r="H286" s="19" t="s">
        <v>23</v>
      </c>
      <c r="I286" s="16" t="s">
        <v>907</v>
      </c>
      <c r="J286" s="16" t="s">
        <v>907</v>
      </c>
      <c r="K286" s="16" t="s">
        <v>907</v>
      </c>
      <c r="M286" s="16" t="s">
        <v>907</v>
      </c>
      <c r="N286" s="16"/>
      <c r="P286" s="1" t="str">
        <f t="shared" si="8"/>
        <v>512</v>
      </c>
      <c r="Q286" s="263" t="str">
        <f t="shared" si="9"/>
        <v>Other Cost Of Sales*</v>
      </c>
    </row>
    <row r="287" spans="1:17" x14ac:dyDescent="0.25">
      <c r="A287" s="20" t="s">
        <v>58</v>
      </c>
      <c r="B287" s="20" t="s">
        <v>20</v>
      </c>
      <c r="C287" s="20" t="s">
        <v>33</v>
      </c>
      <c r="D287" s="21" t="s">
        <v>0</v>
      </c>
      <c r="E287" s="20"/>
      <c r="F287" s="22" t="s">
        <v>220</v>
      </c>
      <c r="G287" s="23" t="s">
        <v>174</v>
      </c>
      <c r="H287" s="23" t="s">
        <v>23</v>
      </c>
      <c r="I287" s="23" t="s">
        <v>907</v>
      </c>
      <c r="J287" s="23" t="s">
        <v>907</v>
      </c>
      <c r="K287" s="23" t="s">
        <v>907</v>
      </c>
      <c r="M287" s="23" t="s">
        <v>907</v>
      </c>
      <c r="N287" s="23"/>
      <c r="P287" s="1" t="str">
        <f t="shared" si="8"/>
        <v>51201</v>
      </c>
      <c r="Q287" s="263" t="str">
        <f t="shared" si="9"/>
        <v>Other Cost Of Sales</v>
      </c>
    </row>
    <row r="288" spans="1:17" x14ac:dyDescent="0.25">
      <c r="A288" s="24" t="s">
        <v>58</v>
      </c>
      <c r="B288" s="24" t="s">
        <v>20</v>
      </c>
      <c r="C288" s="24" t="s">
        <v>33</v>
      </c>
      <c r="D288" s="24" t="s">
        <v>0</v>
      </c>
      <c r="E288" s="24" t="s">
        <v>1</v>
      </c>
      <c r="F288" s="5" t="s">
        <v>221</v>
      </c>
      <c r="G288" s="2" t="s">
        <v>174</v>
      </c>
      <c r="H288" s="2" t="s">
        <v>23</v>
      </c>
      <c r="I288" s="24" t="s">
        <v>908</v>
      </c>
      <c r="J288" s="24" t="s">
        <v>908</v>
      </c>
      <c r="K288" s="24" t="s">
        <v>908</v>
      </c>
      <c r="M288" s="24" t="s">
        <v>908</v>
      </c>
      <c r="N288" s="2"/>
      <c r="P288" s="1" t="str">
        <f t="shared" si="8"/>
        <v>51201001</v>
      </c>
      <c r="Q288" s="263" t="str">
        <f t="shared" si="9"/>
        <v>OT - Cost of Business Center</v>
      </c>
    </row>
    <row r="289" spans="1:17" x14ac:dyDescent="0.25">
      <c r="A289" s="24" t="s">
        <v>58</v>
      </c>
      <c r="B289" s="24" t="s">
        <v>20</v>
      </c>
      <c r="C289" s="24" t="s">
        <v>33</v>
      </c>
      <c r="D289" s="24" t="s">
        <v>0</v>
      </c>
      <c r="E289" s="24" t="s">
        <v>3</v>
      </c>
      <c r="F289" s="5" t="s">
        <v>222</v>
      </c>
      <c r="G289" s="2" t="s">
        <v>174</v>
      </c>
      <c r="H289" s="2" t="s">
        <v>23</v>
      </c>
      <c r="I289" s="24" t="s">
        <v>908</v>
      </c>
      <c r="J289" s="24" t="s">
        <v>908</v>
      </c>
      <c r="K289" s="24" t="s">
        <v>908</v>
      </c>
      <c r="M289" s="24" t="s">
        <v>908</v>
      </c>
      <c r="N289" s="2"/>
      <c r="P289" s="1" t="str">
        <f t="shared" si="8"/>
        <v>51201002</v>
      </c>
      <c r="Q289" s="263" t="str">
        <f t="shared" si="9"/>
        <v>OT - Cost of Car Rental &amp; Transportation</v>
      </c>
    </row>
    <row r="290" spans="1:17" x14ac:dyDescent="0.25">
      <c r="A290" s="24" t="s">
        <v>58</v>
      </c>
      <c r="B290" s="24" t="s">
        <v>20</v>
      </c>
      <c r="C290" s="24" t="s">
        <v>33</v>
      </c>
      <c r="D290" s="24" t="s">
        <v>0</v>
      </c>
      <c r="E290" s="24" t="s">
        <v>5</v>
      </c>
      <c r="F290" s="5" t="s">
        <v>223</v>
      </c>
      <c r="G290" s="2" t="s">
        <v>174</v>
      </c>
      <c r="H290" s="2" t="s">
        <v>23</v>
      </c>
      <c r="I290" s="24" t="s">
        <v>908</v>
      </c>
      <c r="J290" s="24" t="s">
        <v>908</v>
      </c>
      <c r="K290" s="24" t="s">
        <v>908</v>
      </c>
      <c r="M290" s="24" t="s">
        <v>908</v>
      </c>
      <c r="N290" s="2"/>
      <c r="P290" s="1" t="str">
        <f t="shared" si="8"/>
        <v>51201003</v>
      </c>
      <c r="Q290" s="263" t="str">
        <f t="shared" si="9"/>
        <v>OT - Cost of Guest Laundry &amp; Dry Cleaning</v>
      </c>
    </row>
    <row r="291" spans="1:17" x14ac:dyDescent="0.25">
      <c r="A291" s="24" t="s">
        <v>58</v>
      </c>
      <c r="B291" s="24" t="s">
        <v>20</v>
      </c>
      <c r="C291" s="24" t="s">
        <v>33</v>
      </c>
      <c r="D291" s="24" t="s">
        <v>0</v>
      </c>
      <c r="E291" s="24" t="s">
        <v>7</v>
      </c>
      <c r="F291" s="5" t="s">
        <v>855</v>
      </c>
      <c r="G291" s="2" t="s">
        <v>174</v>
      </c>
      <c r="H291" s="2" t="s">
        <v>23</v>
      </c>
      <c r="I291" s="24" t="s">
        <v>907</v>
      </c>
      <c r="J291" s="24" t="s">
        <v>910</v>
      </c>
      <c r="K291" s="24" t="s">
        <v>910</v>
      </c>
      <c r="M291" s="24" t="s">
        <v>907</v>
      </c>
      <c r="N291" s="2"/>
      <c r="P291" s="1" t="str">
        <f t="shared" si="8"/>
        <v>51201004</v>
      </c>
      <c r="Q291" s="263" t="str">
        <f t="shared" si="9"/>
        <v>OT - Cost of Spa</v>
      </c>
    </row>
    <row r="292" spans="1:17" x14ac:dyDescent="0.25">
      <c r="A292" s="24" t="s">
        <v>58</v>
      </c>
      <c r="B292" s="24" t="s">
        <v>20</v>
      </c>
      <c r="C292" s="24" t="s">
        <v>33</v>
      </c>
      <c r="D292" s="24" t="s">
        <v>0</v>
      </c>
      <c r="E292" s="24" t="s">
        <v>9</v>
      </c>
      <c r="F292" s="5" t="s">
        <v>856</v>
      </c>
      <c r="G292" s="2" t="s">
        <v>174</v>
      </c>
      <c r="H292" s="2" t="s">
        <v>23</v>
      </c>
      <c r="I292" s="24" t="s">
        <v>908</v>
      </c>
      <c r="J292" s="24" t="s">
        <v>908</v>
      </c>
      <c r="K292" s="24" t="s">
        <v>908</v>
      </c>
      <c r="M292" s="24" t="s">
        <v>908</v>
      </c>
      <c r="N292" s="2"/>
      <c r="P292" s="1" t="str">
        <f t="shared" si="8"/>
        <v>51201005</v>
      </c>
      <c r="Q292" s="263" t="str">
        <f t="shared" si="9"/>
        <v>OT - Cost of Telephone &amp; Fax</v>
      </c>
    </row>
    <row r="293" spans="1:17" x14ac:dyDescent="0.25">
      <c r="A293" s="24" t="s">
        <v>58</v>
      </c>
      <c r="B293" s="24" t="s">
        <v>20</v>
      </c>
      <c r="C293" s="24" t="s">
        <v>33</v>
      </c>
      <c r="D293" s="24" t="s">
        <v>0</v>
      </c>
      <c r="E293" s="24" t="s">
        <v>10</v>
      </c>
      <c r="F293" s="5" t="s">
        <v>901</v>
      </c>
      <c r="G293" s="2" t="s">
        <v>174</v>
      </c>
      <c r="H293" s="2" t="s">
        <v>23</v>
      </c>
      <c r="I293" s="24" t="s">
        <v>907</v>
      </c>
      <c r="J293" s="24" t="s">
        <v>910</v>
      </c>
      <c r="K293" s="24" t="s">
        <v>910</v>
      </c>
      <c r="M293" s="24" t="s">
        <v>907</v>
      </c>
      <c r="N293" s="2"/>
      <c r="P293" s="1" t="str">
        <f t="shared" si="8"/>
        <v>51201006</v>
      </c>
      <c r="Q293" s="263" t="str">
        <f t="shared" si="9"/>
        <v>OT - Cost of Sport &amp; Recreation</v>
      </c>
    </row>
    <row r="294" spans="1:17" x14ac:dyDescent="0.25">
      <c r="A294" s="24" t="s">
        <v>58</v>
      </c>
      <c r="B294" s="24" t="s">
        <v>20</v>
      </c>
      <c r="C294" s="24" t="s">
        <v>33</v>
      </c>
      <c r="D294" s="24" t="s">
        <v>2</v>
      </c>
      <c r="E294" s="2">
        <v>999</v>
      </c>
      <c r="F294" s="5" t="s">
        <v>586</v>
      </c>
      <c r="G294" s="2" t="s">
        <v>174</v>
      </c>
      <c r="H294" s="2" t="s">
        <v>23</v>
      </c>
      <c r="I294" s="24" t="s">
        <v>908</v>
      </c>
      <c r="J294" s="24" t="s">
        <v>908</v>
      </c>
      <c r="K294" s="24" t="s">
        <v>908</v>
      </c>
      <c r="M294" s="24" t="s">
        <v>908</v>
      </c>
      <c r="N294" s="24"/>
      <c r="P294" s="1" t="str">
        <f t="shared" si="8"/>
        <v>51202999</v>
      </c>
      <c r="Q294" s="263" t="str">
        <f t="shared" si="9"/>
        <v>OT - Cost of Miscellaneous Revenue</v>
      </c>
    </row>
    <row r="295" spans="1:17" x14ac:dyDescent="0.25">
      <c r="A295" s="8" t="s">
        <v>224</v>
      </c>
      <c r="B295" s="8"/>
      <c r="C295" s="8"/>
      <c r="D295" s="8"/>
      <c r="E295" s="8"/>
      <c r="F295" s="9" t="s">
        <v>225</v>
      </c>
      <c r="G295" s="10" t="s">
        <v>174</v>
      </c>
      <c r="H295" s="10" t="s">
        <v>23</v>
      </c>
      <c r="I295" s="10" t="s">
        <v>907</v>
      </c>
      <c r="J295" s="10" t="s">
        <v>907</v>
      </c>
      <c r="K295" s="10" t="s">
        <v>907</v>
      </c>
      <c r="M295" s="10" t="s">
        <v>907</v>
      </c>
      <c r="N295" s="10"/>
      <c r="P295" s="1" t="str">
        <f t="shared" si="8"/>
        <v>6</v>
      </c>
      <c r="Q295" s="263" t="str">
        <f t="shared" si="9"/>
        <v>PAYROLL AND RELATED EXPENSES</v>
      </c>
    </row>
    <row r="296" spans="1:17" x14ac:dyDescent="0.25">
      <c r="A296" s="12" t="s">
        <v>224</v>
      </c>
      <c r="B296" s="12" t="s">
        <v>20</v>
      </c>
      <c r="C296" s="12"/>
      <c r="D296" s="12"/>
      <c r="E296" s="12"/>
      <c r="F296" s="13" t="s">
        <v>226</v>
      </c>
      <c r="G296" s="14" t="s">
        <v>174</v>
      </c>
      <c r="H296" s="14" t="s">
        <v>23</v>
      </c>
      <c r="I296" s="14" t="s">
        <v>907</v>
      </c>
      <c r="J296" s="14" t="s">
        <v>907</v>
      </c>
      <c r="K296" s="14" t="s">
        <v>907</v>
      </c>
      <c r="M296" s="14" t="s">
        <v>907</v>
      </c>
      <c r="N296" s="14"/>
      <c r="P296" s="1" t="str">
        <f t="shared" si="8"/>
        <v>61</v>
      </c>
      <c r="Q296" s="263" t="str">
        <f t="shared" si="9"/>
        <v>Payroll and Related Expenses - Department</v>
      </c>
    </row>
    <row r="297" spans="1:17" x14ac:dyDescent="0.25">
      <c r="A297" s="16" t="s">
        <v>224</v>
      </c>
      <c r="B297" s="16" t="s">
        <v>20</v>
      </c>
      <c r="C297" s="16" t="s">
        <v>20</v>
      </c>
      <c r="D297" s="16"/>
      <c r="E297" s="16"/>
      <c r="F297" s="18" t="s">
        <v>227</v>
      </c>
      <c r="G297" s="19" t="s">
        <v>174</v>
      </c>
      <c r="H297" s="19" t="s">
        <v>23</v>
      </c>
      <c r="I297" s="19" t="s">
        <v>907</v>
      </c>
      <c r="J297" s="19" t="s">
        <v>907</v>
      </c>
      <c r="K297" s="19" t="s">
        <v>907</v>
      </c>
      <c r="M297" s="19" t="s">
        <v>907</v>
      </c>
      <c r="N297" s="19"/>
      <c r="P297" s="1" t="str">
        <f t="shared" si="8"/>
        <v>611</v>
      </c>
      <c r="Q297" s="263" t="str">
        <f t="shared" si="9"/>
        <v>Payroll and Related Expenses - Room Department</v>
      </c>
    </row>
    <row r="298" spans="1:17" x14ac:dyDescent="0.25">
      <c r="A298" s="20" t="s">
        <v>224</v>
      </c>
      <c r="B298" s="20" t="s">
        <v>20</v>
      </c>
      <c r="C298" s="20" t="s">
        <v>20</v>
      </c>
      <c r="D298" s="21" t="s">
        <v>0</v>
      </c>
      <c r="E298" s="20"/>
      <c r="F298" s="22" t="s">
        <v>228</v>
      </c>
      <c r="G298" s="23" t="s">
        <v>174</v>
      </c>
      <c r="H298" s="23" t="s">
        <v>23</v>
      </c>
      <c r="I298" s="23" t="s">
        <v>907</v>
      </c>
      <c r="J298" s="23" t="s">
        <v>907</v>
      </c>
      <c r="K298" s="23" t="s">
        <v>907</v>
      </c>
      <c r="M298" s="23" t="s">
        <v>907</v>
      </c>
      <c r="N298" s="23"/>
      <c r="P298" s="1" t="str">
        <f t="shared" si="8"/>
        <v>61101</v>
      </c>
      <c r="Q298" s="263" t="str">
        <f t="shared" si="9"/>
        <v>Payroll and Related Expenses - Front Office</v>
      </c>
    </row>
    <row r="299" spans="1:17" x14ac:dyDescent="0.25">
      <c r="A299" s="24" t="s">
        <v>224</v>
      </c>
      <c r="B299" s="24" t="s">
        <v>20</v>
      </c>
      <c r="C299" s="24" t="s">
        <v>20</v>
      </c>
      <c r="D299" s="24" t="s">
        <v>0</v>
      </c>
      <c r="E299" s="25" t="s">
        <v>1</v>
      </c>
      <c r="F299" s="5" t="s">
        <v>229</v>
      </c>
      <c r="G299" s="2" t="s">
        <v>174</v>
      </c>
      <c r="H299" s="2" t="s">
        <v>23</v>
      </c>
      <c r="I299" s="24" t="s">
        <v>908</v>
      </c>
      <c r="J299" s="24" t="s">
        <v>908</v>
      </c>
      <c r="K299" s="24" t="s">
        <v>908</v>
      </c>
      <c r="M299" s="24" t="s">
        <v>908</v>
      </c>
      <c r="N299" s="24"/>
      <c r="P299" s="1" t="str">
        <f t="shared" si="8"/>
        <v>61101001</v>
      </c>
      <c r="Q299" s="263" t="str">
        <f t="shared" si="9"/>
        <v>FO - Salary</v>
      </c>
    </row>
    <row r="300" spans="1:17" x14ac:dyDescent="0.25">
      <c r="A300" s="24" t="s">
        <v>224</v>
      </c>
      <c r="B300" s="24" t="s">
        <v>20</v>
      </c>
      <c r="C300" s="24" t="s">
        <v>20</v>
      </c>
      <c r="D300" s="24" t="s">
        <v>0</v>
      </c>
      <c r="E300" s="25" t="s">
        <v>3</v>
      </c>
      <c r="F300" s="5" t="s">
        <v>230</v>
      </c>
      <c r="G300" s="2" t="s">
        <v>174</v>
      </c>
      <c r="H300" s="2" t="s">
        <v>23</v>
      </c>
      <c r="I300" s="24" t="s">
        <v>908</v>
      </c>
      <c r="J300" s="24" t="s">
        <v>908</v>
      </c>
      <c r="K300" s="24" t="s">
        <v>908</v>
      </c>
      <c r="M300" s="24" t="s">
        <v>908</v>
      </c>
      <c r="N300" s="24"/>
      <c r="P300" s="1" t="str">
        <f t="shared" si="8"/>
        <v>61101002</v>
      </c>
      <c r="Q300" s="263" t="str">
        <f t="shared" si="9"/>
        <v>FO - Overtime</v>
      </c>
    </row>
    <row r="301" spans="1:17" x14ac:dyDescent="0.25">
      <c r="A301" s="24" t="s">
        <v>224</v>
      </c>
      <c r="B301" s="24" t="s">
        <v>20</v>
      </c>
      <c r="C301" s="24" t="s">
        <v>20</v>
      </c>
      <c r="D301" s="24" t="s">
        <v>0</v>
      </c>
      <c r="E301" s="25" t="s">
        <v>5</v>
      </c>
      <c r="F301" s="5" t="s">
        <v>231</v>
      </c>
      <c r="G301" s="2" t="s">
        <v>174</v>
      </c>
      <c r="H301" s="2" t="s">
        <v>23</v>
      </c>
      <c r="I301" s="24" t="s">
        <v>908</v>
      </c>
      <c r="J301" s="24" t="s">
        <v>908</v>
      </c>
      <c r="K301" s="24" t="s">
        <v>908</v>
      </c>
      <c r="M301" s="24" t="s">
        <v>908</v>
      </c>
      <c r="N301" s="24"/>
      <c r="P301" s="1" t="str">
        <f t="shared" si="8"/>
        <v>61101003</v>
      </c>
      <c r="Q301" s="263" t="str">
        <f t="shared" si="9"/>
        <v>FO - THR</v>
      </c>
    </row>
    <row r="302" spans="1:17" x14ac:dyDescent="0.25">
      <c r="A302" s="24" t="s">
        <v>224</v>
      </c>
      <c r="B302" s="24" t="s">
        <v>20</v>
      </c>
      <c r="C302" s="24" t="s">
        <v>20</v>
      </c>
      <c r="D302" s="24" t="s">
        <v>0</v>
      </c>
      <c r="E302" s="25" t="s">
        <v>7</v>
      </c>
      <c r="F302" s="5" t="s">
        <v>232</v>
      </c>
      <c r="G302" s="2" t="s">
        <v>174</v>
      </c>
      <c r="H302" s="2" t="s">
        <v>23</v>
      </c>
      <c r="I302" s="24" t="s">
        <v>908</v>
      </c>
      <c r="J302" s="24" t="s">
        <v>908</v>
      </c>
      <c r="K302" s="24" t="s">
        <v>908</v>
      </c>
      <c r="M302" s="24" t="s">
        <v>908</v>
      </c>
      <c r="N302" s="24"/>
      <c r="P302" s="1" t="str">
        <f t="shared" si="8"/>
        <v>61101004</v>
      </c>
      <c r="Q302" s="263" t="str">
        <f t="shared" si="9"/>
        <v>FO - Bonus</v>
      </c>
    </row>
    <row r="303" spans="1:17" x14ac:dyDescent="0.25">
      <c r="A303" s="24" t="s">
        <v>224</v>
      </c>
      <c r="B303" s="24" t="s">
        <v>20</v>
      </c>
      <c r="C303" s="24" t="s">
        <v>20</v>
      </c>
      <c r="D303" s="24" t="s">
        <v>0</v>
      </c>
      <c r="E303" s="25" t="s">
        <v>9</v>
      </c>
      <c r="F303" s="5" t="s">
        <v>233</v>
      </c>
      <c r="G303" s="2" t="s">
        <v>174</v>
      </c>
      <c r="H303" s="2" t="s">
        <v>23</v>
      </c>
      <c r="I303" s="24" t="s">
        <v>908</v>
      </c>
      <c r="J303" s="24" t="s">
        <v>908</v>
      </c>
      <c r="K303" s="24" t="s">
        <v>908</v>
      </c>
      <c r="M303" s="24" t="s">
        <v>908</v>
      </c>
      <c r="N303" s="24"/>
      <c r="P303" s="1" t="str">
        <f t="shared" si="8"/>
        <v>61101005</v>
      </c>
      <c r="Q303" s="263" t="str">
        <f t="shared" si="9"/>
        <v>FO - Income Tax Allowance</v>
      </c>
    </row>
    <row r="304" spans="1:17" x14ac:dyDescent="0.25">
      <c r="A304" s="24" t="s">
        <v>224</v>
      </c>
      <c r="B304" s="24" t="s">
        <v>20</v>
      </c>
      <c r="C304" s="24" t="s">
        <v>20</v>
      </c>
      <c r="D304" s="24" t="s">
        <v>0</v>
      </c>
      <c r="E304" s="25" t="s">
        <v>10</v>
      </c>
      <c r="F304" s="5" t="s">
        <v>234</v>
      </c>
      <c r="G304" s="2" t="s">
        <v>174</v>
      </c>
      <c r="H304" s="2" t="s">
        <v>23</v>
      </c>
      <c r="I304" s="24" t="s">
        <v>908</v>
      </c>
      <c r="J304" s="24" t="s">
        <v>908</v>
      </c>
      <c r="K304" s="24" t="s">
        <v>908</v>
      </c>
      <c r="M304" s="24" t="s">
        <v>908</v>
      </c>
      <c r="N304" s="24"/>
      <c r="P304" s="1" t="str">
        <f t="shared" si="8"/>
        <v>61101006</v>
      </c>
      <c r="Q304" s="263" t="str">
        <f t="shared" si="9"/>
        <v>FO - Meal Allowance</v>
      </c>
    </row>
    <row r="305" spans="1:17" x14ac:dyDescent="0.25">
      <c r="A305" s="24" t="s">
        <v>224</v>
      </c>
      <c r="B305" s="24" t="s">
        <v>20</v>
      </c>
      <c r="C305" s="24" t="s">
        <v>20</v>
      </c>
      <c r="D305" s="24" t="s">
        <v>0</v>
      </c>
      <c r="E305" s="25" t="s">
        <v>11</v>
      </c>
      <c r="F305" s="5" t="s">
        <v>235</v>
      </c>
      <c r="G305" s="2" t="s">
        <v>174</v>
      </c>
      <c r="H305" s="2" t="s">
        <v>23</v>
      </c>
      <c r="I305" s="24" t="s">
        <v>908</v>
      </c>
      <c r="J305" s="24" t="s">
        <v>908</v>
      </c>
      <c r="K305" s="24" t="s">
        <v>908</v>
      </c>
      <c r="M305" s="24" t="s">
        <v>908</v>
      </c>
      <c r="N305" s="24"/>
      <c r="P305" s="1" t="str">
        <f t="shared" si="8"/>
        <v>61101007</v>
      </c>
      <c r="Q305" s="263" t="str">
        <f t="shared" si="9"/>
        <v>FO - Jamsostek</v>
      </c>
    </row>
    <row r="306" spans="1:17" x14ac:dyDescent="0.25">
      <c r="A306" s="24" t="s">
        <v>224</v>
      </c>
      <c r="B306" s="24" t="s">
        <v>20</v>
      </c>
      <c r="C306" s="24" t="s">
        <v>20</v>
      </c>
      <c r="D306" s="24" t="s">
        <v>0</v>
      </c>
      <c r="E306" s="25" t="s">
        <v>13</v>
      </c>
      <c r="F306" s="5" t="s">
        <v>236</v>
      </c>
      <c r="G306" s="2" t="s">
        <v>174</v>
      </c>
      <c r="H306" s="2" t="s">
        <v>23</v>
      </c>
      <c r="I306" s="24" t="s">
        <v>908</v>
      </c>
      <c r="J306" s="24" t="s">
        <v>908</v>
      </c>
      <c r="K306" s="24" t="s">
        <v>908</v>
      </c>
      <c r="M306" s="24" t="s">
        <v>908</v>
      </c>
      <c r="N306" s="24"/>
      <c r="P306" s="1" t="str">
        <f t="shared" si="8"/>
        <v>61101008</v>
      </c>
      <c r="Q306" s="263" t="str">
        <f t="shared" si="9"/>
        <v>FO - Medical &amp; Insurance</v>
      </c>
    </row>
    <row r="307" spans="1:17" x14ac:dyDescent="0.25">
      <c r="A307" s="24" t="s">
        <v>224</v>
      </c>
      <c r="B307" s="24" t="s">
        <v>20</v>
      </c>
      <c r="C307" s="24" t="s">
        <v>20</v>
      </c>
      <c r="D307" s="24" t="s">
        <v>0</v>
      </c>
      <c r="E307" s="25" t="s">
        <v>15</v>
      </c>
      <c r="F307" s="5" t="s">
        <v>237</v>
      </c>
      <c r="G307" s="2" t="s">
        <v>174</v>
      </c>
      <c r="H307" s="2" t="s">
        <v>23</v>
      </c>
      <c r="I307" s="24" t="s">
        <v>908</v>
      </c>
      <c r="J307" s="24" t="s">
        <v>908</v>
      </c>
      <c r="K307" s="24" t="s">
        <v>908</v>
      </c>
      <c r="M307" s="24" t="s">
        <v>908</v>
      </c>
      <c r="N307" s="24"/>
      <c r="P307" s="1" t="str">
        <f t="shared" si="8"/>
        <v>61101009</v>
      </c>
      <c r="Q307" s="263" t="str">
        <f t="shared" si="9"/>
        <v>FO - Pension Plan</v>
      </c>
    </row>
    <row r="308" spans="1:17" x14ac:dyDescent="0.25">
      <c r="A308" s="24" t="s">
        <v>224</v>
      </c>
      <c r="B308" s="24" t="s">
        <v>20</v>
      </c>
      <c r="C308" s="24" t="s">
        <v>20</v>
      </c>
      <c r="D308" s="24" t="s">
        <v>0</v>
      </c>
      <c r="E308" s="25" t="s">
        <v>238</v>
      </c>
      <c r="F308" s="5" t="s">
        <v>239</v>
      </c>
      <c r="G308" s="2" t="s">
        <v>174</v>
      </c>
      <c r="H308" s="2" t="s">
        <v>23</v>
      </c>
      <c r="I308" s="24" t="s">
        <v>908</v>
      </c>
      <c r="J308" s="24" t="s">
        <v>908</v>
      </c>
      <c r="K308" s="24" t="s">
        <v>908</v>
      </c>
      <c r="M308" s="24" t="s">
        <v>908</v>
      </c>
      <c r="N308" s="24"/>
      <c r="P308" s="1" t="str">
        <f t="shared" si="8"/>
        <v>61101010</v>
      </c>
      <c r="Q308" s="263" t="str">
        <f t="shared" si="9"/>
        <v>FO - Temporary Staff &amp; Daily Worker</v>
      </c>
    </row>
    <row r="309" spans="1:17" x14ac:dyDescent="0.25">
      <c r="A309" s="24" t="s">
        <v>224</v>
      </c>
      <c r="B309" s="24" t="s">
        <v>20</v>
      </c>
      <c r="C309" s="24" t="s">
        <v>20</v>
      </c>
      <c r="D309" s="24" t="s">
        <v>0</v>
      </c>
      <c r="E309" s="25" t="s">
        <v>240</v>
      </c>
      <c r="F309" s="5" t="s">
        <v>241</v>
      </c>
      <c r="G309" s="2" t="s">
        <v>174</v>
      </c>
      <c r="H309" s="2" t="s">
        <v>23</v>
      </c>
      <c r="I309" s="24" t="s">
        <v>908</v>
      </c>
      <c r="J309" s="24" t="s">
        <v>908</v>
      </c>
      <c r="K309" s="24" t="s">
        <v>908</v>
      </c>
      <c r="M309" s="24" t="s">
        <v>908</v>
      </c>
      <c r="N309" s="24"/>
      <c r="P309" s="1" t="str">
        <f t="shared" si="8"/>
        <v>61101011</v>
      </c>
      <c r="Q309" s="263" t="str">
        <f t="shared" si="9"/>
        <v>FO - Employee Benefit</v>
      </c>
    </row>
    <row r="310" spans="1:17" x14ac:dyDescent="0.25">
      <c r="A310" s="24" t="s">
        <v>224</v>
      </c>
      <c r="B310" s="24" t="s">
        <v>20</v>
      </c>
      <c r="C310" s="24" t="s">
        <v>20</v>
      </c>
      <c r="D310" s="24" t="s">
        <v>0</v>
      </c>
      <c r="E310" s="25" t="s">
        <v>43</v>
      </c>
      <c r="F310" s="5" t="s">
        <v>242</v>
      </c>
      <c r="G310" s="2" t="s">
        <v>174</v>
      </c>
      <c r="H310" s="2" t="s">
        <v>23</v>
      </c>
      <c r="I310" s="24" t="s">
        <v>908</v>
      </c>
      <c r="J310" s="24" t="s">
        <v>908</v>
      </c>
      <c r="K310" s="24" t="s">
        <v>908</v>
      </c>
      <c r="M310" s="24" t="s">
        <v>908</v>
      </c>
      <c r="N310" s="24"/>
      <c r="P310" s="1" t="str">
        <f t="shared" si="8"/>
        <v>61101999</v>
      </c>
      <c r="Q310" s="263" t="str">
        <f t="shared" si="9"/>
        <v>FO - Other Payroll and Related Expense</v>
      </c>
    </row>
    <row r="311" spans="1:17" x14ac:dyDescent="0.25">
      <c r="A311" s="20" t="s">
        <v>224</v>
      </c>
      <c r="B311" s="20" t="s">
        <v>20</v>
      </c>
      <c r="C311" s="20" t="s">
        <v>20</v>
      </c>
      <c r="D311" s="21" t="s">
        <v>2</v>
      </c>
      <c r="E311" s="20"/>
      <c r="F311" s="22" t="s">
        <v>243</v>
      </c>
      <c r="G311" s="23" t="s">
        <v>174</v>
      </c>
      <c r="H311" s="23" t="s">
        <v>23</v>
      </c>
      <c r="I311" s="23" t="s">
        <v>907</v>
      </c>
      <c r="J311" s="23" t="s">
        <v>907</v>
      </c>
      <c r="K311" s="23" t="s">
        <v>907</v>
      </c>
      <c r="M311" s="23" t="s">
        <v>907</v>
      </c>
      <c r="N311" s="23"/>
      <c r="P311" s="1" t="str">
        <f t="shared" si="8"/>
        <v>61102</v>
      </c>
      <c r="Q311" s="263" t="str">
        <f t="shared" si="9"/>
        <v>Payroll and Related Expenses - Housekeeping</v>
      </c>
    </row>
    <row r="312" spans="1:17" x14ac:dyDescent="0.25">
      <c r="A312" s="24" t="s">
        <v>224</v>
      </c>
      <c r="B312" s="24" t="s">
        <v>20</v>
      </c>
      <c r="C312" s="24" t="s">
        <v>20</v>
      </c>
      <c r="D312" s="24" t="s">
        <v>2</v>
      </c>
      <c r="E312" s="25" t="s">
        <v>1</v>
      </c>
      <c r="F312" s="5" t="s">
        <v>244</v>
      </c>
      <c r="G312" s="2" t="s">
        <v>174</v>
      </c>
      <c r="H312" s="2" t="s">
        <v>23</v>
      </c>
      <c r="I312" s="24" t="s">
        <v>908</v>
      </c>
      <c r="J312" s="24" t="s">
        <v>908</v>
      </c>
      <c r="K312" s="24" t="s">
        <v>908</v>
      </c>
      <c r="M312" s="24" t="s">
        <v>908</v>
      </c>
      <c r="N312" s="24"/>
      <c r="P312" s="1" t="str">
        <f t="shared" si="8"/>
        <v>61102001</v>
      </c>
      <c r="Q312" s="263" t="str">
        <f t="shared" si="9"/>
        <v>HK - Salary</v>
      </c>
    </row>
    <row r="313" spans="1:17" x14ac:dyDescent="0.25">
      <c r="A313" s="24" t="s">
        <v>224</v>
      </c>
      <c r="B313" s="24" t="s">
        <v>20</v>
      </c>
      <c r="C313" s="24" t="s">
        <v>20</v>
      </c>
      <c r="D313" s="24" t="s">
        <v>2</v>
      </c>
      <c r="E313" s="25" t="s">
        <v>3</v>
      </c>
      <c r="F313" s="5" t="s">
        <v>245</v>
      </c>
      <c r="G313" s="2" t="s">
        <v>174</v>
      </c>
      <c r="H313" s="2" t="s">
        <v>23</v>
      </c>
      <c r="I313" s="24" t="s">
        <v>908</v>
      </c>
      <c r="J313" s="24" t="s">
        <v>908</v>
      </c>
      <c r="K313" s="24" t="s">
        <v>908</v>
      </c>
      <c r="M313" s="24" t="s">
        <v>908</v>
      </c>
      <c r="N313" s="24"/>
      <c r="P313" s="1" t="str">
        <f t="shared" si="8"/>
        <v>61102002</v>
      </c>
      <c r="Q313" s="263" t="str">
        <f t="shared" si="9"/>
        <v>HK - Overtime</v>
      </c>
    </row>
    <row r="314" spans="1:17" x14ac:dyDescent="0.25">
      <c r="A314" s="24" t="s">
        <v>224</v>
      </c>
      <c r="B314" s="24" t="s">
        <v>20</v>
      </c>
      <c r="C314" s="24" t="s">
        <v>20</v>
      </c>
      <c r="D314" s="24" t="s">
        <v>2</v>
      </c>
      <c r="E314" s="25" t="s">
        <v>5</v>
      </c>
      <c r="F314" s="5" t="s">
        <v>246</v>
      </c>
      <c r="G314" s="2" t="s">
        <v>174</v>
      </c>
      <c r="H314" s="2" t="s">
        <v>23</v>
      </c>
      <c r="I314" s="24" t="s">
        <v>908</v>
      </c>
      <c r="J314" s="24" t="s">
        <v>908</v>
      </c>
      <c r="K314" s="24" t="s">
        <v>908</v>
      </c>
      <c r="M314" s="24" t="s">
        <v>908</v>
      </c>
      <c r="N314" s="24"/>
      <c r="P314" s="1" t="str">
        <f t="shared" si="8"/>
        <v>61102003</v>
      </c>
      <c r="Q314" s="263" t="str">
        <f t="shared" si="9"/>
        <v>HK - THR</v>
      </c>
    </row>
    <row r="315" spans="1:17" x14ac:dyDescent="0.25">
      <c r="A315" s="24" t="s">
        <v>224</v>
      </c>
      <c r="B315" s="24" t="s">
        <v>20</v>
      </c>
      <c r="C315" s="24" t="s">
        <v>20</v>
      </c>
      <c r="D315" s="24" t="s">
        <v>2</v>
      </c>
      <c r="E315" s="25" t="s">
        <v>7</v>
      </c>
      <c r="F315" s="5" t="s">
        <v>247</v>
      </c>
      <c r="G315" s="2" t="s">
        <v>174</v>
      </c>
      <c r="H315" s="2" t="s">
        <v>23</v>
      </c>
      <c r="I315" s="24" t="s">
        <v>908</v>
      </c>
      <c r="J315" s="24" t="s">
        <v>908</v>
      </c>
      <c r="K315" s="24" t="s">
        <v>908</v>
      </c>
      <c r="M315" s="24" t="s">
        <v>908</v>
      </c>
      <c r="N315" s="24"/>
      <c r="P315" s="1" t="str">
        <f t="shared" si="8"/>
        <v>61102004</v>
      </c>
      <c r="Q315" s="263" t="str">
        <f t="shared" si="9"/>
        <v>HK - Bonus</v>
      </c>
    </row>
    <row r="316" spans="1:17" x14ac:dyDescent="0.25">
      <c r="A316" s="24" t="s">
        <v>224</v>
      </c>
      <c r="B316" s="24" t="s">
        <v>20</v>
      </c>
      <c r="C316" s="24" t="s">
        <v>20</v>
      </c>
      <c r="D316" s="24" t="s">
        <v>2</v>
      </c>
      <c r="E316" s="25" t="s">
        <v>9</v>
      </c>
      <c r="F316" s="5" t="s">
        <v>248</v>
      </c>
      <c r="G316" s="2" t="s">
        <v>174</v>
      </c>
      <c r="H316" s="2" t="s">
        <v>23</v>
      </c>
      <c r="I316" s="24" t="s">
        <v>908</v>
      </c>
      <c r="J316" s="24" t="s">
        <v>908</v>
      </c>
      <c r="K316" s="24" t="s">
        <v>908</v>
      </c>
      <c r="M316" s="24" t="s">
        <v>908</v>
      </c>
      <c r="N316" s="24"/>
      <c r="P316" s="1" t="str">
        <f t="shared" si="8"/>
        <v>61102005</v>
      </c>
      <c r="Q316" s="263" t="str">
        <f t="shared" si="9"/>
        <v>HK - Income Tax Allowance</v>
      </c>
    </row>
    <row r="317" spans="1:17" x14ac:dyDescent="0.25">
      <c r="A317" s="24" t="s">
        <v>224</v>
      </c>
      <c r="B317" s="24" t="s">
        <v>20</v>
      </c>
      <c r="C317" s="24" t="s">
        <v>20</v>
      </c>
      <c r="D317" s="24" t="s">
        <v>2</v>
      </c>
      <c r="E317" s="25" t="s">
        <v>10</v>
      </c>
      <c r="F317" s="5" t="s">
        <v>249</v>
      </c>
      <c r="G317" s="2" t="s">
        <v>174</v>
      </c>
      <c r="H317" s="2" t="s">
        <v>23</v>
      </c>
      <c r="I317" s="24" t="s">
        <v>908</v>
      </c>
      <c r="J317" s="24" t="s">
        <v>908</v>
      </c>
      <c r="K317" s="24" t="s">
        <v>908</v>
      </c>
      <c r="M317" s="24" t="s">
        <v>908</v>
      </c>
      <c r="N317" s="24"/>
      <c r="P317" s="1" t="str">
        <f t="shared" si="8"/>
        <v>61102006</v>
      </c>
      <c r="Q317" s="263" t="str">
        <f t="shared" si="9"/>
        <v>HK - Meal Allowance</v>
      </c>
    </row>
    <row r="318" spans="1:17" x14ac:dyDescent="0.25">
      <c r="A318" s="24" t="s">
        <v>224</v>
      </c>
      <c r="B318" s="24" t="s">
        <v>20</v>
      </c>
      <c r="C318" s="24" t="s">
        <v>20</v>
      </c>
      <c r="D318" s="24" t="s">
        <v>2</v>
      </c>
      <c r="E318" s="25" t="s">
        <v>11</v>
      </c>
      <c r="F318" s="5" t="s">
        <v>250</v>
      </c>
      <c r="G318" s="2" t="s">
        <v>174</v>
      </c>
      <c r="H318" s="2" t="s">
        <v>23</v>
      </c>
      <c r="I318" s="24" t="s">
        <v>908</v>
      </c>
      <c r="J318" s="24" t="s">
        <v>908</v>
      </c>
      <c r="K318" s="24" t="s">
        <v>908</v>
      </c>
      <c r="M318" s="24" t="s">
        <v>908</v>
      </c>
      <c r="N318" s="24"/>
      <c r="P318" s="1" t="str">
        <f t="shared" si="8"/>
        <v>61102007</v>
      </c>
      <c r="Q318" s="263" t="str">
        <f t="shared" si="9"/>
        <v>HK - Jamsostek</v>
      </c>
    </row>
    <row r="319" spans="1:17" x14ac:dyDescent="0.25">
      <c r="A319" s="24" t="s">
        <v>224</v>
      </c>
      <c r="B319" s="24" t="s">
        <v>20</v>
      </c>
      <c r="C319" s="24" t="s">
        <v>20</v>
      </c>
      <c r="D319" s="24" t="s">
        <v>2</v>
      </c>
      <c r="E319" s="25" t="s">
        <v>13</v>
      </c>
      <c r="F319" s="5" t="s">
        <v>251</v>
      </c>
      <c r="G319" s="2" t="s">
        <v>174</v>
      </c>
      <c r="H319" s="2" t="s">
        <v>23</v>
      </c>
      <c r="I319" s="24" t="s">
        <v>908</v>
      </c>
      <c r="J319" s="24" t="s">
        <v>908</v>
      </c>
      <c r="K319" s="24" t="s">
        <v>908</v>
      </c>
      <c r="M319" s="24" t="s">
        <v>908</v>
      </c>
      <c r="N319" s="24"/>
      <c r="P319" s="1" t="str">
        <f t="shared" si="8"/>
        <v>61102008</v>
      </c>
      <c r="Q319" s="263" t="str">
        <f t="shared" si="9"/>
        <v>HK - Medical &amp; Insurance</v>
      </c>
    </row>
    <row r="320" spans="1:17" x14ac:dyDescent="0.25">
      <c r="A320" s="24" t="s">
        <v>224</v>
      </c>
      <c r="B320" s="24" t="s">
        <v>20</v>
      </c>
      <c r="C320" s="24" t="s">
        <v>20</v>
      </c>
      <c r="D320" s="24" t="s">
        <v>2</v>
      </c>
      <c r="E320" s="25" t="s">
        <v>15</v>
      </c>
      <c r="F320" s="5" t="s">
        <v>252</v>
      </c>
      <c r="G320" s="2" t="s">
        <v>174</v>
      </c>
      <c r="H320" s="2" t="s">
        <v>23</v>
      </c>
      <c r="I320" s="24" t="s">
        <v>908</v>
      </c>
      <c r="J320" s="24" t="s">
        <v>908</v>
      </c>
      <c r="K320" s="24" t="s">
        <v>908</v>
      </c>
      <c r="M320" s="24" t="s">
        <v>908</v>
      </c>
      <c r="N320" s="24"/>
      <c r="P320" s="1" t="str">
        <f t="shared" si="8"/>
        <v>61102009</v>
      </c>
      <c r="Q320" s="263" t="str">
        <f t="shared" si="9"/>
        <v>HK - Pension Plan</v>
      </c>
    </row>
    <row r="321" spans="1:17" x14ac:dyDescent="0.25">
      <c r="A321" s="24" t="s">
        <v>224</v>
      </c>
      <c r="B321" s="24" t="s">
        <v>20</v>
      </c>
      <c r="C321" s="24" t="s">
        <v>20</v>
      </c>
      <c r="D321" s="24" t="s">
        <v>2</v>
      </c>
      <c r="E321" s="25" t="s">
        <v>238</v>
      </c>
      <c r="F321" s="5" t="s">
        <v>915</v>
      </c>
      <c r="G321" s="2" t="s">
        <v>174</v>
      </c>
      <c r="H321" s="2" t="s">
        <v>23</v>
      </c>
      <c r="I321" s="24" t="s">
        <v>908</v>
      </c>
      <c r="J321" s="24" t="s">
        <v>908</v>
      </c>
      <c r="K321" s="24" t="s">
        <v>908</v>
      </c>
      <c r="M321" s="24" t="s">
        <v>908</v>
      </c>
      <c r="N321" s="24"/>
      <c r="P321" s="1" t="str">
        <f t="shared" si="8"/>
        <v>61102010</v>
      </c>
      <c r="Q321" s="263" t="str">
        <f t="shared" si="9"/>
        <v>HK - Temporary Staff &amp; Daily Worker</v>
      </c>
    </row>
    <row r="322" spans="1:17" x14ac:dyDescent="0.25">
      <c r="A322" s="24" t="s">
        <v>224</v>
      </c>
      <c r="B322" s="24" t="s">
        <v>20</v>
      </c>
      <c r="C322" s="24" t="s">
        <v>20</v>
      </c>
      <c r="D322" s="24" t="s">
        <v>2</v>
      </c>
      <c r="E322" s="25" t="s">
        <v>240</v>
      </c>
      <c r="F322" s="5" t="s">
        <v>253</v>
      </c>
      <c r="G322" s="2" t="s">
        <v>174</v>
      </c>
      <c r="H322" s="2" t="s">
        <v>23</v>
      </c>
      <c r="I322" s="24" t="s">
        <v>908</v>
      </c>
      <c r="J322" s="24" t="s">
        <v>908</v>
      </c>
      <c r="K322" s="24" t="s">
        <v>908</v>
      </c>
      <c r="M322" s="24" t="s">
        <v>908</v>
      </c>
      <c r="N322" s="24"/>
      <c r="P322" s="1" t="str">
        <f t="shared" si="8"/>
        <v>61102011</v>
      </c>
      <c r="Q322" s="263" t="str">
        <f t="shared" si="9"/>
        <v>HK - Employee Benefit</v>
      </c>
    </row>
    <row r="323" spans="1:17" x14ac:dyDescent="0.25">
      <c r="A323" s="24" t="s">
        <v>224</v>
      </c>
      <c r="B323" s="24" t="s">
        <v>20</v>
      </c>
      <c r="C323" s="24" t="s">
        <v>20</v>
      </c>
      <c r="D323" s="24" t="s">
        <v>2</v>
      </c>
      <c r="E323" s="25" t="s">
        <v>43</v>
      </c>
      <c r="F323" s="5" t="s">
        <v>254</v>
      </c>
      <c r="G323" s="2" t="s">
        <v>174</v>
      </c>
      <c r="H323" s="2" t="s">
        <v>23</v>
      </c>
      <c r="I323" s="24" t="s">
        <v>908</v>
      </c>
      <c r="J323" s="24" t="s">
        <v>908</v>
      </c>
      <c r="K323" s="24" t="s">
        <v>908</v>
      </c>
      <c r="M323" s="24" t="s">
        <v>908</v>
      </c>
      <c r="N323" s="24"/>
      <c r="P323" s="1" t="str">
        <f t="shared" si="8"/>
        <v>61102999</v>
      </c>
      <c r="Q323" s="263" t="str">
        <f t="shared" si="9"/>
        <v>HK - Other Payroll and Related Expense</v>
      </c>
    </row>
    <row r="324" spans="1:17" x14ac:dyDescent="0.25">
      <c r="A324" s="16" t="s">
        <v>224</v>
      </c>
      <c r="B324" s="16" t="s">
        <v>20</v>
      </c>
      <c r="C324" s="16" t="s">
        <v>33</v>
      </c>
      <c r="D324" s="16"/>
      <c r="E324" s="16"/>
      <c r="F324" s="18" t="s">
        <v>255</v>
      </c>
      <c r="G324" s="19" t="s">
        <v>174</v>
      </c>
      <c r="H324" s="19" t="s">
        <v>23</v>
      </c>
      <c r="I324" s="19" t="s">
        <v>907</v>
      </c>
      <c r="J324" s="19" t="s">
        <v>907</v>
      </c>
      <c r="K324" s="19" t="s">
        <v>907</v>
      </c>
      <c r="M324" s="19" t="s">
        <v>907</v>
      </c>
      <c r="N324" s="19"/>
      <c r="P324" s="1" t="str">
        <f t="shared" si="8"/>
        <v>612</v>
      </c>
      <c r="Q324" s="263" t="str">
        <f t="shared" si="9"/>
        <v>Payroll and Related Expenses - Food &amp; Beverage Department</v>
      </c>
    </row>
    <row r="325" spans="1:17" x14ac:dyDescent="0.25">
      <c r="A325" s="20" t="s">
        <v>224</v>
      </c>
      <c r="B325" s="20" t="s">
        <v>20</v>
      </c>
      <c r="C325" s="20" t="s">
        <v>33</v>
      </c>
      <c r="D325" s="21" t="s">
        <v>0</v>
      </c>
      <c r="E325" s="20"/>
      <c r="F325" s="22" t="s">
        <v>534</v>
      </c>
      <c r="G325" s="23" t="s">
        <v>174</v>
      </c>
      <c r="H325" s="23" t="s">
        <v>23</v>
      </c>
      <c r="I325" s="23" t="s">
        <v>907</v>
      </c>
      <c r="J325" s="23" t="s">
        <v>907</v>
      </c>
      <c r="K325" s="23" t="s">
        <v>907</v>
      </c>
      <c r="M325" s="23" t="s">
        <v>907</v>
      </c>
      <c r="N325" s="23"/>
      <c r="P325" s="1" t="str">
        <f t="shared" ref="P325:P388" si="10">CONCATENATE(A325,B325,C325,D325,E325)</f>
        <v>61201</v>
      </c>
      <c r="Q325" s="263" t="str">
        <f t="shared" si="9"/>
        <v>Payroll and Related Expenses - Food &amp; Beverage</v>
      </c>
    </row>
    <row r="326" spans="1:17" x14ac:dyDescent="0.25">
      <c r="A326" s="24" t="s">
        <v>224</v>
      </c>
      <c r="B326" s="24" t="s">
        <v>20</v>
      </c>
      <c r="C326" s="24" t="s">
        <v>33</v>
      </c>
      <c r="D326" s="24" t="s">
        <v>0</v>
      </c>
      <c r="E326" s="25" t="s">
        <v>1</v>
      </c>
      <c r="F326" s="5" t="s">
        <v>535</v>
      </c>
      <c r="G326" s="2" t="s">
        <v>174</v>
      </c>
      <c r="H326" s="2" t="s">
        <v>23</v>
      </c>
      <c r="I326" s="24" t="s">
        <v>908</v>
      </c>
      <c r="J326" s="24" t="s">
        <v>908</v>
      </c>
      <c r="K326" s="24" t="s">
        <v>908</v>
      </c>
      <c r="M326" s="24" t="s">
        <v>908</v>
      </c>
      <c r="N326" s="24"/>
      <c r="P326" s="1" t="str">
        <f t="shared" si="10"/>
        <v>61201001</v>
      </c>
      <c r="Q326" s="263" t="str">
        <f t="shared" si="9"/>
        <v>FB - Salary</v>
      </c>
    </row>
    <row r="327" spans="1:17" x14ac:dyDescent="0.25">
      <c r="A327" s="24" t="s">
        <v>224</v>
      </c>
      <c r="B327" s="24" t="s">
        <v>20</v>
      </c>
      <c r="C327" s="24" t="s">
        <v>33</v>
      </c>
      <c r="D327" s="24" t="s">
        <v>0</v>
      </c>
      <c r="E327" s="25" t="s">
        <v>3</v>
      </c>
      <c r="F327" s="5" t="s">
        <v>536</v>
      </c>
      <c r="G327" s="2" t="s">
        <v>174</v>
      </c>
      <c r="H327" s="2" t="s">
        <v>23</v>
      </c>
      <c r="I327" s="24" t="s">
        <v>908</v>
      </c>
      <c r="J327" s="24" t="s">
        <v>908</v>
      </c>
      <c r="K327" s="24" t="s">
        <v>908</v>
      </c>
      <c r="M327" s="24" t="s">
        <v>908</v>
      </c>
      <c r="N327" s="24"/>
      <c r="P327" s="1" t="str">
        <f t="shared" si="10"/>
        <v>61201002</v>
      </c>
      <c r="Q327" s="263" t="str">
        <f t="shared" si="9"/>
        <v>FB - Overtime</v>
      </c>
    </row>
    <row r="328" spans="1:17" x14ac:dyDescent="0.25">
      <c r="A328" s="24" t="s">
        <v>224</v>
      </c>
      <c r="B328" s="24" t="s">
        <v>20</v>
      </c>
      <c r="C328" s="24" t="s">
        <v>33</v>
      </c>
      <c r="D328" s="24" t="s">
        <v>0</v>
      </c>
      <c r="E328" s="25" t="s">
        <v>5</v>
      </c>
      <c r="F328" s="5" t="s">
        <v>537</v>
      </c>
      <c r="G328" s="2" t="s">
        <v>174</v>
      </c>
      <c r="H328" s="2" t="s">
        <v>23</v>
      </c>
      <c r="I328" s="24" t="s">
        <v>908</v>
      </c>
      <c r="J328" s="24" t="s">
        <v>908</v>
      </c>
      <c r="K328" s="24" t="s">
        <v>908</v>
      </c>
      <c r="M328" s="24" t="s">
        <v>908</v>
      </c>
      <c r="N328" s="24"/>
      <c r="P328" s="1" t="str">
        <f t="shared" si="10"/>
        <v>61201003</v>
      </c>
      <c r="Q328" s="263" t="str">
        <f t="shared" si="9"/>
        <v>FB - THR</v>
      </c>
    </row>
    <row r="329" spans="1:17" x14ac:dyDescent="0.25">
      <c r="A329" s="24" t="s">
        <v>224</v>
      </c>
      <c r="B329" s="24" t="s">
        <v>20</v>
      </c>
      <c r="C329" s="24" t="s">
        <v>33</v>
      </c>
      <c r="D329" s="24" t="s">
        <v>0</v>
      </c>
      <c r="E329" s="25" t="s">
        <v>7</v>
      </c>
      <c r="F329" s="5" t="s">
        <v>538</v>
      </c>
      <c r="G329" s="2" t="s">
        <v>174</v>
      </c>
      <c r="H329" s="2" t="s">
        <v>23</v>
      </c>
      <c r="I329" s="24" t="s">
        <v>908</v>
      </c>
      <c r="J329" s="24" t="s">
        <v>908</v>
      </c>
      <c r="K329" s="24" t="s">
        <v>908</v>
      </c>
      <c r="M329" s="24" t="s">
        <v>908</v>
      </c>
      <c r="N329" s="24"/>
      <c r="P329" s="1" t="str">
        <f t="shared" si="10"/>
        <v>61201004</v>
      </c>
      <c r="Q329" s="263" t="str">
        <f t="shared" ref="Q329:Q392" si="11">F329</f>
        <v>FB - Bonus</v>
      </c>
    </row>
    <row r="330" spans="1:17" x14ac:dyDescent="0.25">
      <c r="A330" s="24" t="s">
        <v>224</v>
      </c>
      <c r="B330" s="24" t="s">
        <v>20</v>
      </c>
      <c r="C330" s="24" t="s">
        <v>33</v>
      </c>
      <c r="D330" s="24" t="s">
        <v>0</v>
      </c>
      <c r="E330" s="25" t="s">
        <v>9</v>
      </c>
      <c r="F330" s="5" t="s">
        <v>539</v>
      </c>
      <c r="G330" s="2" t="s">
        <v>174</v>
      </c>
      <c r="H330" s="2" t="s">
        <v>23</v>
      </c>
      <c r="I330" s="24" t="s">
        <v>908</v>
      </c>
      <c r="J330" s="24" t="s">
        <v>908</v>
      </c>
      <c r="K330" s="24" t="s">
        <v>908</v>
      </c>
      <c r="M330" s="24" t="s">
        <v>908</v>
      </c>
      <c r="N330" s="24"/>
      <c r="P330" s="1" t="str">
        <f t="shared" si="10"/>
        <v>61201005</v>
      </c>
      <c r="Q330" s="263" t="str">
        <f t="shared" si="11"/>
        <v>FB - Income Tax Allowance</v>
      </c>
    </row>
    <row r="331" spans="1:17" x14ac:dyDescent="0.25">
      <c r="A331" s="24" t="s">
        <v>224</v>
      </c>
      <c r="B331" s="24" t="s">
        <v>20</v>
      </c>
      <c r="C331" s="24" t="s">
        <v>33</v>
      </c>
      <c r="D331" s="24" t="s">
        <v>0</v>
      </c>
      <c r="E331" s="25" t="s">
        <v>10</v>
      </c>
      <c r="F331" s="5" t="s">
        <v>540</v>
      </c>
      <c r="G331" s="2" t="s">
        <v>174</v>
      </c>
      <c r="H331" s="2" t="s">
        <v>23</v>
      </c>
      <c r="I331" s="24" t="s">
        <v>908</v>
      </c>
      <c r="J331" s="24" t="s">
        <v>908</v>
      </c>
      <c r="K331" s="24" t="s">
        <v>908</v>
      </c>
      <c r="M331" s="24" t="s">
        <v>908</v>
      </c>
      <c r="N331" s="24"/>
      <c r="P331" s="1" t="str">
        <f t="shared" si="10"/>
        <v>61201006</v>
      </c>
      <c r="Q331" s="263" t="str">
        <f t="shared" si="11"/>
        <v>FB - Meal Allowance</v>
      </c>
    </row>
    <row r="332" spans="1:17" x14ac:dyDescent="0.25">
      <c r="A332" s="24" t="s">
        <v>224</v>
      </c>
      <c r="B332" s="24" t="s">
        <v>20</v>
      </c>
      <c r="C332" s="24" t="s">
        <v>33</v>
      </c>
      <c r="D332" s="24" t="s">
        <v>0</v>
      </c>
      <c r="E332" s="25" t="s">
        <v>11</v>
      </c>
      <c r="F332" s="5" t="s">
        <v>541</v>
      </c>
      <c r="G332" s="2" t="s">
        <v>174</v>
      </c>
      <c r="H332" s="2" t="s">
        <v>23</v>
      </c>
      <c r="I332" s="24" t="s">
        <v>908</v>
      </c>
      <c r="J332" s="24" t="s">
        <v>908</v>
      </c>
      <c r="K332" s="24" t="s">
        <v>908</v>
      </c>
      <c r="M332" s="24" t="s">
        <v>908</v>
      </c>
      <c r="N332" s="24"/>
      <c r="P332" s="1" t="str">
        <f t="shared" si="10"/>
        <v>61201007</v>
      </c>
      <c r="Q332" s="263" t="str">
        <f t="shared" si="11"/>
        <v>FB - Jamsostek</v>
      </c>
    </row>
    <row r="333" spans="1:17" x14ac:dyDescent="0.25">
      <c r="A333" s="24" t="s">
        <v>224</v>
      </c>
      <c r="B333" s="24" t="s">
        <v>20</v>
      </c>
      <c r="C333" s="24" t="s">
        <v>33</v>
      </c>
      <c r="D333" s="24" t="s">
        <v>0</v>
      </c>
      <c r="E333" s="25" t="s">
        <v>13</v>
      </c>
      <c r="F333" s="5" t="s">
        <v>542</v>
      </c>
      <c r="G333" s="2" t="s">
        <v>174</v>
      </c>
      <c r="H333" s="2" t="s">
        <v>23</v>
      </c>
      <c r="I333" s="24" t="s">
        <v>908</v>
      </c>
      <c r="J333" s="24" t="s">
        <v>908</v>
      </c>
      <c r="K333" s="24" t="s">
        <v>908</v>
      </c>
      <c r="M333" s="24" t="s">
        <v>908</v>
      </c>
      <c r="N333" s="24"/>
      <c r="P333" s="1" t="str">
        <f t="shared" si="10"/>
        <v>61201008</v>
      </c>
      <c r="Q333" s="263" t="str">
        <f t="shared" si="11"/>
        <v>FB - Medical &amp; Insurance</v>
      </c>
    </row>
    <row r="334" spans="1:17" x14ac:dyDescent="0.25">
      <c r="A334" s="24" t="s">
        <v>224</v>
      </c>
      <c r="B334" s="24" t="s">
        <v>20</v>
      </c>
      <c r="C334" s="24" t="s">
        <v>33</v>
      </c>
      <c r="D334" s="24" t="s">
        <v>0</v>
      </c>
      <c r="E334" s="25" t="s">
        <v>15</v>
      </c>
      <c r="F334" s="5" t="s">
        <v>543</v>
      </c>
      <c r="G334" s="2" t="s">
        <v>174</v>
      </c>
      <c r="H334" s="2" t="s">
        <v>23</v>
      </c>
      <c r="I334" s="24" t="s">
        <v>908</v>
      </c>
      <c r="J334" s="24" t="s">
        <v>908</v>
      </c>
      <c r="K334" s="24" t="s">
        <v>908</v>
      </c>
      <c r="M334" s="24" t="s">
        <v>908</v>
      </c>
      <c r="N334" s="24"/>
      <c r="P334" s="1" t="str">
        <f t="shared" si="10"/>
        <v>61201009</v>
      </c>
      <c r="Q334" s="263" t="str">
        <f t="shared" si="11"/>
        <v>FB - Pension Plan</v>
      </c>
    </row>
    <row r="335" spans="1:17" x14ac:dyDescent="0.25">
      <c r="A335" s="24" t="s">
        <v>224</v>
      </c>
      <c r="B335" s="24" t="s">
        <v>20</v>
      </c>
      <c r="C335" s="24" t="s">
        <v>33</v>
      </c>
      <c r="D335" s="24" t="s">
        <v>0</v>
      </c>
      <c r="E335" s="25" t="s">
        <v>238</v>
      </c>
      <c r="F335" s="5" t="s">
        <v>916</v>
      </c>
      <c r="G335" s="2" t="s">
        <v>174</v>
      </c>
      <c r="H335" s="2" t="s">
        <v>23</v>
      </c>
      <c r="I335" s="24" t="s">
        <v>908</v>
      </c>
      <c r="J335" s="24" t="s">
        <v>908</v>
      </c>
      <c r="K335" s="24" t="s">
        <v>908</v>
      </c>
      <c r="M335" s="24" t="s">
        <v>908</v>
      </c>
      <c r="N335" s="24"/>
      <c r="P335" s="1" t="str">
        <f t="shared" si="10"/>
        <v>61201010</v>
      </c>
      <c r="Q335" s="263" t="str">
        <f t="shared" si="11"/>
        <v>FB - Temporary Staff &amp; Daily Worker</v>
      </c>
    </row>
    <row r="336" spans="1:17" x14ac:dyDescent="0.25">
      <c r="A336" s="24" t="s">
        <v>224</v>
      </c>
      <c r="B336" s="24" t="s">
        <v>20</v>
      </c>
      <c r="C336" s="24" t="s">
        <v>33</v>
      </c>
      <c r="D336" s="24" t="s">
        <v>0</v>
      </c>
      <c r="E336" s="25" t="s">
        <v>240</v>
      </c>
      <c r="F336" s="5" t="s">
        <v>544</v>
      </c>
      <c r="G336" s="2" t="s">
        <v>174</v>
      </c>
      <c r="H336" s="2" t="s">
        <v>23</v>
      </c>
      <c r="I336" s="24" t="s">
        <v>908</v>
      </c>
      <c r="J336" s="24" t="s">
        <v>908</v>
      </c>
      <c r="K336" s="24" t="s">
        <v>908</v>
      </c>
      <c r="M336" s="24" t="s">
        <v>908</v>
      </c>
      <c r="N336" s="24"/>
      <c r="P336" s="1" t="str">
        <f t="shared" si="10"/>
        <v>61201011</v>
      </c>
      <c r="Q336" s="263" t="str">
        <f t="shared" si="11"/>
        <v>FB - Employee Benefit</v>
      </c>
    </row>
    <row r="337" spans="1:17" x14ac:dyDescent="0.25">
      <c r="A337" s="24" t="s">
        <v>224</v>
      </c>
      <c r="B337" s="24" t="s">
        <v>20</v>
      </c>
      <c r="C337" s="24" t="s">
        <v>33</v>
      </c>
      <c r="D337" s="24" t="s">
        <v>0</v>
      </c>
      <c r="E337" s="25" t="s">
        <v>43</v>
      </c>
      <c r="F337" s="5" t="s">
        <v>545</v>
      </c>
      <c r="G337" s="2" t="s">
        <v>174</v>
      </c>
      <c r="H337" s="2" t="s">
        <v>23</v>
      </c>
      <c r="I337" s="24" t="s">
        <v>908</v>
      </c>
      <c r="J337" s="24" t="s">
        <v>908</v>
      </c>
      <c r="K337" s="24" t="s">
        <v>908</v>
      </c>
      <c r="M337" s="24" t="s">
        <v>908</v>
      </c>
      <c r="N337" s="24"/>
      <c r="P337" s="1" t="str">
        <f t="shared" si="10"/>
        <v>61201999</v>
      </c>
      <c r="Q337" s="263" t="str">
        <f t="shared" si="11"/>
        <v>FB - Other Payroll and Related Expense</v>
      </c>
    </row>
    <row r="338" spans="1:17" x14ac:dyDescent="0.25">
      <c r="A338" s="20" t="s">
        <v>224</v>
      </c>
      <c r="B338" s="20" t="s">
        <v>20</v>
      </c>
      <c r="C338" s="20" t="s">
        <v>33</v>
      </c>
      <c r="D338" s="21" t="s">
        <v>2</v>
      </c>
      <c r="E338" s="20"/>
      <c r="F338" s="22" t="s">
        <v>256</v>
      </c>
      <c r="G338" s="23" t="s">
        <v>174</v>
      </c>
      <c r="H338" s="23" t="s">
        <v>23</v>
      </c>
      <c r="I338" s="23" t="s">
        <v>907</v>
      </c>
      <c r="J338" s="23" t="s">
        <v>907</v>
      </c>
      <c r="K338" s="23" t="s">
        <v>907</v>
      </c>
      <c r="M338" s="23" t="s">
        <v>907</v>
      </c>
      <c r="N338" s="23"/>
      <c r="P338" s="1" t="str">
        <f t="shared" si="10"/>
        <v>61202</v>
      </c>
      <c r="Q338" s="263" t="str">
        <f t="shared" si="11"/>
        <v>Payroll and Related Expenses - Kitchen</v>
      </c>
    </row>
    <row r="339" spans="1:17" x14ac:dyDescent="0.25">
      <c r="A339" s="24" t="s">
        <v>224</v>
      </c>
      <c r="B339" s="24" t="s">
        <v>20</v>
      </c>
      <c r="C339" s="24" t="s">
        <v>33</v>
      </c>
      <c r="D339" s="24" t="s">
        <v>2</v>
      </c>
      <c r="E339" s="25" t="s">
        <v>1</v>
      </c>
      <c r="F339" s="5" t="s">
        <v>257</v>
      </c>
      <c r="G339" s="2" t="s">
        <v>174</v>
      </c>
      <c r="H339" s="2" t="s">
        <v>23</v>
      </c>
      <c r="I339" s="2" t="s">
        <v>907</v>
      </c>
      <c r="J339" s="2" t="s">
        <v>910</v>
      </c>
      <c r="K339" s="24" t="s">
        <v>908</v>
      </c>
      <c r="M339" s="2" t="s">
        <v>907</v>
      </c>
      <c r="N339" s="24"/>
      <c r="P339" s="1" t="str">
        <f t="shared" si="10"/>
        <v>61202001</v>
      </c>
      <c r="Q339" s="263" t="str">
        <f t="shared" si="11"/>
        <v>Kitchen - Salary</v>
      </c>
    </row>
    <row r="340" spans="1:17" x14ac:dyDescent="0.25">
      <c r="A340" s="24" t="s">
        <v>224</v>
      </c>
      <c r="B340" s="24" t="s">
        <v>20</v>
      </c>
      <c r="C340" s="24" t="s">
        <v>33</v>
      </c>
      <c r="D340" s="24" t="s">
        <v>2</v>
      </c>
      <c r="E340" s="25" t="s">
        <v>3</v>
      </c>
      <c r="F340" s="5" t="s">
        <v>258</v>
      </c>
      <c r="G340" s="2" t="s">
        <v>174</v>
      </c>
      <c r="H340" s="2" t="s">
        <v>23</v>
      </c>
      <c r="I340" s="2" t="s">
        <v>907</v>
      </c>
      <c r="J340" s="2" t="s">
        <v>910</v>
      </c>
      <c r="K340" s="24" t="s">
        <v>908</v>
      </c>
      <c r="M340" s="2" t="s">
        <v>907</v>
      </c>
      <c r="N340" s="24"/>
      <c r="P340" s="1" t="str">
        <f t="shared" si="10"/>
        <v>61202002</v>
      </c>
      <c r="Q340" s="263" t="str">
        <f t="shared" si="11"/>
        <v>Kitchen - Overtime</v>
      </c>
    </row>
    <row r="341" spans="1:17" x14ac:dyDescent="0.25">
      <c r="A341" s="24" t="s">
        <v>224</v>
      </c>
      <c r="B341" s="24" t="s">
        <v>20</v>
      </c>
      <c r="C341" s="24" t="s">
        <v>33</v>
      </c>
      <c r="D341" s="24" t="s">
        <v>2</v>
      </c>
      <c r="E341" s="25" t="s">
        <v>5</v>
      </c>
      <c r="F341" s="5" t="s">
        <v>259</v>
      </c>
      <c r="G341" s="2" t="s">
        <v>174</v>
      </c>
      <c r="H341" s="2" t="s">
        <v>23</v>
      </c>
      <c r="I341" s="2" t="s">
        <v>907</v>
      </c>
      <c r="J341" s="2" t="s">
        <v>910</v>
      </c>
      <c r="K341" s="24" t="s">
        <v>908</v>
      </c>
      <c r="M341" s="2" t="s">
        <v>907</v>
      </c>
      <c r="N341" s="24"/>
      <c r="P341" s="1" t="str">
        <f t="shared" si="10"/>
        <v>61202003</v>
      </c>
      <c r="Q341" s="263" t="str">
        <f t="shared" si="11"/>
        <v>Kitchen - THR</v>
      </c>
    </row>
    <row r="342" spans="1:17" x14ac:dyDescent="0.25">
      <c r="A342" s="24" t="s">
        <v>224</v>
      </c>
      <c r="B342" s="24" t="s">
        <v>20</v>
      </c>
      <c r="C342" s="24" t="s">
        <v>33</v>
      </c>
      <c r="D342" s="24" t="s">
        <v>2</v>
      </c>
      <c r="E342" s="25" t="s">
        <v>7</v>
      </c>
      <c r="F342" s="5" t="s">
        <v>260</v>
      </c>
      <c r="G342" s="2" t="s">
        <v>174</v>
      </c>
      <c r="H342" s="2" t="s">
        <v>23</v>
      </c>
      <c r="I342" s="2" t="s">
        <v>907</v>
      </c>
      <c r="J342" s="2" t="s">
        <v>910</v>
      </c>
      <c r="K342" s="24" t="s">
        <v>908</v>
      </c>
      <c r="M342" s="2" t="s">
        <v>907</v>
      </c>
      <c r="N342" s="24"/>
      <c r="P342" s="1" t="str">
        <f t="shared" si="10"/>
        <v>61202004</v>
      </c>
      <c r="Q342" s="263" t="str">
        <f t="shared" si="11"/>
        <v>Kitchen - Bonus</v>
      </c>
    </row>
    <row r="343" spans="1:17" x14ac:dyDescent="0.25">
      <c r="A343" s="24" t="s">
        <v>224</v>
      </c>
      <c r="B343" s="24" t="s">
        <v>20</v>
      </c>
      <c r="C343" s="24" t="s">
        <v>33</v>
      </c>
      <c r="D343" s="24" t="s">
        <v>2</v>
      </c>
      <c r="E343" s="25" t="s">
        <v>9</v>
      </c>
      <c r="F343" s="5" t="s">
        <v>261</v>
      </c>
      <c r="G343" s="2" t="s">
        <v>174</v>
      </c>
      <c r="H343" s="2" t="s">
        <v>23</v>
      </c>
      <c r="I343" s="2" t="s">
        <v>907</v>
      </c>
      <c r="J343" s="2" t="s">
        <v>910</v>
      </c>
      <c r="K343" s="24" t="s">
        <v>908</v>
      </c>
      <c r="M343" s="2" t="s">
        <v>907</v>
      </c>
      <c r="N343" s="24"/>
      <c r="P343" s="1" t="str">
        <f t="shared" si="10"/>
        <v>61202005</v>
      </c>
      <c r="Q343" s="263" t="str">
        <f t="shared" si="11"/>
        <v>Kitchen - Income Tax Allowance</v>
      </c>
    </row>
    <row r="344" spans="1:17" x14ac:dyDescent="0.25">
      <c r="A344" s="24" t="s">
        <v>224</v>
      </c>
      <c r="B344" s="24" t="s">
        <v>20</v>
      </c>
      <c r="C344" s="24" t="s">
        <v>33</v>
      </c>
      <c r="D344" s="24" t="s">
        <v>2</v>
      </c>
      <c r="E344" s="25" t="s">
        <v>10</v>
      </c>
      <c r="F344" s="5" t="s">
        <v>262</v>
      </c>
      <c r="G344" s="2" t="s">
        <v>174</v>
      </c>
      <c r="H344" s="2" t="s">
        <v>23</v>
      </c>
      <c r="I344" s="2" t="s">
        <v>907</v>
      </c>
      <c r="J344" s="2" t="s">
        <v>910</v>
      </c>
      <c r="K344" s="24" t="s">
        <v>908</v>
      </c>
      <c r="M344" s="2" t="s">
        <v>907</v>
      </c>
      <c r="N344" s="24"/>
      <c r="P344" s="1" t="str">
        <f t="shared" si="10"/>
        <v>61202006</v>
      </c>
      <c r="Q344" s="263" t="str">
        <f t="shared" si="11"/>
        <v>Kitchen - Meal Allowance</v>
      </c>
    </row>
    <row r="345" spans="1:17" x14ac:dyDescent="0.25">
      <c r="A345" s="24" t="s">
        <v>224</v>
      </c>
      <c r="B345" s="24" t="s">
        <v>20</v>
      </c>
      <c r="C345" s="24" t="s">
        <v>33</v>
      </c>
      <c r="D345" s="24" t="s">
        <v>2</v>
      </c>
      <c r="E345" s="25" t="s">
        <v>11</v>
      </c>
      <c r="F345" s="5" t="s">
        <v>263</v>
      </c>
      <c r="G345" s="2" t="s">
        <v>174</v>
      </c>
      <c r="H345" s="2" t="s">
        <v>23</v>
      </c>
      <c r="I345" s="2" t="s">
        <v>907</v>
      </c>
      <c r="J345" s="2" t="s">
        <v>910</v>
      </c>
      <c r="K345" s="24" t="s">
        <v>908</v>
      </c>
      <c r="M345" s="2" t="s">
        <v>907</v>
      </c>
      <c r="N345" s="24"/>
      <c r="P345" s="1" t="str">
        <f t="shared" si="10"/>
        <v>61202007</v>
      </c>
      <c r="Q345" s="263" t="str">
        <f t="shared" si="11"/>
        <v>Kitchen - Jamsostek</v>
      </c>
    </row>
    <row r="346" spans="1:17" x14ac:dyDescent="0.25">
      <c r="A346" s="24" t="s">
        <v>224</v>
      </c>
      <c r="B346" s="24" t="s">
        <v>20</v>
      </c>
      <c r="C346" s="24" t="s">
        <v>33</v>
      </c>
      <c r="D346" s="24" t="s">
        <v>2</v>
      </c>
      <c r="E346" s="25" t="s">
        <v>13</v>
      </c>
      <c r="F346" s="5" t="s">
        <v>264</v>
      </c>
      <c r="G346" s="2" t="s">
        <v>174</v>
      </c>
      <c r="H346" s="2" t="s">
        <v>23</v>
      </c>
      <c r="I346" s="2" t="s">
        <v>907</v>
      </c>
      <c r="J346" s="2" t="s">
        <v>910</v>
      </c>
      <c r="K346" s="24" t="s">
        <v>908</v>
      </c>
      <c r="M346" s="2" t="s">
        <v>907</v>
      </c>
      <c r="N346" s="24"/>
      <c r="P346" s="1" t="str">
        <f t="shared" si="10"/>
        <v>61202008</v>
      </c>
      <c r="Q346" s="263" t="str">
        <f t="shared" si="11"/>
        <v>Kitchen - Medical &amp; Insurance</v>
      </c>
    </row>
    <row r="347" spans="1:17" x14ac:dyDescent="0.25">
      <c r="A347" s="24" t="s">
        <v>224</v>
      </c>
      <c r="B347" s="24" t="s">
        <v>20</v>
      </c>
      <c r="C347" s="24" t="s">
        <v>33</v>
      </c>
      <c r="D347" s="24" t="s">
        <v>2</v>
      </c>
      <c r="E347" s="25" t="s">
        <v>15</v>
      </c>
      <c r="F347" s="5" t="s">
        <v>265</v>
      </c>
      <c r="G347" s="2" t="s">
        <v>174</v>
      </c>
      <c r="H347" s="2" t="s">
        <v>23</v>
      </c>
      <c r="I347" s="2" t="s">
        <v>907</v>
      </c>
      <c r="J347" s="2" t="s">
        <v>910</v>
      </c>
      <c r="K347" s="24" t="s">
        <v>908</v>
      </c>
      <c r="M347" s="2" t="s">
        <v>907</v>
      </c>
      <c r="N347" s="24"/>
      <c r="P347" s="1" t="str">
        <f t="shared" si="10"/>
        <v>61202009</v>
      </c>
      <c r="Q347" s="263" t="str">
        <f t="shared" si="11"/>
        <v>Kitchen - Pension Plan</v>
      </c>
    </row>
    <row r="348" spans="1:17" x14ac:dyDescent="0.25">
      <c r="A348" s="24" t="s">
        <v>224</v>
      </c>
      <c r="B348" s="24" t="s">
        <v>20</v>
      </c>
      <c r="C348" s="24" t="s">
        <v>33</v>
      </c>
      <c r="D348" s="24" t="s">
        <v>2</v>
      </c>
      <c r="E348" s="25" t="s">
        <v>238</v>
      </c>
      <c r="F348" s="5" t="s">
        <v>917</v>
      </c>
      <c r="G348" s="2" t="s">
        <v>174</v>
      </c>
      <c r="H348" s="2" t="s">
        <v>23</v>
      </c>
      <c r="I348" s="2" t="s">
        <v>907</v>
      </c>
      <c r="J348" s="2" t="s">
        <v>910</v>
      </c>
      <c r="K348" s="24" t="s">
        <v>908</v>
      </c>
      <c r="M348" s="2" t="s">
        <v>907</v>
      </c>
      <c r="N348" s="24"/>
      <c r="P348" s="1" t="str">
        <f t="shared" si="10"/>
        <v>61202010</v>
      </c>
      <c r="Q348" s="263" t="str">
        <f t="shared" si="11"/>
        <v>Kitchen - Temporary Staff &amp; Daily Worker</v>
      </c>
    </row>
    <row r="349" spans="1:17" x14ac:dyDescent="0.25">
      <c r="A349" s="24" t="s">
        <v>224</v>
      </c>
      <c r="B349" s="24" t="s">
        <v>20</v>
      </c>
      <c r="C349" s="24" t="s">
        <v>33</v>
      </c>
      <c r="D349" s="24" t="s">
        <v>2</v>
      </c>
      <c r="E349" s="25" t="s">
        <v>240</v>
      </c>
      <c r="F349" s="5" t="s">
        <v>266</v>
      </c>
      <c r="G349" s="2" t="s">
        <v>174</v>
      </c>
      <c r="H349" s="2" t="s">
        <v>23</v>
      </c>
      <c r="I349" s="2" t="s">
        <v>907</v>
      </c>
      <c r="J349" s="2" t="s">
        <v>910</v>
      </c>
      <c r="K349" s="24" t="s">
        <v>908</v>
      </c>
      <c r="M349" s="2" t="s">
        <v>907</v>
      </c>
      <c r="N349" s="24"/>
      <c r="P349" s="1" t="str">
        <f t="shared" si="10"/>
        <v>61202011</v>
      </c>
      <c r="Q349" s="263" t="str">
        <f t="shared" si="11"/>
        <v>Kitchen - Employee Benefit</v>
      </c>
    </row>
    <row r="350" spans="1:17" x14ac:dyDescent="0.25">
      <c r="A350" s="24" t="s">
        <v>224</v>
      </c>
      <c r="B350" s="24" t="s">
        <v>20</v>
      </c>
      <c r="C350" s="24" t="s">
        <v>33</v>
      </c>
      <c r="D350" s="24" t="s">
        <v>2</v>
      </c>
      <c r="E350" s="25" t="s">
        <v>43</v>
      </c>
      <c r="F350" s="5" t="s">
        <v>267</v>
      </c>
      <c r="G350" s="2" t="s">
        <v>174</v>
      </c>
      <c r="H350" s="2" t="s">
        <v>23</v>
      </c>
      <c r="I350" s="2" t="s">
        <v>907</v>
      </c>
      <c r="J350" s="2" t="s">
        <v>910</v>
      </c>
      <c r="K350" s="24" t="s">
        <v>908</v>
      </c>
      <c r="M350" s="2" t="s">
        <v>907</v>
      </c>
      <c r="N350" s="24"/>
      <c r="P350" s="1" t="str">
        <f t="shared" si="10"/>
        <v>61202999</v>
      </c>
      <c r="Q350" s="263" t="str">
        <f t="shared" si="11"/>
        <v>Kitchen - Other Payroll and Related Expense</v>
      </c>
    </row>
    <row r="351" spans="1:17" x14ac:dyDescent="0.25">
      <c r="A351" s="16" t="s">
        <v>224</v>
      </c>
      <c r="B351" s="16" t="s">
        <v>20</v>
      </c>
      <c r="C351" s="16" t="s">
        <v>44</v>
      </c>
      <c r="D351" s="16"/>
      <c r="E351" s="16"/>
      <c r="F351" s="18" t="s">
        <v>268</v>
      </c>
      <c r="G351" s="19" t="s">
        <v>174</v>
      </c>
      <c r="H351" s="19" t="s">
        <v>23</v>
      </c>
      <c r="I351" s="19" t="s">
        <v>907</v>
      </c>
      <c r="J351" s="19" t="s">
        <v>907</v>
      </c>
      <c r="K351" s="19" t="s">
        <v>907</v>
      </c>
      <c r="M351" s="19" t="s">
        <v>907</v>
      </c>
      <c r="N351" s="19"/>
      <c r="P351" s="1" t="str">
        <f t="shared" si="10"/>
        <v>613</v>
      </c>
      <c r="Q351" s="263" t="str">
        <f t="shared" si="11"/>
        <v>Payroll and Related Expenses - Other Department</v>
      </c>
    </row>
    <row r="352" spans="1:17" x14ac:dyDescent="0.25">
      <c r="A352" s="20" t="s">
        <v>224</v>
      </c>
      <c r="B352" s="20" t="s">
        <v>20</v>
      </c>
      <c r="C352" s="20" t="s">
        <v>44</v>
      </c>
      <c r="D352" s="21" t="s">
        <v>0</v>
      </c>
      <c r="E352" s="20"/>
      <c r="F352" s="22" t="s">
        <v>269</v>
      </c>
      <c r="G352" s="23" t="s">
        <v>174</v>
      </c>
      <c r="H352" s="23" t="s">
        <v>23</v>
      </c>
      <c r="I352" s="23" t="s">
        <v>907</v>
      </c>
      <c r="J352" s="23" t="s">
        <v>907</v>
      </c>
      <c r="K352" s="23" t="s">
        <v>907</v>
      </c>
      <c r="M352" s="23" t="s">
        <v>907</v>
      </c>
      <c r="N352" s="23"/>
      <c r="P352" s="1" t="str">
        <f t="shared" si="10"/>
        <v>61301</v>
      </c>
      <c r="Q352" s="263" t="str">
        <f t="shared" si="11"/>
        <v>Payroll and Related Expenses - Other</v>
      </c>
    </row>
    <row r="353" spans="1:17" x14ac:dyDescent="0.25">
      <c r="A353" s="24" t="s">
        <v>224</v>
      </c>
      <c r="B353" s="24" t="s">
        <v>20</v>
      </c>
      <c r="C353" s="24" t="s">
        <v>44</v>
      </c>
      <c r="D353" s="24" t="s">
        <v>0</v>
      </c>
      <c r="E353" s="25" t="s">
        <v>1</v>
      </c>
      <c r="F353" s="5" t="s">
        <v>270</v>
      </c>
      <c r="G353" s="2" t="s">
        <v>174</v>
      </c>
      <c r="H353" s="2" t="s">
        <v>23</v>
      </c>
      <c r="I353" s="24" t="s">
        <v>908</v>
      </c>
      <c r="J353" s="24" t="s">
        <v>908</v>
      </c>
      <c r="K353" s="24" t="s">
        <v>908</v>
      </c>
      <c r="M353" s="24" t="s">
        <v>908</v>
      </c>
      <c r="N353" s="24"/>
      <c r="P353" s="1" t="str">
        <f t="shared" si="10"/>
        <v>61301001</v>
      </c>
      <c r="Q353" s="263" t="str">
        <f t="shared" si="11"/>
        <v>OT - Salary</v>
      </c>
    </row>
    <row r="354" spans="1:17" x14ac:dyDescent="0.25">
      <c r="A354" s="24" t="s">
        <v>224</v>
      </c>
      <c r="B354" s="24" t="s">
        <v>20</v>
      </c>
      <c r="C354" s="24" t="s">
        <v>44</v>
      </c>
      <c r="D354" s="24" t="s">
        <v>0</v>
      </c>
      <c r="E354" s="25" t="s">
        <v>3</v>
      </c>
      <c r="F354" s="5" t="s">
        <v>271</v>
      </c>
      <c r="G354" s="2" t="s">
        <v>174</v>
      </c>
      <c r="H354" s="2" t="s">
        <v>23</v>
      </c>
      <c r="I354" s="24" t="s">
        <v>908</v>
      </c>
      <c r="J354" s="24" t="s">
        <v>908</v>
      </c>
      <c r="K354" s="24" t="s">
        <v>908</v>
      </c>
      <c r="M354" s="24" t="s">
        <v>908</v>
      </c>
      <c r="N354" s="24"/>
      <c r="P354" s="1" t="str">
        <f t="shared" si="10"/>
        <v>61301002</v>
      </c>
      <c r="Q354" s="263" t="str">
        <f t="shared" si="11"/>
        <v>OT - Overtime</v>
      </c>
    </row>
    <row r="355" spans="1:17" x14ac:dyDescent="0.25">
      <c r="A355" s="24" t="s">
        <v>224</v>
      </c>
      <c r="B355" s="24" t="s">
        <v>20</v>
      </c>
      <c r="C355" s="24" t="s">
        <v>44</v>
      </c>
      <c r="D355" s="24" t="s">
        <v>0</v>
      </c>
      <c r="E355" s="25" t="s">
        <v>5</v>
      </c>
      <c r="F355" s="5" t="s">
        <v>272</v>
      </c>
      <c r="G355" s="2" t="s">
        <v>174</v>
      </c>
      <c r="H355" s="2" t="s">
        <v>23</v>
      </c>
      <c r="I355" s="24" t="s">
        <v>908</v>
      </c>
      <c r="J355" s="24" t="s">
        <v>908</v>
      </c>
      <c r="K355" s="24" t="s">
        <v>908</v>
      </c>
      <c r="M355" s="24" t="s">
        <v>908</v>
      </c>
      <c r="N355" s="24"/>
      <c r="P355" s="1" t="str">
        <f t="shared" si="10"/>
        <v>61301003</v>
      </c>
      <c r="Q355" s="263" t="str">
        <f t="shared" si="11"/>
        <v>OT - THR</v>
      </c>
    </row>
    <row r="356" spans="1:17" x14ac:dyDescent="0.25">
      <c r="A356" s="24" t="s">
        <v>224</v>
      </c>
      <c r="B356" s="24" t="s">
        <v>20</v>
      </c>
      <c r="C356" s="24" t="s">
        <v>44</v>
      </c>
      <c r="D356" s="24" t="s">
        <v>0</v>
      </c>
      <c r="E356" s="25" t="s">
        <v>7</v>
      </c>
      <c r="F356" s="5" t="s">
        <v>273</v>
      </c>
      <c r="G356" s="2" t="s">
        <v>174</v>
      </c>
      <c r="H356" s="2" t="s">
        <v>23</v>
      </c>
      <c r="I356" s="24" t="s">
        <v>908</v>
      </c>
      <c r="J356" s="24" t="s">
        <v>908</v>
      </c>
      <c r="K356" s="24" t="s">
        <v>908</v>
      </c>
      <c r="M356" s="24" t="s">
        <v>908</v>
      </c>
      <c r="N356" s="24"/>
      <c r="P356" s="1" t="str">
        <f t="shared" si="10"/>
        <v>61301004</v>
      </c>
      <c r="Q356" s="263" t="str">
        <f t="shared" si="11"/>
        <v>OT - Bonus</v>
      </c>
    </row>
    <row r="357" spans="1:17" x14ac:dyDescent="0.25">
      <c r="A357" s="24" t="s">
        <v>224</v>
      </c>
      <c r="B357" s="24" t="s">
        <v>20</v>
      </c>
      <c r="C357" s="24" t="s">
        <v>44</v>
      </c>
      <c r="D357" s="24" t="s">
        <v>0</v>
      </c>
      <c r="E357" s="25" t="s">
        <v>9</v>
      </c>
      <c r="F357" s="5" t="s">
        <v>274</v>
      </c>
      <c r="G357" s="2" t="s">
        <v>174</v>
      </c>
      <c r="H357" s="2" t="s">
        <v>23</v>
      </c>
      <c r="I357" s="24" t="s">
        <v>908</v>
      </c>
      <c r="J357" s="24" t="s">
        <v>908</v>
      </c>
      <c r="K357" s="24" t="s">
        <v>908</v>
      </c>
      <c r="M357" s="24" t="s">
        <v>908</v>
      </c>
      <c r="N357" s="24"/>
      <c r="P357" s="1" t="str">
        <f t="shared" si="10"/>
        <v>61301005</v>
      </c>
      <c r="Q357" s="263" t="str">
        <f t="shared" si="11"/>
        <v>OT - Income Tax Allowance</v>
      </c>
    </row>
    <row r="358" spans="1:17" x14ac:dyDescent="0.25">
      <c r="A358" s="24" t="s">
        <v>224</v>
      </c>
      <c r="B358" s="24" t="s">
        <v>20</v>
      </c>
      <c r="C358" s="24" t="s">
        <v>44</v>
      </c>
      <c r="D358" s="24" t="s">
        <v>0</v>
      </c>
      <c r="E358" s="25" t="s">
        <v>10</v>
      </c>
      <c r="F358" s="5" t="s">
        <v>275</v>
      </c>
      <c r="G358" s="2" t="s">
        <v>174</v>
      </c>
      <c r="H358" s="2" t="s">
        <v>23</v>
      </c>
      <c r="I358" s="24" t="s">
        <v>908</v>
      </c>
      <c r="J358" s="24" t="s">
        <v>908</v>
      </c>
      <c r="K358" s="24" t="s">
        <v>908</v>
      </c>
      <c r="M358" s="24" t="s">
        <v>908</v>
      </c>
      <c r="N358" s="24"/>
      <c r="P358" s="1" t="str">
        <f t="shared" si="10"/>
        <v>61301006</v>
      </c>
      <c r="Q358" s="263" t="str">
        <f t="shared" si="11"/>
        <v>OT - Meal Allowance</v>
      </c>
    </row>
    <row r="359" spans="1:17" x14ac:dyDescent="0.25">
      <c r="A359" s="24" t="s">
        <v>224</v>
      </c>
      <c r="B359" s="24" t="s">
        <v>20</v>
      </c>
      <c r="C359" s="24" t="s">
        <v>44</v>
      </c>
      <c r="D359" s="24" t="s">
        <v>0</v>
      </c>
      <c r="E359" s="25" t="s">
        <v>11</v>
      </c>
      <c r="F359" s="5" t="s">
        <v>276</v>
      </c>
      <c r="G359" s="2" t="s">
        <v>174</v>
      </c>
      <c r="H359" s="2" t="s">
        <v>23</v>
      </c>
      <c r="I359" s="24" t="s">
        <v>908</v>
      </c>
      <c r="J359" s="24" t="s">
        <v>908</v>
      </c>
      <c r="K359" s="24" t="s">
        <v>908</v>
      </c>
      <c r="M359" s="24" t="s">
        <v>908</v>
      </c>
      <c r="N359" s="24"/>
      <c r="P359" s="1" t="str">
        <f t="shared" si="10"/>
        <v>61301007</v>
      </c>
      <c r="Q359" s="263" t="str">
        <f t="shared" si="11"/>
        <v>OT - Jamsostek</v>
      </c>
    </row>
    <row r="360" spans="1:17" x14ac:dyDescent="0.25">
      <c r="A360" s="24" t="s">
        <v>224</v>
      </c>
      <c r="B360" s="24" t="s">
        <v>20</v>
      </c>
      <c r="C360" s="24" t="s">
        <v>44</v>
      </c>
      <c r="D360" s="24" t="s">
        <v>0</v>
      </c>
      <c r="E360" s="25" t="s">
        <v>13</v>
      </c>
      <c r="F360" s="5" t="s">
        <v>277</v>
      </c>
      <c r="G360" s="2" t="s">
        <v>174</v>
      </c>
      <c r="H360" s="2" t="s">
        <v>23</v>
      </c>
      <c r="I360" s="24" t="s">
        <v>908</v>
      </c>
      <c r="J360" s="24" t="s">
        <v>908</v>
      </c>
      <c r="K360" s="24" t="s">
        <v>908</v>
      </c>
      <c r="M360" s="24" t="s">
        <v>908</v>
      </c>
      <c r="N360" s="24"/>
      <c r="P360" s="1" t="str">
        <f t="shared" si="10"/>
        <v>61301008</v>
      </c>
      <c r="Q360" s="263" t="str">
        <f t="shared" si="11"/>
        <v>OT - Medical &amp; Insurance</v>
      </c>
    </row>
    <row r="361" spans="1:17" x14ac:dyDescent="0.25">
      <c r="A361" s="24" t="s">
        <v>224</v>
      </c>
      <c r="B361" s="24" t="s">
        <v>20</v>
      </c>
      <c r="C361" s="24" t="s">
        <v>44</v>
      </c>
      <c r="D361" s="24" t="s">
        <v>0</v>
      </c>
      <c r="E361" s="25" t="s">
        <v>15</v>
      </c>
      <c r="F361" s="5" t="s">
        <v>278</v>
      </c>
      <c r="G361" s="2" t="s">
        <v>174</v>
      </c>
      <c r="H361" s="2" t="s">
        <v>23</v>
      </c>
      <c r="I361" s="24" t="s">
        <v>908</v>
      </c>
      <c r="J361" s="24" t="s">
        <v>908</v>
      </c>
      <c r="K361" s="24" t="s">
        <v>908</v>
      </c>
      <c r="M361" s="24" t="s">
        <v>908</v>
      </c>
      <c r="N361" s="24"/>
      <c r="P361" s="1" t="str">
        <f t="shared" si="10"/>
        <v>61301009</v>
      </c>
      <c r="Q361" s="263" t="str">
        <f t="shared" si="11"/>
        <v>OT - Pension Plan</v>
      </c>
    </row>
    <row r="362" spans="1:17" x14ac:dyDescent="0.25">
      <c r="A362" s="24" t="s">
        <v>224</v>
      </c>
      <c r="B362" s="24" t="s">
        <v>20</v>
      </c>
      <c r="C362" s="24" t="s">
        <v>44</v>
      </c>
      <c r="D362" s="24" t="s">
        <v>0</v>
      </c>
      <c r="E362" s="25" t="s">
        <v>238</v>
      </c>
      <c r="F362" s="5" t="s">
        <v>918</v>
      </c>
      <c r="G362" s="2" t="s">
        <v>174</v>
      </c>
      <c r="H362" s="2" t="s">
        <v>23</v>
      </c>
      <c r="I362" s="24" t="s">
        <v>908</v>
      </c>
      <c r="J362" s="24" t="s">
        <v>908</v>
      </c>
      <c r="K362" s="24" t="s">
        <v>908</v>
      </c>
      <c r="M362" s="24" t="s">
        <v>908</v>
      </c>
      <c r="N362" s="24"/>
      <c r="P362" s="1" t="str">
        <f t="shared" si="10"/>
        <v>61301010</v>
      </c>
      <c r="Q362" s="263" t="str">
        <f t="shared" si="11"/>
        <v>OT - Temporary Staff &amp; Daily Worker</v>
      </c>
    </row>
    <row r="363" spans="1:17" x14ac:dyDescent="0.25">
      <c r="A363" s="24" t="s">
        <v>224</v>
      </c>
      <c r="B363" s="24" t="s">
        <v>20</v>
      </c>
      <c r="C363" s="24" t="s">
        <v>44</v>
      </c>
      <c r="D363" s="24" t="s">
        <v>0</v>
      </c>
      <c r="E363" s="25" t="s">
        <v>240</v>
      </c>
      <c r="F363" s="5" t="s">
        <v>279</v>
      </c>
      <c r="G363" s="2" t="s">
        <v>174</v>
      </c>
      <c r="H363" s="2" t="s">
        <v>23</v>
      </c>
      <c r="I363" s="24" t="s">
        <v>908</v>
      </c>
      <c r="J363" s="24" t="s">
        <v>908</v>
      </c>
      <c r="K363" s="24" t="s">
        <v>908</v>
      </c>
      <c r="M363" s="24" t="s">
        <v>908</v>
      </c>
      <c r="N363" s="24"/>
      <c r="P363" s="1" t="str">
        <f t="shared" si="10"/>
        <v>61301011</v>
      </c>
      <c r="Q363" s="263" t="str">
        <f t="shared" si="11"/>
        <v>OT - Employee Benefit</v>
      </c>
    </row>
    <row r="364" spans="1:17" x14ac:dyDescent="0.25">
      <c r="A364" s="24" t="s">
        <v>224</v>
      </c>
      <c r="B364" s="24" t="s">
        <v>20</v>
      </c>
      <c r="C364" s="24" t="s">
        <v>44</v>
      </c>
      <c r="D364" s="24" t="s">
        <v>0</v>
      </c>
      <c r="E364" s="25" t="s">
        <v>43</v>
      </c>
      <c r="F364" s="5" t="s">
        <v>280</v>
      </c>
      <c r="G364" s="2" t="s">
        <v>174</v>
      </c>
      <c r="H364" s="2" t="s">
        <v>23</v>
      </c>
      <c r="I364" s="24" t="s">
        <v>908</v>
      </c>
      <c r="J364" s="24" t="s">
        <v>908</v>
      </c>
      <c r="K364" s="24" t="s">
        <v>908</v>
      </c>
      <c r="M364" s="24" t="s">
        <v>908</v>
      </c>
      <c r="N364" s="24"/>
      <c r="P364" s="1" t="str">
        <f t="shared" si="10"/>
        <v>61301999</v>
      </c>
      <c r="Q364" s="263" t="str">
        <f t="shared" si="11"/>
        <v>OT - Other Payroll and Related Expense</v>
      </c>
    </row>
    <row r="365" spans="1:17" x14ac:dyDescent="0.25">
      <c r="A365" s="16" t="s">
        <v>224</v>
      </c>
      <c r="B365" s="16" t="s">
        <v>20</v>
      </c>
      <c r="C365" s="16" t="s">
        <v>54</v>
      </c>
      <c r="D365" s="16"/>
      <c r="E365" s="16"/>
      <c r="F365" s="18" t="s">
        <v>281</v>
      </c>
      <c r="G365" s="19" t="s">
        <v>174</v>
      </c>
      <c r="H365" s="19" t="s">
        <v>23</v>
      </c>
      <c r="I365" s="19" t="s">
        <v>907</v>
      </c>
      <c r="J365" s="19" t="s">
        <v>907</v>
      </c>
      <c r="K365" s="19" t="s">
        <v>907</v>
      </c>
      <c r="M365" s="19" t="s">
        <v>907</v>
      </c>
      <c r="N365" s="19"/>
      <c r="P365" s="1" t="str">
        <f t="shared" si="10"/>
        <v>614</v>
      </c>
      <c r="Q365" s="263" t="str">
        <f t="shared" si="11"/>
        <v>Payroll and Related Expenses - Overhead Department</v>
      </c>
    </row>
    <row r="366" spans="1:17" x14ac:dyDescent="0.25">
      <c r="A366" s="20" t="s">
        <v>224</v>
      </c>
      <c r="B366" s="20" t="s">
        <v>20</v>
      </c>
      <c r="C366" s="20" t="s">
        <v>54</v>
      </c>
      <c r="D366" s="21" t="s">
        <v>0</v>
      </c>
      <c r="E366" s="20"/>
      <c r="F366" s="22" t="s">
        <v>638</v>
      </c>
      <c r="G366" s="23" t="s">
        <v>174</v>
      </c>
      <c r="H366" s="23" t="s">
        <v>23</v>
      </c>
      <c r="I366" s="23" t="s">
        <v>907</v>
      </c>
      <c r="J366" s="23" t="s">
        <v>907</v>
      </c>
      <c r="K366" s="23" t="s">
        <v>907</v>
      </c>
      <c r="M366" s="23" t="s">
        <v>907</v>
      </c>
      <c r="N366" s="23"/>
      <c r="P366" s="1" t="str">
        <f t="shared" si="10"/>
        <v>61401</v>
      </c>
      <c r="Q366" s="263" t="str">
        <f t="shared" si="11"/>
        <v>Payroll and Related Expenses - Engineering</v>
      </c>
    </row>
    <row r="367" spans="1:17" x14ac:dyDescent="0.25">
      <c r="A367" s="24" t="s">
        <v>224</v>
      </c>
      <c r="B367" s="24" t="s">
        <v>20</v>
      </c>
      <c r="C367" s="24" t="s">
        <v>54</v>
      </c>
      <c r="D367" s="25" t="s">
        <v>0</v>
      </c>
      <c r="E367" s="25" t="s">
        <v>1</v>
      </c>
      <c r="F367" s="5" t="s">
        <v>282</v>
      </c>
      <c r="G367" s="2" t="s">
        <v>174</v>
      </c>
      <c r="H367" s="2" t="s">
        <v>23</v>
      </c>
      <c r="I367" s="24" t="s">
        <v>908</v>
      </c>
      <c r="J367" s="24" t="s">
        <v>908</v>
      </c>
      <c r="K367" s="24" t="s">
        <v>908</v>
      </c>
      <c r="M367" s="24" t="s">
        <v>908</v>
      </c>
      <c r="N367" s="24"/>
      <c r="P367" s="1" t="str">
        <f t="shared" si="10"/>
        <v>61401001</v>
      </c>
      <c r="Q367" s="263" t="str">
        <f t="shared" si="11"/>
        <v>PM - Salary</v>
      </c>
    </row>
    <row r="368" spans="1:17" x14ac:dyDescent="0.25">
      <c r="A368" s="24" t="s">
        <v>224</v>
      </c>
      <c r="B368" s="24" t="s">
        <v>20</v>
      </c>
      <c r="C368" s="24" t="s">
        <v>54</v>
      </c>
      <c r="D368" s="25" t="s">
        <v>0</v>
      </c>
      <c r="E368" s="25" t="s">
        <v>3</v>
      </c>
      <c r="F368" s="5" t="s">
        <v>283</v>
      </c>
      <c r="G368" s="2" t="s">
        <v>174</v>
      </c>
      <c r="H368" s="2" t="s">
        <v>23</v>
      </c>
      <c r="I368" s="24" t="s">
        <v>908</v>
      </c>
      <c r="J368" s="24" t="s">
        <v>908</v>
      </c>
      <c r="K368" s="24" t="s">
        <v>908</v>
      </c>
      <c r="M368" s="24" t="s">
        <v>908</v>
      </c>
      <c r="N368" s="24"/>
      <c r="P368" s="1" t="str">
        <f t="shared" si="10"/>
        <v>61401002</v>
      </c>
      <c r="Q368" s="263" t="str">
        <f t="shared" si="11"/>
        <v>PM - Overtime</v>
      </c>
    </row>
    <row r="369" spans="1:17" x14ac:dyDescent="0.25">
      <c r="A369" s="24" t="s">
        <v>224</v>
      </c>
      <c r="B369" s="24" t="s">
        <v>20</v>
      </c>
      <c r="C369" s="24" t="s">
        <v>54</v>
      </c>
      <c r="D369" s="25" t="s">
        <v>0</v>
      </c>
      <c r="E369" s="25" t="s">
        <v>5</v>
      </c>
      <c r="F369" s="5" t="s">
        <v>284</v>
      </c>
      <c r="G369" s="2" t="s">
        <v>174</v>
      </c>
      <c r="H369" s="2" t="s">
        <v>23</v>
      </c>
      <c r="I369" s="24" t="s">
        <v>908</v>
      </c>
      <c r="J369" s="24" t="s">
        <v>908</v>
      </c>
      <c r="K369" s="24" t="s">
        <v>908</v>
      </c>
      <c r="M369" s="24" t="s">
        <v>908</v>
      </c>
      <c r="N369" s="24"/>
      <c r="P369" s="1" t="str">
        <f t="shared" si="10"/>
        <v>61401003</v>
      </c>
      <c r="Q369" s="263" t="str">
        <f t="shared" si="11"/>
        <v>PM - THR</v>
      </c>
    </row>
    <row r="370" spans="1:17" x14ac:dyDescent="0.25">
      <c r="A370" s="24" t="s">
        <v>224</v>
      </c>
      <c r="B370" s="24" t="s">
        <v>20</v>
      </c>
      <c r="C370" s="24" t="s">
        <v>54</v>
      </c>
      <c r="D370" s="25" t="s">
        <v>0</v>
      </c>
      <c r="E370" s="25" t="s">
        <v>7</v>
      </c>
      <c r="F370" s="5" t="s">
        <v>285</v>
      </c>
      <c r="G370" s="2" t="s">
        <v>174</v>
      </c>
      <c r="H370" s="2" t="s">
        <v>23</v>
      </c>
      <c r="I370" s="24" t="s">
        <v>908</v>
      </c>
      <c r="J370" s="24" t="s">
        <v>908</v>
      </c>
      <c r="K370" s="24" t="s">
        <v>908</v>
      </c>
      <c r="M370" s="24" t="s">
        <v>908</v>
      </c>
      <c r="N370" s="24"/>
      <c r="P370" s="1" t="str">
        <f t="shared" si="10"/>
        <v>61401004</v>
      </c>
      <c r="Q370" s="263" t="str">
        <f t="shared" si="11"/>
        <v>PM - Bonus</v>
      </c>
    </row>
    <row r="371" spans="1:17" x14ac:dyDescent="0.25">
      <c r="A371" s="24" t="s">
        <v>224</v>
      </c>
      <c r="B371" s="24" t="s">
        <v>20</v>
      </c>
      <c r="C371" s="24" t="s">
        <v>54</v>
      </c>
      <c r="D371" s="25" t="s">
        <v>0</v>
      </c>
      <c r="E371" s="25" t="s">
        <v>9</v>
      </c>
      <c r="F371" s="5" t="s">
        <v>286</v>
      </c>
      <c r="G371" s="2" t="s">
        <v>174</v>
      </c>
      <c r="H371" s="2" t="s">
        <v>23</v>
      </c>
      <c r="I371" s="24" t="s">
        <v>908</v>
      </c>
      <c r="J371" s="24" t="s">
        <v>908</v>
      </c>
      <c r="K371" s="24" t="s">
        <v>908</v>
      </c>
      <c r="M371" s="24" t="s">
        <v>908</v>
      </c>
      <c r="N371" s="24"/>
      <c r="P371" s="1" t="str">
        <f t="shared" si="10"/>
        <v>61401005</v>
      </c>
      <c r="Q371" s="263" t="str">
        <f t="shared" si="11"/>
        <v>PM - Income Tax Allowance</v>
      </c>
    </row>
    <row r="372" spans="1:17" x14ac:dyDescent="0.25">
      <c r="A372" s="24" t="s">
        <v>224</v>
      </c>
      <c r="B372" s="24" t="s">
        <v>20</v>
      </c>
      <c r="C372" s="24" t="s">
        <v>54</v>
      </c>
      <c r="D372" s="25" t="s">
        <v>0</v>
      </c>
      <c r="E372" s="25" t="s">
        <v>10</v>
      </c>
      <c r="F372" s="5" t="s">
        <v>287</v>
      </c>
      <c r="G372" s="2" t="s">
        <v>174</v>
      </c>
      <c r="H372" s="2" t="s">
        <v>23</v>
      </c>
      <c r="I372" s="24" t="s">
        <v>908</v>
      </c>
      <c r="J372" s="24" t="s">
        <v>908</v>
      </c>
      <c r="K372" s="24" t="s">
        <v>908</v>
      </c>
      <c r="M372" s="24" t="s">
        <v>908</v>
      </c>
      <c r="N372" s="24"/>
      <c r="P372" s="1" t="str">
        <f t="shared" si="10"/>
        <v>61401006</v>
      </c>
      <c r="Q372" s="263" t="str">
        <f t="shared" si="11"/>
        <v>PM - Meal Allowance</v>
      </c>
    </row>
    <row r="373" spans="1:17" x14ac:dyDescent="0.25">
      <c r="A373" s="24" t="s">
        <v>224</v>
      </c>
      <c r="B373" s="24" t="s">
        <v>20</v>
      </c>
      <c r="C373" s="24" t="s">
        <v>54</v>
      </c>
      <c r="D373" s="25" t="s">
        <v>0</v>
      </c>
      <c r="E373" s="25" t="s">
        <v>11</v>
      </c>
      <c r="F373" s="5" t="s">
        <v>288</v>
      </c>
      <c r="G373" s="2" t="s">
        <v>174</v>
      </c>
      <c r="H373" s="2" t="s">
        <v>23</v>
      </c>
      <c r="I373" s="24" t="s">
        <v>908</v>
      </c>
      <c r="J373" s="24" t="s">
        <v>908</v>
      </c>
      <c r="K373" s="24" t="s">
        <v>908</v>
      </c>
      <c r="M373" s="24" t="s">
        <v>908</v>
      </c>
      <c r="N373" s="24"/>
      <c r="P373" s="1" t="str">
        <f t="shared" si="10"/>
        <v>61401007</v>
      </c>
      <c r="Q373" s="263" t="str">
        <f t="shared" si="11"/>
        <v>PM - Jamsostek</v>
      </c>
    </row>
    <row r="374" spans="1:17" x14ac:dyDescent="0.25">
      <c r="A374" s="24" t="s">
        <v>224</v>
      </c>
      <c r="B374" s="24" t="s">
        <v>20</v>
      </c>
      <c r="C374" s="24" t="s">
        <v>54</v>
      </c>
      <c r="D374" s="25" t="s">
        <v>0</v>
      </c>
      <c r="E374" s="25" t="s">
        <v>13</v>
      </c>
      <c r="F374" s="5" t="s">
        <v>289</v>
      </c>
      <c r="G374" s="2" t="s">
        <v>174</v>
      </c>
      <c r="H374" s="2" t="s">
        <v>23</v>
      </c>
      <c r="I374" s="24" t="s">
        <v>908</v>
      </c>
      <c r="J374" s="24" t="s">
        <v>908</v>
      </c>
      <c r="K374" s="24" t="s">
        <v>908</v>
      </c>
      <c r="M374" s="24" t="s">
        <v>908</v>
      </c>
      <c r="N374" s="24"/>
      <c r="P374" s="1" t="str">
        <f t="shared" si="10"/>
        <v>61401008</v>
      </c>
      <c r="Q374" s="263" t="str">
        <f t="shared" si="11"/>
        <v>PM - Medical &amp; Insurance</v>
      </c>
    </row>
    <row r="375" spans="1:17" x14ac:dyDescent="0.25">
      <c r="A375" s="24" t="s">
        <v>224</v>
      </c>
      <c r="B375" s="24" t="s">
        <v>20</v>
      </c>
      <c r="C375" s="24" t="s">
        <v>54</v>
      </c>
      <c r="D375" s="25" t="s">
        <v>0</v>
      </c>
      <c r="E375" s="25" t="s">
        <v>15</v>
      </c>
      <c r="F375" s="5" t="s">
        <v>290</v>
      </c>
      <c r="G375" s="2" t="s">
        <v>174</v>
      </c>
      <c r="H375" s="2" t="s">
        <v>23</v>
      </c>
      <c r="I375" s="24" t="s">
        <v>908</v>
      </c>
      <c r="J375" s="24" t="s">
        <v>908</v>
      </c>
      <c r="K375" s="24" t="s">
        <v>908</v>
      </c>
      <c r="M375" s="24" t="s">
        <v>908</v>
      </c>
      <c r="N375" s="24"/>
      <c r="P375" s="1" t="str">
        <f t="shared" si="10"/>
        <v>61401009</v>
      </c>
      <c r="Q375" s="263" t="str">
        <f t="shared" si="11"/>
        <v>PM - Pension Plan</v>
      </c>
    </row>
    <row r="376" spans="1:17" x14ac:dyDescent="0.25">
      <c r="A376" s="24" t="s">
        <v>224</v>
      </c>
      <c r="B376" s="24" t="s">
        <v>20</v>
      </c>
      <c r="C376" s="24" t="s">
        <v>54</v>
      </c>
      <c r="D376" s="25" t="s">
        <v>0</v>
      </c>
      <c r="E376" s="25" t="s">
        <v>238</v>
      </c>
      <c r="F376" s="5" t="s">
        <v>919</v>
      </c>
      <c r="G376" s="2" t="s">
        <v>174</v>
      </c>
      <c r="H376" s="2" t="s">
        <v>23</v>
      </c>
      <c r="I376" s="24" t="s">
        <v>908</v>
      </c>
      <c r="J376" s="24" t="s">
        <v>908</v>
      </c>
      <c r="K376" s="24" t="s">
        <v>908</v>
      </c>
      <c r="M376" s="24" t="s">
        <v>908</v>
      </c>
      <c r="N376" s="24"/>
      <c r="P376" s="1" t="str">
        <f t="shared" si="10"/>
        <v>61401010</v>
      </c>
      <c r="Q376" s="263" t="str">
        <f t="shared" si="11"/>
        <v>PM - Temporary Staff &amp; Daily Worker</v>
      </c>
    </row>
    <row r="377" spans="1:17" x14ac:dyDescent="0.25">
      <c r="A377" s="24" t="s">
        <v>224</v>
      </c>
      <c r="B377" s="24" t="s">
        <v>20</v>
      </c>
      <c r="C377" s="24" t="s">
        <v>54</v>
      </c>
      <c r="D377" s="25" t="s">
        <v>0</v>
      </c>
      <c r="E377" s="25" t="s">
        <v>240</v>
      </c>
      <c r="F377" s="5" t="s">
        <v>291</v>
      </c>
      <c r="G377" s="2" t="s">
        <v>174</v>
      </c>
      <c r="H377" s="2" t="s">
        <v>23</v>
      </c>
      <c r="I377" s="24" t="s">
        <v>908</v>
      </c>
      <c r="J377" s="24" t="s">
        <v>908</v>
      </c>
      <c r="K377" s="24" t="s">
        <v>908</v>
      </c>
      <c r="M377" s="24" t="s">
        <v>908</v>
      </c>
      <c r="N377" s="24"/>
      <c r="P377" s="1" t="str">
        <f t="shared" si="10"/>
        <v>61401011</v>
      </c>
      <c r="Q377" s="263" t="str">
        <f t="shared" si="11"/>
        <v>PM - Employee Benefit</v>
      </c>
    </row>
    <row r="378" spans="1:17" x14ac:dyDescent="0.25">
      <c r="A378" s="24" t="s">
        <v>224</v>
      </c>
      <c r="B378" s="24" t="s">
        <v>20</v>
      </c>
      <c r="C378" s="24" t="s">
        <v>54</v>
      </c>
      <c r="D378" s="25" t="s">
        <v>0</v>
      </c>
      <c r="E378" s="25" t="s">
        <v>43</v>
      </c>
      <c r="F378" s="5" t="s">
        <v>292</v>
      </c>
      <c r="G378" s="2" t="s">
        <v>174</v>
      </c>
      <c r="H378" s="2" t="s">
        <v>23</v>
      </c>
      <c r="I378" s="24" t="s">
        <v>908</v>
      </c>
      <c r="J378" s="24" t="s">
        <v>908</v>
      </c>
      <c r="K378" s="24" t="s">
        <v>908</v>
      </c>
      <c r="M378" s="24" t="s">
        <v>908</v>
      </c>
      <c r="N378" s="24"/>
      <c r="P378" s="1" t="str">
        <f t="shared" si="10"/>
        <v>61401999</v>
      </c>
      <c r="Q378" s="263" t="str">
        <f t="shared" si="11"/>
        <v>PM - Other Payroll and Related Expense</v>
      </c>
    </row>
    <row r="379" spans="1:17" x14ac:dyDescent="0.25">
      <c r="A379" s="20" t="s">
        <v>224</v>
      </c>
      <c r="B379" s="20" t="s">
        <v>20</v>
      </c>
      <c r="C379" s="20" t="s">
        <v>54</v>
      </c>
      <c r="D379" s="21" t="s">
        <v>2</v>
      </c>
      <c r="E379" s="20"/>
      <c r="F379" s="22" t="s">
        <v>293</v>
      </c>
      <c r="G379" s="23" t="s">
        <v>174</v>
      </c>
      <c r="H379" s="23" t="s">
        <v>23</v>
      </c>
      <c r="I379" s="23" t="s">
        <v>907</v>
      </c>
      <c r="J379" s="23" t="s">
        <v>907</v>
      </c>
      <c r="K379" s="23" t="s">
        <v>907</v>
      </c>
      <c r="M379" s="23" t="s">
        <v>907</v>
      </c>
      <c r="N379" s="23"/>
      <c r="P379" s="1" t="str">
        <f t="shared" si="10"/>
        <v>61402</v>
      </c>
      <c r="Q379" s="263" t="str">
        <f t="shared" si="11"/>
        <v>Payroll and Related Expenses - Sales &amp; Marketing</v>
      </c>
    </row>
    <row r="380" spans="1:17" x14ac:dyDescent="0.25">
      <c r="A380" s="24" t="s">
        <v>224</v>
      </c>
      <c r="B380" s="24" t="s">
        <v>20</v>
      </c>
      <c r="C380" s="24" t="s">
        <v>54</v>
      </c>
      <c r="D380" s="25" t="s">
        <v>2</v>
      </c>
      <c r="E380" s="25" t="s">
        <v>1</v>
      </c>
      <c r="F380" s="5" t="s">
        <v>294</v>
      </c>
      <c r="G380" s="2" t="s">
        <v>174</v>
      </c>
      <c r="H380" s="2" t="s">
        <v>23</v>
      </c>
      <c r="I380" s="24" t="s">
        <v>908</v>
      </c>
      <c r="J380" s="24" t="s">
        <v>908</v>
      </c>
      <c r="K380" s="24" t="s">
        <v>908</v>
      </c>
      <c r="M380" s="24" t="s">
        <v>908</v>
      </c>
      <c r="N380" s="24"/>
      <c r="P380" s="1" t="str">
        <f t="shared" si="10"/>
        <v>61402001</v>
      </c>
      <c r="Q380" s="263" t="str">
        <f t="shared" si="11"/>
        <v>SM - Salary</v>
      </c>
    </row>
    <row r="381" spans="1:17" x14ac:dyDescent="0.25">
      <c r="A381" s="24" t="s">
        <v>224</v>
      </c>
      <c r="B381" s="24" t="s">
        <v>20</v>
      </c>
      <c r="C381" s="24" t="s">
        <v>54</v>
      </c>
      <c r="D381" s="25" t="s">
        <v>2</v>
      </c>
      <c r="E381" s="25" t="s">
        <v>3</v>
      </c>
      <c r="F381" s="5" t="s">
        <v>295</v>
      </c>
      <c r="G381" s="2" t="s">
        <v>174</v>
      </c>
      <c r="H381" s="2" t="s">
        <v>23</v>
      </c>
      <c r="I381" s="24" t="s">
        <v>908</v>
      </c>
      <c r="J381" s="24" t="s">
        <v>908</v>
      </c>
      <c r="K381" s="24" t="s">
        <v>908</v>
      </c>
      <c r="M381" s="24" t="s">
        <v>908</v>
      </c>
      <c r="N381" s="24"/>
      <c r="P381" s="1" t="str">
        <f t="shared" si="10"/>
        <v>61402002</v>
      </c>
      <c r="Q381" s="263" t="str">
        <f t="shared" si="11"/>
        <v>SM - Overtime</v>
      </c>
    </row>
    <row r="382" spans="1:17" x14ac:dyDescent="0.25">
      <c r="A382" s="24" t="s">
        <v>224</v>
      </c>
      <c r="B382" s="24" t="s">
        <v>20</v>
      </c>
      <c r="C382" s="24" t="s">
        <v>54</v>
      </c>
      <c r="D382" s="25" t="s">
        <v>2</v>
      </c>
      <c r="E382" s="25" t="s">
        <v>5</v>
      </c>
      <c r="F382" s="5" t="s">
        <v>296</v>
      </c>
      <c r="G382" s="2" t="s">
        <v>174</v>
      </c>
      <c r="H382" s="2" t="s">
        <v>23</v>
      </c>
      <c r="I382" s="24" t="s">
        <v>908</v>
      </c>
      <c r="J382" s="24" t="s">
        <v>908</v>
      </c>
      <c r="K382" s="24" t="s">
        <v>908</v>
      </c>
      <c r="M382" s="24" t="s">
        <v>908</v>
      </c>
      <c r="N382" s="24"/>
      <c r="P382" s="1" t="str">
        <f t="shared" si="10"/>
        <v>61402003</v>
      </c>
      <c r="Q382" s="263" t="str">
        <f t="shared" si="11"/>
        <v>SM - THR</v>
      </c>
    </row>
    <row r="383" spans="1:17" x14ac:dyDescent="0.25">
      <c r="A383" s="24" t="s">
        <v>224</v>
      </c>
      <c r="B383" s="24" t="s">
        <v>20</v>
      </c>
      <c r="C383" s="24" t="s">
        <v>54</v>
      </c>
      <c r="D383" s="25" t="s">
        <v>2</v>
      </c>
      <c r="E383" s="25" t="s">
        <v>7</v>
      </c>
      <c r="F383" s="5" t="s">
        <v>297</v>
      </c>
      <c r="G383" s="2" t="s">
        <v>174</v>
      </c>
      <c r="H383" s="2" t="s">
        <v>23</v>
      </c>
      <c r="I383" s="24" t="s">
        <v>908</v>
      </c>
      <c r="J383" s="24" t="s">
        <v>908</v>
      </c>
      <c r="K383" s="24" t="s">
        <v>908</v>
      </c>
      <c r="M383" s="24" t="s">
        <v>908</v>
      </c>
      <c r="N383" s="24"/>
      <c r="P383" s="1" t="str">
        <f t="shared" si="10"/>
        <v>61402004</v>
      </c>
      <c r="Q383" s="263" t="str">
        <f t="shared" si="11"/>
        <v>SM - Bonus</v>
      </c>
    </row>
    <row r="384" spans="1:17" x14ac:dyDescent="0.25">
      <c r="A384" s="24" t="s">
        <v>224</v>
      </c>
      <c r="B384" s="24" t="s">
        <v>20</v>
      </c>
      <c r="C384" s="24" t="s">
        <v>54</v>
      </c>
      <c r="D384" s="25" t="s">
        <v>2</v>
      </c>
      <c r="E384" s="25" t="s">
        <v>9</v>
      </c>
      <c r="F384" s="5" t="s">
        <v>298</v>
      </c>
      <c r="G384" s="2" t="s">
        <v>174</v>
      </c>
      <c r="H384" s="2" t="s">
        <v>23</v>
      </c>
      <c r="I384" s="24" t="s">
        <v>908</v>
      </c>
      <c r="J384" s="24" t="s">
        <v>908</v>
      </c>
      <c r="K384" s="24" t="s">
        <v>908</v>
      </c>
      <c r="M384" s="24" t="s">
        <v>908</v>
      </c>
      <c r="N384" s="24"/>
      <c r="P384" s="1" t="str">
        <f t="shared" si="10"/>
        <v>61402005</v>
      </c>
      <c r="Q384" s="263" t="str">
        <f t="shared" si="11"/>
        <v>SM - Income Tax Allowance</v>
      </c>
    </row>
    <row r="385" spans="1:17" x14ac:dyDescent="0.25">
      <c r="A385" s="24" t="s">
        <v>224</v>
      </c>
      <c r="B385" s="24" t="s">
        <v>20</v>
      </c>
      <c r="C385" s="24" t="s">
        <v>54</v>
      </c>
      <c r="D385" s="25" t="s">
        <v>2</v>
      </c>
      <c r="E385" s="25" t="s">
        <v>10</v>
      </c>
      <c r="F385" s="5" t="s">
        <v>299</v>
      </c>
      <c r="G385" s="2" t="s">
        <v>174</v>
      </c>
      <c r="H385" s="2" t="s">
        <v>23</v>
      </c>
      <c r="I385" s="24" t="s">
        <v>908</v>
      </c>
      <c r="J385" s="24" t="s">
        <v>908</v>
      </c>
      <c r="K385" s="24" t="s">
        <v>908</v>
      </c>
      <c r="M385" s="24" t="s">
        <v>908</v>
      </c>
      <c r="N385" s="24"/>
      <c r="P385" s="1" t="str">
        <f t="shared" si="10"/>
        <v>61402006</v>
      </c>
      <c r="Q385" s="263" t="str">
        <f t="shared" si="11"/>
        <v>SM - Meal Allowance</v>
      </c>
    </row>
    <row r="386" spans="1:17" x14ac:dyDescent="0.25">
      <c r="A386" s="24" t="s">
        <v>224</v>
      </c>
      <c r="B386" s="24" t="s">
        <v>20</v>
      </c>
      <c r="C386" s="24" t="s">
        <v>54</v>
      </c>
      <c r="D386" s="25" t="s">
        <v>2</v>
      </c>
      <c r="E386" s="25" t="s">
        <v>11</v>
      </c>
      <c r="F386" s="5" t="s">
        <v>300</v>
      </c>
      <c r="G386" s="2" t="s">
        <v>174</v>
      </c>
      <c r="H386" s="2" t="s">
        <v>23</v>
      </c>
      <c r="I386" s="24" t="s">
        <v>908</v>
      </c>
      <c r="J386" s="24" t="s">
        <v>908</v>
      </c>
      <c r="K386" s="24" t="s">
        <v>908</v>
      </c>
      <c r="M386" s="24" t="s">
        <v>908</v>
      </c>
      <c r="N386" s="24"/>
      <c r="P386" s="1" t="str">
        <f t="shared" si="10"/>
        <v>61402007</v>
      </c>
      <c r="Q386" s="263" t="str">
        <f t="shared" si="11"/>
        <v>SM - Jamsostek</v>
      </c>
    </row>
    <row r="387" spans="1:17" x14ac:dyDescent="0.25">
      <c r="A387" s="24" t="s">
        <v>224</v>
      </c>
      <c r="B387" s="24" t="s">
        <v>20</v>
      </c>
      <c r="C387" s="24" t="s">
        <v>54</v>
      </c>
      <c r="D387" s="25" t="s">
        <v>2</v>
      </c>
      <c r="E387" s="25" t="s">
        <v>13</v>
      </c>
      <c r="F387" s="5" t="s">
        <v>301</v>
      </c>
      <c r="G387" s="2" t="s">
        <v>174</v>
      </c>
      <c r="H387" s="2" t="s">
        <v>23</v>
      </c>
      <c r="I387" s="24" t="s">
        <v>908</v>
      </c>
      <c r="J387" s="24" t="s">
        <v>908</v>
      </c>
      <c r="K387" s="24" t="s">
        <v>908</v>
      </c>
      <c r="M387" s="24" t="s">
        <v>908</v>
      </c>
      <c r="N387" s="24"/>
      <c r="P387" s="1" t="str">
        <f t="shared" si="10"/>
        <v>61402008</v>
      </c>
      <c r="Q387" s="263" t="str">
        <f t="shared" si="11"/>
        <v>SM - Medical &amp; Insurance</v>
      </c>
    </row>
    <row r="388" spans="1:17" x14ac:dyDescent="0.25">
      <c r="A388" s="24" t="s">
        <v>224</v>
      </c>
      <c r="B388" s="24" t="s">
        <v>20</v>
      </c>
      <c r="C388" s="24" t="s">
        <v>54</v>
      </c>
      <c r="D388" s="25" t="s">
        <v>2</v>
      </c>
      <c r="E388" s="25" t="s">
        <v>15</v>
      </c>
      <c r="F388" s="5" t="s">
        <v>302</v>
      </c>
      <c r="G388" s="2" t="s">
        <v>174</v>
      </c>
      <c r="H388" s="2" t="s">
        <v>23</v>
      </c>
      <c r="I388" s="24" t="s">
        <v>908</v>
      </c>
      <c r="J388" s="24" t="s">
        <v>908</v>
      </c>
      <c r="K388" s="24" t="s">
        <v>908</v>
      </c>
      <c r="M388" s="24" t="s">
        <v>908</v>
      </c>
      <c r="N388" s="24"/>
      <c r="P388" s="1" t="str">
        <f t="shared" si="10"/>
        <v>61402009</v>
      </c>
      <c r="Q388" s="263" t="str">
        <f t="shared" si="11"/>
        <v>SM - Pension Plan</v>
      </c>
    </row>
    <row r="389" spans="1:17" x14ac:dyDescent="0.25">
      <c r="A389" s="24" t="s">
        <v>224</v>
      </c>
      <c r="B389" s="24" t="s">
        <v>20</v>
      </c>
      <c r="C389" s="24" t="s">
        <v>54</v>
      </c>
      <c r="D389" s="25" t="s">
        <v>2</v>
      </c>
      <c r="E389" s="25" t="s">
        <v>238</v>
      </c>
      <c r="F389" s="5" t="s">
        <v>920</v>
      </c>
      <c r="G389" s="2" t="s">
        <v>174</v>
      </c>
      <c r="H389" s="2" t="s">
        <v>23</v>
      </c>
      <c r="I389" s="24" t="s">
        <v>908</v>
      </c>
      <c r="J389" s="24" t="s">
        <v>908</v>
      </c>
      <c r="K389" s="24" t="s">
        <v>908</v>
      </c>
      <c r="M389" s="24" t="s">
        <v>908</v>
      </c>
      <c r="N389" s="24"/>
      <c r="P389" s="1" t="str">
        <f t="shared" ref="P389:P452" si="12">CONCATENATE(A389,B389,C389,D389,E389)</f>
        <v>61402010</v>
      </c>
      <c r="Q389" s="263" t="str">
        <f t="shared" si="11"/>
        <v>SM - Temporary Staff &amp; Daily Worker</v>
      </c>
    </row>
    <row r="390" spans="1:17" x14ac:dyDescent="0.25">
      <c r="A390" s="24" t="s">
        <v>224</v>
      </c>
      <c r="B390" s="24" t="s">
        <v>20</v>
      </c>
      <c r="C390" s="24" t="s">
        <v>54</v>
      </c>
      <c r="D390" s="25" t="s">
        <v>2</v>
      </c>
      <c r="E390" s="25" t="s">
        <v>240</v>
      </c>
      <c r="F390" s="5" t="s">
        <v>303</v>
      </c>
      <c r="G390" s="2" t="s">
        <v>174</v>
      </c>
      <c r="H390" s="2" t="s">
        <v>23</v>
      </c>
      <c r="I390" s="24" t="s">
        <v>908</v>
      </c>
      <c r="J390" s="24" t="s">
        <v>908</v>
      </c>
      <c r="K390" s="24" t="s">
        <v>908</v>
      </c>
      <c r="M390" s="24" t="s">
        <v>908</v>
      </c>
      <c r="N390" s="24"/>
      <c r="P390" s="1" t="str">
        <f t="shared" si="12"/>
        <v>61402011</v>
      </c>
      <c r="Q390" s="263" t="str">
        <f t="shared" si="11"/>
        <v>SM - Employee Benefit</v>
      </c>
    </row>
    <row r="391" spans="1:17" x14ac:dyDescent="0.25">
      <c r="A391" s="24" t="s">
        <v>224</v>
      </c>
      <c r="B391" s="24" t="s">
        <v>20</v>
      </c>
      <c r="C391" s="24" t="s">
        <v>54</v>
      </c>
      <c r="D391" s="25" t="s">
        <v>2</v>
      </c>
      <c r="E391" s="25" t="s">
        <v>43</v>
      </c>
      <c r="F391" s="5" t="s">
        <v>304</v>
      </c>
      <c r="G391" s="2" t="s">
        <v>174</v>
      </c>
      <c r="H391" s="2" t="s">
        <v>23</v>
      </c>
      <c r="I391" s="24" t="s">
        <v>908</v>
      </c>
      <c r="J391" s="24" t="s">
        <v>908</v>
      </c>
      <c r="K391" s="24" t="s">
        <v>908</v>
      </c>
      <c r="M391" s="24" t="s">
        <v>908</v>
      </c>
      <c r="N391" s="24"/>
      <c r="P391" s="1" t="str">
        <f t="shared" si="12"/>
        <v>61402999</v>
      </c>
      <c r="Q391" s="263" t="str">
        <f t="shared" si="11"/>
        <v>SM - Other Payroll and Related Expense</v>
      </c>
    </row>
    <row r="392" spans="1:17" x14ac:dyDescent="0.25">
      <c r="A392" s="20" t="s">
        <v>224</v>
      </c>
      <c r="B392" s="20" t="s">
        <v>20</v>
      </c>
      <c r="C392" s="20" t="s">
        <v>54</v>
      </c>
      <c r="D392" s="21" t="s">
        <v>4</v>
      </c>
      <c r="E392" s="20"/>
      <c r="F392" s="22" t="s">
        <v>305</v>
      </c>
      <c r="G392" s="23" t="s">
        <v>174</v>
      </c>
      <c r="H392" s="23" t="s">
        <v>23</v>
      </c>
      <c r="I392" s="23" t="s">
        <v>907</v>
      </c>
      <c r="J392" s="23" t="s">
        <v>907</v>
      </c>
      <c r="K392" s="23" t="s">
        <v>907</v>
      </c>
      <c r="M392" s="23" t="s">
        <v>907</v>
      </c>
      <c r="N392" s="23"/>
      <c r="P392" s="1" t="str">
        <f t="shared" si="12"/>
        <v>61403</v>
      </c>
      <c r="Q392" s="263" t="str">
        <f t="shared" si="11"/>
        <v>Payroll and Related Expenses - Administrative &amp; General</v>
      </c>
    </row>
    <row r="393" spans="1:17" x14ac:dyDescent="0.25">
      <c r="A393" s="24" t="s">
        <v>224</v>
      </c>
      <c r="B393" s="24" t="s">
        <v>20</v>
      </c>
      <c r="C393" s="24" t="s">
        <v>54</v>
      </c>
      <c r="D393" s="25" t="s">
        <v>4</v>
      </c>
      <c r="E393" s="25" t="s">
        <v>1</v>
      </c>
      <c r="F393" s="5" t="s">
        <v>306</v>
      </c>
      <c r="G393" s="2" t="s">
        <v>174</v>
      </c>
      <c r="H393" s="2" t="s">
        <v>23</v>
      </c>
      <c r="I393" s="24" t="s">
        <v>908</v>
      </c>
      <c r="J393" s="24" t="s">
        <v>908</v>
      </c>
      <c r="K393" s="24" t="s">
        <v>908</v>
      </c>
      <c r="M393" s="24" t="s">
        <v>908</v>
      </c>
      <c r="N393" s="24"/>
      <c r="P393" s="1" t="str">
        <f t="shared" si="12"/>
        <v>61403001</v>
      </c>
      <c r="Q393" s="263" t="str">
        <f t="shared" ref="Q393:Q456" si="13">F393</f>
        <v>AG - Salary</v>
      </c>
    </row>
    <row r="394" spans="1:17" x14ac:dyDescent="0.25">
      <c r="A394" s="24" t="s">
        <v>224</v>
      </c>
      <c r="B394" s="24" t="s">
        <v>20</v>
      </c>
      <c r="C394" s="24" t="s">
        <v>54</v>
      </c>
      <c r="D394" s="25" t="s">
        <v>4</v>
      </c>
      <c r="E394" s="25" t="s">
        <v>3</v>
      </c>
      <c r="F394" s="5" t="s">
        <v>307</v>
      </c>
      <c r="G394" s="2" t="s">
        <v>174</v>
      </c>
      <c r="H394" s="2" t="s">
        <v>23</v>
      </c>
      <c r="I394" s="24" t="s">
        <v>908</v>
      </c>
      <c r="J394" s="24" t="s">
        <v>908</v>
      </c>
      <c r="K394" s="24" t="s">
        <v>908</v>
      </c>
      <c r="M394" s="24" t="s">
        <v>908</v>
      </c>
      <c r="N394" s="24"/>
      <c r="P394" s="1" t="str">
        <f t="shared" si="12"/>
        <v>61403002</v>
      </c>
      <c r="Q394" s="263" t="str">
        <f t="shared" si="13"/>
        <v>AG - Overtime</v>
      </c>
    </row>
    <row r="395" spans="1:17" x14ac:dyDescent="0.25">
      <c r="A395" s="24" t="s">
        <v>224</v>
      </c>
      <c r="B395" s="24" t="s">
        <v>20</v>
      </c>
      <c r="C395" s="24" t="s">
        <v>54</v>
      </c>
      <c r="D395" s="25" t="s">
        <v>4</v>
      </c>
      <c r="E395" s="25" t="s">
        <v>5</v>
      </c>
      <c r="F395" s="5" t="s">
        <v>308</v>
      </c>
      <c r="G395" s="2" t="s">
        <v>174</v>
      </c>
      <c r="H395" s="2" t="s">
        <v>23</v>
      </c>
      <c r="I395" s="24" t="s">
        <v>908</v>
      </c>
      <c r="J395" s="24" t="s">
        <v>908</v>
      </c>
      <c r="K395" s="24" t="s">
        <v>908</v>
      </c>
      <c r="M395" s="24" t="s">
        <v>908</v>
      </c>
      <c r="N395" s="24"/>
      <c r="P395" s="1" t="str">
        <f t="shared" si="12"/>
        <v>61403003</v>
      </c>
      <c r="Q395" s="263" t="str">
        <f t="shared" si="13"/>
        <v>AG - THR</v>
      </c>
    </row>
    <row r="396" spans="1:17" x14ac:dyDescent="0.25">
      <c r="A396" s="24" t="s">
        <v>224</v>
      </c>
      <c r="B396" s="24" t="s">
        <v>20</v>
      </c>
      <c r="C396" s="24" t="s">
        <v>54</v>
      </c>
      <c r="D396" s="25" t="s">
        <v>4</v>
      </c>
      <c r="E396" s="25" t="s">
        <v>7</v>
      </c>
      <c r="F396" s="5" t="s">
        <v>309</v>
      </c>
      <c r="G396" s="2" t="s">
        <v>174</v>
      </c>
      <c r="H396" s="2" t="s">
        <v>23</v>
      </c>
      <c r="I396" s="24" t="s">
        <v>908</v>
      </c>
      <c r="J396" s="24" t="s">
        <v>908</v>
      </c>
      <c r="K396" s="24" t="s">
        <v>908</v>
      </c>
      <c r="M396" s="24" t="s">
        <v>908</v>
      </c>
      <c r="N396" s="24"/>
      <c r="P396" s="1" t="str">
        <f t="shared" si="12"/>
        <v>61403004</v>
      </c>
      <c r="Q396" s="263" t="str">
        <f t="shared" si="13"/>
        <v>AG - Bonus</v>
      </c>
    </row>
    <row r="397" spans="1:17" x14ac:dyDescent="0.25">
      <c r="A397" s="24" t="s">
        <v>224</v>
      </c>
      <c r="B397" s="24" t="s">
        <v>20</v>
      </c>
      <c r="C397" s="24" t="s">
        <v>54</v>
      </c>
      <c r="D397" s="25" t="s">
        <v>4</v>
      </c>
      <c r="E397" s="25" t="s">
        <v>9</v>
      </c>
      <c r="F397" s="5" t="s">
        <v>310</v>
      </c>
      <c r="G397" s="2" t="s">
        <v>174</v>
      </c>
      <c r="H397" s="2" t="s">
        <v>23</v>
      </c>
      <c r="I397" s="24" t="s">
        <v>908</v>
      </c>
      <c r="J397" s="24" t="s">
        <v>908</v>
      </c>
      <c r="K397" s="24" t="s">
        <v>908</v>
      </c>
      <c r="M397" s="24" t="s">
        <v>908</v>
      </c>
      <c r="N397" s="24"/>
      <c r="P397" s="1" t="str">
        <f t="shared" si="12"/>
        <v>61403005</v>
      </c>
      <c r="Q397" s="263" t="str">
        <f t="shared" si="13"/>
        <v>AG - Income Tax Allowance</v>
      </c>
    </row>
    <row r="398" spans="1:17" x14ac:dyDescent="0.25">
      <c r="A398" s="24" t="s">
        <v>224</v>
      </c>
      <c r="B398" s="24" t="s">
        <v>20</v>
      </c>
      <c r="C398" s="24" t="s">
        <v>54</v>
      </c>
      <c r="D398" s="25" t="s">
        <v>4</v>
      </c>
      <c r="E398" s="25" t="s">
        <v>10</v>
      </c>
      <c r="F398" s="5" t="s">
        <v>311</v>
      </c>
      <c r="G398" s="2" t="s">
        <v>174</v>
      </c>
      <c r="H398" s="2" t="s">
        <v>23</v>
      </c>
      <c r="I398" s="24" t="s">
        <v>908</v>
      </c>
      <c r="J398" s="24" t="s">
        <v>908</v>
      </c>
      <c r="K398" s="24" t="s">
        <v>908</v>
      </c>
      <c r="M398" s="24" t="s">
        <v>908</v>
      </c>
      <c r="N398" s="24"/>
      <c r="P398" s="1" t="str">
        <f t="shared" si="12"/>
        <v>61403006</v>
      </c>
      <c r="Q398" s="263" t="str">
        <f t="shared" si="13"/>
        <v>AG - Meal Allowance</v>
      </c>
    </row>
    <row r="399" spans="1:17" x14ac:dyDescent="0.25">
      <c r="A399" s="24" t="s">
        <v>224</v>
      </c>
      <c r="B399" s="24" t="s">
        <v>20</v>
      </c>
      <c r="C399" s="24" t="s">
        <v>54</v>
      </c>
      <c r="D399" s="25" t="s">
        <v>4</v>
      </c>
      <c r="E399" s="25" t="s">
        <v>11</v>
      </c>
      <c r="F399" s="5" t="s">
        <v>312</v>
      </c>
      <c r="G399" s="2" t="s">
        <v>174</v>
      </c>
      <c r="H399" s="2" t="s">
        <v>23</v>
      </c>
      <c r="I399" s="24" t="s">
        <v>908</v>
      </c>
      <c r="J399" s="24" t="s">
        <v>908</v>
      </c>
      <c r="K399" s="24" t="s">
        <v>908</v>
      </c>
      <c r="M399" s="24" t="s">
        <v>908</v>
      </c>
      <c r="N399" s="24"/>
      <c r="P399" s="1" t="str">
        <f t="shared" si="12"/>
        <v>61403007</v>
      </c>
      <c r="Q399" s="263" t="str">
        <f t="shared" si="13"/>
        <v>AG - Jamsostek</v>
      </c>
    </row>
    <row r="400" spans="1:17" x14ac:dyDescent="0.25">
      <c r="A400" s="24" t="s">
        <v>224</v>
      </c>
      <c r="B400" s="24" t="s">
        <v>20</v>
      </c>
      <c r="C400" s="24" t="s">
        <v>54</v>
      </c>
      <c r="D400" s="25" t="s">
        <v>4</v>
      </c>
      <c r="E400" s="25" t="s">
        <v>13</v>
      </c>
      <c r="F400" s="5" t="s">
        <v>313</v>
      </c>
      <c r="G400" s="2" t="s">
        <v>174</v>
      </c>
      <c r="H400" s="2" t="s">
        <v>23</v>
      </c>
      <c r="I400" s="24" t="s">
        <v>908</v>
      </c>
      <c r="J400" s="24" t="s">
        <v>908</v>
      </c>
      <c r="K400" s="24" t="s">
        <v>908</v>
      </c>
      <c r="M400" s="24" t="s">
        <v>908</v>
      </c>
      <c r="N400" s="24"/>
      <c r="P400" s="1" t="str">
        <f t="shared" si="12"/>
        <v>61403008</v>
      </c>
      <c r="Q400" s="263" t="str">
        <f t="shared" si="13"/>
        <v>AG - Medical &amp; Insurance</v>
      </c>
    </row>
    <row r="401" spans="1:17" x14ac:dyDescent="0.25">
      <c r="A401" s="24" t="s">
        <v>224</v>
      </c>
      <c r="B401" s="24" t="s">
        <v>20</v>
      </c>
      <c r="C401" s="24" t="s">
        <v>54</v>
      </c>
      <c r="D401" s="25" t="s">
        <v>4</v>
      </c>
      <c r="E401" s="25" t="s">
        <v>15</v>
      </c>
      <c r="F401" s="5" t="s">
        <v>314</v>
      </c>
      <c r="G401" s="2" t="s">
        <v>174</v>
      </c>
      <c r="H401" s="2" t="s">
        <v>23</v>
      </c>
      <c r="I401" s="24" t="s">
        <v>908</v>
      </c>
      <c r="J401" s="24" t="s">
        <v>908</v>
      </c>
      <c r="K401" s="24" t="s">
        <v>908</v>
      </c>
      <c r="M401" s="24" t="s">
        <v>908</v>
      </c>
      <c r="N401" s="24"/>
      <c r="P401" s="1" t="str">
        <f t="shared" si="12"/>
        <v>61403009</v>
      </c>
      <c r="Q401" s="263" t="str">
        <f t="shared" si="13"/>
        <v>AG - Pension Plan</v>
      </c>
    </row>
    <row r="402" spans="1:17" x14ac:dyDescent="0.25">
      <c r="A402" s="24" t="s">
        <v>224</v>
      </c>
      <c r="B402" s="24" t="s">
        <v>20</v>
      </c>
      <c r="C402" s="24" t="s">
        <v>54</v>
      </c>
      <c r="D402" s="25" t="s">
        <v>4</v>
      </c>
      <c r="E402" s="25" t="s">
        <v>238</v>
      </c>
      <c r="F402" s="5" t="s">
        <v>921</v>
      </c>
      <c r="G402" s="2" t="s">
        <v>174</v>
      </c>
      <c r="H402" s="2" t="s">
        <v>23</v>
      </c>
      <c r="I402" s="24" t="s">
        <v>908</v>
      </c>
      <c r="J402" s="24" t="s">
        <v>908</v>
      </c>
      <c r="K402" s="24" t="s">
        <v>908</v>
      </c>
      <c r="M402" s="24" t="s">
        <v>908</v>
      </c>
      <c r="N402" s="24"/>
      <c r="P402" s="1" t="str">
        <f t="shared" si="12"/>
        <v>61403010</v>
      </c>
      <c r="Q402" s="263" t="str">
        <f t="shared" si="13"/>
        <v>AG - Temporary Staff &amp; Daily Worker</v>
      </c>
    </row>
    <row r="403" spans="1:17" x14ac:dyDescent="0.25">
      <c r="A403" s="24" t="s">
        <v>224</v>
      </c>
      <c r="B403" s="24" t="s">
        <v>20</v>
      </c>
      <c r="C403" s="24" t="s">
        <v>54</v>
      </c>
      <c r="D403" s="25" t="s">
        <v>4</v>
      </c>
      <c r="E403" s="25" t="s">
        <v>240</v>
      </c>
      <c r="F403" s="5" t="s">
        <v>315</v>
      </c>
      <c r="G403" s="2" t="s">
        <v>174</v>
      </c>
      <c r="H403" s="2" t="s">
        <v>23</v>
      </c>
      <c r="I403" s="24" t="s">
        <v>908</v>
      </c>
      <c r="J403" s="24" t="s">
        <v>908</v>
      </c>
      <c r="K403" s="24" t="s">
        <v>908</v>
      </c>
      <c r="M403" s="24" t="s">
        <v>908</v>
      </c>
      <c r="N403" s="24"/>
      <c r="P403" s="1" t="str">
        <f t="shared" si="12"/>
        <v>61403011</v>
      </c>
      <c r="Q403" s="263" t="str">
        <f t="shared" si="13"/>
        <v>AG - Employee Benefit</v>
      </c>
    </row>
    <row r="404" spans="1:17" x14ac:dyDescent="0.25">
      <c r="A404" s="24" t="s">
        <v>224</v>
      </c>
      <c r="B404" s="24" t="s">
        <v>20</v>
      </c>
      <c r="C404" s="24" t="s">
        <v>54</v>
      </c>
      <c r="D404" s="25" t="s">
        <v>4</v>
      </c>
      <c r="E404" s="25" t="s">
        <v>43</v>
      </c>
      <c r="F404" s="5" t="s">
        <v>316</v>
      </c>
      <c r="G404" s="2" t="s">
        <v>174</v>
      </c>
      <c r="H404" s="2" t="s">
        <v>23</v>
      </c>
      <c r="I404" s="24" t="s">
        <v>908</v>
      </c>
      <c r="J404" s="24" t="s">
        <v>908</v>
      </c>
      <c r="K404" s="24" t="s">
        <v>908</v>
      </c>
      <c r="M404" s="24" t="s">
        <v>908</v>
      </c>
      <c r="N404" s="24"/>
      <c r="P404" s="1" t="str">
        <f t="shared" si="12"/>
        <v>61403999</v>
      </c>
      <c r="Q404" s="263" t="str">
        <f t="shared" si="13"/>
        <v>AG - Other Payroll and Related Expense</v>
      </c>
    </row>
    <row r="405" spans="1:17" x14ac:dyDescent="0.25">
      <c r="A405" s="8" t="s">
        <v>317</v>
      </c>
      <c r="B405" s="8"/>
      <c r="C405" s="8"/>
      <c r="D405" s="8"/>
      <c r="E405" s="8"/>
      <c r="F405" s="9" t="s">
        <v>684</v>
      </c>
      <c r="G405" s="10" t="s">
        <v>174</v>
      </c>
      <c r="H405" s="10" t="s">
        <v>23</v>
      </c>
      <c r="I405" s="10" t="s">
        <v>907</v>
      </c>
      <c r="J405" s="10" t="s">
        <v>907</v>
      </c>
      <c r="K405" s="10" t="s">
        <v>907</v>
      </c>
      <c r="M405" s="10" t="s">
        <v>907</v>
      </c>
      <c r="N405" s="10"/>
      <c r="P405" s="1" t="str">
        <f t="shared" si="12"/>
        <v>7</v>
      </c>
      <c r="Q405" s="263" t="str">
        <f t="shared" si="13"/>
        <v>OPERATING EXPENSES</v>
      </c>
    </row>
    <row r="406" spans="1:17" x14ac:dyDescent="0.25">
      <c r="A406" s="12" t="s">
        <v>317</v>
      </c>
      <c r="B406" s="12" t="s">
        <v>20</v>
      </c>
      <c r="C406" s="12"/>
      <c r="D406" s="12"/>
      <c r="E406" s="12"/>
      <c r="F406" s="13" t="s">
        <v>318</v>
      </c>
      <c r="G406" s="14" t="s">
        <v>174</v>
      </c>
      <c r="H406" s="14" t="s">
        <v>23</v>
      </c>
      <c r="I406" s="14" t="s">
        <v>907</v>
      </c>
      <c r="J406" s="14" t="s">
        <v>907</v>
      </c>
      <c r="K406" s="14" t="s">
        <v>907</v>
      </c>
      <c r="M406" s="14" t="s">
        <v>907</v>
      </c>
      <c r="N406" s="14"/>
      <c r="P406" s="1" t="str">
        <f t="shared" si="12"/>
        <v>71</v>
      </c>
      <c r="Q406" s="263" t="str">
        <f t="shared" si="13"/>
        <v>Operating Expenses - Department</v>
      </c>
    </row>
    <row r="407" spans="1:17" x14ac:dyDescent="0.25">
      <c r="A407" s="16" t="s">
        <v>317</v>
      </c>
      <c r="B407" s="16" t="s">
        <v>20</v>
      </c>
      <c r="C407" s="16" t="s">
        <v>20</v>
      </c>
      <c r="D407" s="16"/>
      <c r="E407" s="16"/>
      <c r="F407" s="18" t="s">
        <v>319</v>
      </c>
      <c r="G407" s="19" t="s">
        <v>174</v>
      </c>
      <c r="H407" s="19" t="s">
        <v>23</v>
      </c>
      <c r="I407" s="19" t="s">
        <v>907</v>
      </c>
      <c r="J407" s="19" t="s">
        <v>907</v>
      </c>
      <c r="K407" s="19" t="s">
        <v>907</v>
      </c>
      <c r="M407" s="19" t="s">
        <v>907</v>
      </c>
      <c r="N407" s="19"/>
      <c r="P407" s="1" t="str">
        <f t="shared" si="12"/>
        <v>711</v>
      </c>
      <c r="Q407" s="263" t="str">
        <f t="shared" si="13"/>
        <v>Room - Operating Expenses</v>
      </c>
    </row>
    <row r="408" spans="1:17" x14ac:dyDescent="0.25">
      <c r="A408" s="20" t="s">
        <v>317</v>
      </c>
      <c r="B408" s="20" t="s">
        <v>20</v>
      </c>
      <c r="C408" s="20" t="s">
        <v>20</v>
      </c>
      <c r="D408" s="21" t="s">
        <v>0</v>
      </c>
      <c r="E408" s="20"/>
      <c r="F408" s="22" t="s">
        <v>565</v>
      </c>
      <c r="G408" s="23" t="s">
        <v>174</v>
      </c>
      <c r="H408" s="23" t="s">
        <v>23</v>
      </c>
      <c r="I408" s="23" t="s">
        <v>907</v>
      </c>
      <c r="J408" s="23" t="s">
        <v>907</v>
      </c>
      <c r="K408" s="23" t="s">
        <v>907</v>
      </c>
      <c r="M408" s="23" t="s">
        <v>907</v>
      </c>
      <c r="N408" s="23"/>
      <c r="P408" s="1" t="str">
        <f t="shared" si="12"/>
        <v>71101</v>
      </c>
      <c r="Q408" s="263" t="str">
        <f t="shared" si="13"/>
        <v>Room - General Operating Expenses</v>
      </c>
    </row>
    <row r="409" spans="1:17" x14ac:dyDescent="0.25">
      <c r="A409" s="24" t="s">
        <v>317</v>
      </c>
      <c r="B409" s="24" t="s">
        <v>20</v>
      </c>
      <c r="C409" s="24" t="s">
        <v>20</v>
      </c>
      <c r="D409" s="24" t="s">
        <v>0</v>
      </c>
      <c r="E409" s="24" t="s">
        <v>1</v>
      </c>
      <c r="F409" s="5" t="s">
        <v>320</v>
      </c>
      <c r="G409" s="2" t="s">
        <v>174</v>
      </c>
      <c r="H409" s="2" t="s">
        <v>23</v>
      </c>
      <c r="I409" s="24" t="s">
        <v>908</v>
      </c>
      <c r="J409" s="24" t="s">
        <v>908</v>
      </c>
      <c r="K409" s="24" t="s">
        <v>908</v>
      </c>
      <c r="M409" s="24" t="s">
        <v>908</v>
      </c>
      <c r="N409" s="24"/>
      <c r="P409" s="1" t="str">
        <f t="shared" si="12"/>
        <v>71101001</v>
      </c>
      <c r="Q409" s="263" t="str">
        <f t="shared" si="13"/>
        <v>RM - Cleaning Supplies</v>
      </c>
    </row>
    <row r="410" spans="1:17" x14ac:dyDescent="0.25">
      <c r="A410" s="24" t="s">
        <v>317</v>
      </c>
      <c r="B410" s="24" t="s">
        <v>20</v>
      </c>
      <c r="C410" s="24" t="s">
        <v>20</v>
      </c>
      <c r="D410" s="24" t="s">
        <v>0</v>
      </c>
      <c r="E410" s="24" t="s">
        <v>3</v>
      </c>
      <c r="F410" s="5" t="s">
        <v>321</v>
      </c>
      <c r="G410" s="2" t="s">
        <v>174</v>
      </c>
      <c r="H410" s="2" t="s">
        <v>23</v>
      </c>
      <c r="I410" s="24" t="s">
        <v>908</v>
      </c>
      <c r="J410" s="24" t="s">
        <v>908</v>
      </c>
      <c r="K410" s="24" t="s">
        <v>908</v>
      </c>
      <c r="M410" s="24" t="s">
        <v>908</v>
      </c>
      <c r="N410" s="24"/>
      <c r="P410" s="1" t="str">
        <f t="shared" si="12"/>
        <v>71101002</v>
      </c>
      <c r="Q410" s="263" t="str">
        <f t="shared" si="13"/>
        <v>RM - Contract Services</v>
      </c>
    </row>
    <row r="411" spans="1:17" x14ac:dyDescent="0.25">
      <c r="A411" s="24" t="s">
        <v>317</v>
      </c>
      <c r="B411" s="24" t="s">
        <v>20</v>
      </c>
      <c r="C411" s="24" t="s">
        <v>20</v>
      </c>
      <c r="D411" s="24" t="s">
        <v>0</v>
      </c>
      <c r="E411" s="24" t="s">
        <v>5</v>
      </c>
      <c r="F411" s="5" t="s">
        <v>322</v>
      </c>
      <c r="G411" s="2" t="s">
        <v>174</v>
      </c>
      <c r="H411" s="2" t="s">
        <v>23</v>
      </c>
      <c r="I411" s="24" t="s">
        <v>908</v>
      </c>
      <c r="J411" s="24" t="s">
        <v>908</v>
      </c>
      <c r="K411" s="24" t="s">
        <v>908</v>
      </c>
      <c r="M411" s="24" t="s">
        <v>908</v>
      </c>
      <c r="N411" s="24"/>
      <c r="P411" s="1" t="str">
        <f t="shared" si="12"/>
        <v>71101003</v>
      </c>
      <c r="Q411" s="263" t="str">
        <f t="shared" si="13"/>
        <v>RM - Decoration &amp; Flowers</v>
      </c>
    </row>
    <row r="412" spans="1:17" x14ac:dyDescent="0.25">
      <c r="A412" s="24" t="s">
        <v>317</v>
      </c>
      <c r="B412" s="24" t="s">
        <v>20</v>
      </c>
      <c r="C412" s="24" t="s">
        <v>20</v>
      </c>
      <c r="D412" s="24" t="s">
        <v>0</v>
      </c>
      <c r="E412" s="24" t="s">
        <v>7</v>
      </c>
      <c r="F412" s="5" t="s">
        <v>323</v>
      </c>
      <c r="G412" s="2" t="s">
        <v>174</v>
      </c>
      <c r="H412" s="2" t="s">
        <v>23</v>
      </c>
      <c r="I412" s="24" t="s">
        <v>908</v>
      </c>
      <c r="J412" s="24" t="s">
        <v>908</v>
      </c>
      <c r="K412" s="24" t="s">
        <v>908</v>
      </c>
      <c r="M412" s="24" t="s">
        <v>908</v>
      </c>
      <c r="N412" s="24"/>
      <c r="P412" s="1" t="str">
        <f t="shared" si="12"/>
        <v>71101004</v>
      </c>
      <c r="Q412" s="263" t="str">
        <f t="shared" si="13"/>
        <v>RM - Guest Complimentary</v>
      </c>
    </row>
    <row r="413" spans="1:17" x14ac:dyDescent="0.25">
      <c r="A413" s="24" t="s">
        <v>317</v>
      </c>
      <c r="B413" s="24" t="s">
        <v>20</v>
      </c>
      <c r="C413" s="24" t="s">
        <v>20</v>
      </c>
      <c r="D413" s="24" t="s">
        <v>0</v>
      </c>
      <c r="E413" s="24" t="s">
        <v>9</v>
      </c>
      <c r="F413" s="5" t="s">
        <v>324</v>
      </c>
      <c r="G413" s="2" t="s">
        <v>174</v>
      </c>
      <c r="H413" s="2" t="s">
        <v>23</v>
      </c>
      <c r="I413" s="24" t="s">
        <v>908</v>
      </c>
      <c r="J413" s="24" t="s">
        <v>908</v>
      </c>
      <c r="K413" s="24" t="s">
        <v>908</v>
      </c>
      <c r="M413" s="24" t="s">
        <v>908</v>
      </c>
      <c r="N413" s="24"/>
      <c r="P413" s="1" t="str">
        <f t="shared" si="12"/>
        <v>71101005</v>
      </c>
      <c r="Q413" s="263" t="str">
        <f t="shared" si="13"/>
        <v>RM - Guest Relocation</v>
      </c>
    </row>
    <row r="414" spans="1:17" x14ac:dyDescent="0.25">
      <c r="A414" s="24" t="s">
        <v>317</v>
      </c>
      <c r="B414" s="24" t="s">
        <v>20</v>
      </c>
      <c r="C414" s="24" t="s">
        <v>20</v>
      </c>
      <c r="D414" s="24" t="s">
        <v>0</v>
      </c>
      <c r="E414" s="24" t="s">
        <v>10</v>
      </c>
      <c r="F414" s="5" t="s">
        <v>325</v>
      </c>
      <c r="G414" s="2" t="s">
        <v>174</v>
      </c>
      <c r="H414" s="2" t="s">
        <v>23</v>
      </c>
      <c r="I414" s="24" t="s">
        <v>908</v>
      </c>
      <c r="J414" s="24" t="s">
        <v>908</v>
      </c>
      <c r="K414" s="24" t="s">
        <v>908</v>
      </c>
      <c r="M414" s="24" t="s">
        <v>908</v>
      </c>
      <c r="N414" s="24"/>
      <c r="P414" s="1" t="str">
        <f t="shared" si="12"/>
        <v>71101006</v>
      </c>
      <c r="Q414" s="263" t="str">
        <f t="shared" si="13"/>
        <v>RM - Guest Supplies</v>
      </c>
    </row>
    <row r="415" spans="1:17" x14ac:dyDescent="0.25">
      <c r="A415" s="24" t="s">
        <v>317</v>
      </c>
      <c r="B415" s="24" t="s">
        <v>20</v>
      </c>
      <c r="C415" s="24" t="s">
        <v>20</v>
      </c>
      <c r="D415" s="24" t="s">
        <v>0</v>
      </c>
      <c r="E415" s="24" t="s">
        <v>11</v>
      </c>
      <c r="F415" s="5" t="s">
        <v>326</v>
      </c>
      <c r="G415" s="2" t="s">
        <v>174</v>
      </c>
      <c r="H415" s="2" t="s">
        <v>23</v>
      </c>
      <c r="I415" s="24" t="s">
        <v>908</v>
      </c>
      <c r="J415" s="24" t="s">
        <v>908</v>
      </c>
      <c r="K415" s="24" t="s">
        <v>908</v>
      </c>
      <c r="M415" s="24" t="s">
        <v>908</v>
      </c>
      <c r="N415" s="24"/>
      <c r="P415" s="1" t="str">
        <f t="shared" si="12"/>
        <v>71101007</v>
      </c>
      <c r="Q415" s="263" t="str">
        <f t="shared" si="13"/>
        <v>RM - Guest Transportation</v>
      </c>
    </row>
    <row r="416" spans="1:17" x14ac:dyDescent="0.25">
      <c r="A416" s="24" t="s">
        <v>317</v>
      </c>
      <c r="B416" s="24" t="s">
        <v>20</v>
      </c>
      <c r="C416" s="24" t="s">
        <v>20</v>
      </c>
      <c r="D416" s="24" t="s">
        <v>0</v>
      </c>
      <c r="E416" s="24" t="s">
        <v>13</v>
      </c>
      <c r="F416" s="5" t="s">
        <v>327</v>
      </c>
      <c r="G416" s="2" t="s">
        <v>174</v>
      </c>
      <c r="H416" s="2" t="s">
        <v>23</v>
      </c>
      <c r="I416" s="24" t="s">
        <v>908</v>
      </c>
      <c r="J416" s="24" t="s">
        <v>908</v>
      </c>
      <c r="K416" s="24" t="s">
        <v>908</v>
      </c>
      <c r="M416" s="24" t="s">
        <v>908</v>
      </c>
      <c r="N416" s="24"/>
      <c r="P416" s="1" t="str">
        <f t="shared" si="12"/>
        <v>71101008</v>
      </c>
      <c r="Q416" s="263" t="str">
        <f t="shared" si="13"/>
        <v>RM - IT Maintenance</v>
      </c>
    </row>
    <row r="417" spans="1:17" x14ac:dyDescent="0.25">
      <c r="A417" s="24" t="s">
        <v>317</v>
      </c>
      <c r="B417" s="24" t="s">
        <v>20</v>
      </c>
      <c r="C417" s="24" t="s">
        <v>20</v>
      </c>
      <c r="D417" s="24" t="s">
        <v>0</v>
      </c>
      <c r="E417" s="24" t="s">
        <v>15</v>
      </c>
      <c r="F417" s="5" t="s">
        <v>328</v>
      </c>
      <c r="G417" s="2" t="s">
        <v>174</v>
      </c>
      <c r="H417" s="2" t="s">
        <v>23</v>
      </c>
      <c r="I417" s="24" t="s">
        <v>908</v>
      </c>
      <c r="J417" s="24" t="s">
        <v>908</v>
      </c>
      <c r="K417" s="24" t="s">
        <v>908</v>
      </c>
      <c r="M417" s="24" t="s">
        <v>908</v>
      </c>
      <c r="N417" s="24"/>
      <c r="P417" s="1" t="str">
        <f t="shared" si="12"/>
        <v>71101009</v>
      </c>
      <c r="Q417" s="263" t="str">
        <f t="shared" si="13"/>
        <v>RM - Internet</v>
      </c>
    </row>
    <row r="418" spans="1:17" x14ac:dyDescent="0.25">
      <c r="A418" s="24" t="s">
        <v>317</v>
      </c>
      <c r="B418" s="24" t="s">
        <v>20</v>
      </c>
      <c r="C418" s="24" t="s">
        <v>20</v>
      </c>
      <c r="D418" s="24" t="s">
        <v>0</v>
      </c>
      <c r="E418" s="24" t="s">
        <v>238</v>
      </c>
      <c r="F418" s="5" t="s">
        <v>329</v>
      </c>
      <c r="G418" s="2" t="s">
        <v>174</v>
      </c>
      <c r="H418" s="2" t="s">
        <v>23</v>
      </c>
      <c r="I418" s="24" t="s">
        <v>908</v>
      </c>
      <c r="J418" s="24" t="s">
        <v>908</v>
      </c>
      <c r="K418" s="24" t="s">
        <v>908</v>
      </c>
      <c r="M418" s="24" t="s">
        <v>908</v>
      </c>
      <c r="N418" s="24"/>
      <c r="P418" s="1" t="str">
        <f t="shared" si="12"/>
        <v>71101010</v>
      </c>
      <c r="Q418" s="263" t="str">
        <f t="shared" si="13"/>
        <v>RM - Laundry &amp; Dry Cleaning</v>
      </c>
    </row>
    <row r="419" spans="1:17" x14ac:dyDescent="0.25">
      <c r="A419" s="24" t="s">
        <v>317</v>
      </c>
      <c r="B419" s="24" t="s">
        <v>20</v>
      </c>
      <c r="C419" s="24" t="s">
        <v>20</v>
      </c>
      <c r="D419" s="24" t="s">
        <v>0</v>
      </c>
      <c r="E419" s="24" t="s">
        <v>240</v>
      </c>
      <c r="F419" s="5" t="s">
        <v>330</v>
      </c>
      <c r="G419" s="2" t="s">
        <v>174</v>
      </c>
      <c r="H419" s="2" t="s">
        <v>23</v>
      </c>
      <c r="I419" s="24" t="s">
        <v>908</v>
      </c>
      <c r="J419" s="24" t="s">
        <v>908</v>
      </c>
      <c r="K419" s="24" t="s">
        <v>908</v>
      </c>
      <c r="M419" s="24" t="s">
        <v>908</v>
      </c>
      <c r="N419" s="24"/>
      <c r="P419" s="1" t="str">
        <f t="shared" si="12"/>
        <v>71101011</v>
      </c>
      <c r="Q419" s="263" t="str">
        <f t="shared" si="13"/>
        <v>RM - Music, TV Cable &amp; Entertainment</v>
      </c>
    </row>
    <row r="420" spans="1:17" x14ac:dyDescent="0.25">
      <c r="A420" s="24" t="s">
        <v>317</v>
      </c>
      <c r="B420" s="24" t="s">
        <v>20</v>
      </c>
      <c r="C420" s="24" t="s">
        <v>20</v>
      </c>
      <c r="D420" s="24" t="s">
        <v>0</v>
      </c>
      <c r="E420" s="24" t="s">
        <v>331</v>
      </c>
      <c r="F420" s="5" t="s">
        <v>332</v>
      </c>
      <c r="G420" s="2" t="s">
        <v>174</v>
      </c>
      <c r="H420" s="2" t="s">
        <v>23</v>
      </c>
      <c r="I420" s="24" t="s">
        <v>908</v>
      </c>
      <c r="J420" s="24" t="s">
        <v>908</v>
      </c>
      <c r="K420" s="24" t="s">
        <v>908</v>
      </c>
      <c r="M420" s="24" t="s">
        <v>908</v>
      </c>
      <c r="N420" s="24"/>
      <c r="P420" s="1" t="str">
        <f t="shared" si="12"/>
        <v>71101012</v>
      </c>
      <c r="Q420" s="263" t="str">
        <f t="shared" si="13"/>
        <v>RM - Newspaper &amp; Magazine</v>
      </c>
    </row>
    <row r="421" spans="1:17" x14ac:dyDescent="0.25">
      <c r="A421" s="24" t="s">
        <v>317</v>
      </c>
      <c r="B421" s="24" t="s">
        <v>20</v>
      </c>
      <c r="C421" s="24" t="s">
        <v>20</v>
      </c>
      <c r="D421" s="24" t="s">
        <v>0</v>
      </c>
      <c r="E421" s="24" t="s">
        <v>333</v>
      </c>
      <c r="F421" s="5" t="s">
        <v>334</v>
      </c>
      <c r="G421" s="2" t="s">
        <v>174</v>
      </c>
      <c r="H421" s="2" t="s">
        <v>23</v>
      </c>
      <c r="I421" s="24" t="s">
        <v>908</v>
      </c>
      <c r="J421" s="24" t="s">
        <v>908</v>
      </c>
      <c r="K421" s="24" t="s">
        <v>908</v>
      </c>
      <c r="M421" s="24" t="s">
        <v>908</v>
      </c>
      <c r="N421" s="24"/>
      <c r="P421" s="1" t="str">
        <f t="shared" si="12"/>
        <v>71101013</v>
      </c>
      <c r="Q421" s="263" t="str">
        <f t="shared" si="13"/>
        <v>RM - Printing &amp; Stationary</v>
      </c>
    </row>
    <row r="422" spans="1:17" x14ac:dyDescent="0.25">
      <c r="A422" s="24" t="s">
        <v>317</v>
      </c>
      <c r="B422" s="24" t="s">
        <v>20</v>
      </c>
      <c r="C422" s="24" t="s">
        <v>20</v>
      </c>
      <c r="D422" s="24" t="s">
        <v>0</v>
      </c>
      <c r="E422" s="24" t="s">
        <v>335</v>
      </c>
      <c r="F422" s="5" t="s">
        <v>336</v>
      </c>
      <c r="G422" s="2" t="s">
        <v>174</v>
      </c>
      <c r="H422" s="2" t="s">
        <v>23</v>
      </c>
      <c r="I422" s="24" t="s">
        <v>908</v>
      </c>
      <c r="J422" s="24" t="s">
        <v>908</v>
      </c>
      <c r="K422" s="24" t="s">
        <v>908</v>
      </c>
      <c r="M422" s="24" t="s">
        <v>908</v>
      </c>
      <c r="N422" s="24"/>
      <c r="P422" s="1" t="str">
        <f t="shared" si="12"/>
        <v>71101014</v>
      </c>
      <c r="Q422" s="263" t="str">
        <f t="shared" si="13"/>
        <v>RM - Reservation Expenses</v>
      </c>
    </row>
    <row r="423" spans="1:17" x14ac:dyDescent="0.25">
      <c r="A423" s="24" t="s">
        <v>317</v>
      </c>
      <c r="B423" s="24" t="s">
        <v>20</v>
      </c>
      <c r="C423" s="24" t="s">
        <v>20</v>
      </c>
      <c r="D423" s="24" t="s">
        <v>0</v>
      </c>
      <c r="E423" s="24" t="s">
        <v>337</v>
      </c>
      <c r="F423" s="5" t="s">
        <v>338</v>
      </c>
      <c r="G423" s="2" t="s">
        <v>174</v>
      </c>
      <c r="H423" s="2" t="s">
        <v>23</v>
      </c>
      <c r="I423" s="24" t="s">
        <v>908</v>
      </c>
      <c r="J423" s="24" t="s">
        <v>908</v>
      </c>
      <c r="K423" s="24" t="s">
        <v>908</v>
      </c>
      <c r="M423" s="24" t="s">
        <v>908</v>
      </c>
      <c r="N423" s="24"/>
      <c r="P423" s="1" t="str">
        <f t="shared" si="12"/>
        <v>71101015</v>
      </c>
      <c r="Q423" s="263" t="str">
        <f t="shared" si="13"/>
        <v>RM - Room Commission</v>
      </c>
    </row>
    <row r="424" spans="1:17" x14ac:dyDescent="0.25">
      <c r="A424" s="24" t="s">
        <v>317</v>
      </c>
      <c r="B424" s="24" t="s">
        <v>20</v>
      </c>
      <c r="C424" s="24" t="s">
        <v>20</v>
      </c>
      <c r="D424" s="24" t="s">
        <v>0</v>
      </c>
      <c r="E424" s="24" t="s">
        <v>339</v>
      </c>
      <c r="F424" s="5" t="s">
        <v>340</v>
      </c>
      <c r="G424" s="2" t="s">
        <v>174</v>
      </c>
      <c r="H424" s="2" t="s">
        <v>23</v>
      </c>
      <c r="I424" s="24" t="s">
        <v>908</v>
      </c>
      <c r="J424" s="24" t="s">
        <v>908</v>
      </c>
      <c r="K424" s="24" t="s">
        <v>908</v>
      </c>
      <c r="M424" s="24" t="s">
        <v>908</v>
      </c>
      <c r="N424" s="24"/>
      <c r="P424" s="1" t="str">
        <f t="shared" si="12"/>
        <v>71101016</v>
      </c>
      <c r="Q424" s="263" t="str">
        <f t="shared" si="13"/>
        <v>RM - Telephone &amp; Fax</v>
      </c>
    </row>
    <row r="425" spans="1:17" x14ac:dyDescent="0.25">
      <c r="A425" s="24" t="s">
        <v>317</v>
      </c>
      <c r="B425" s="24" t="s">
        <v>20</v>
      </c>
      <c r="C425" s="24" t="s">
        <v>20</v>
      </c>
      <c r="D425" s="24" t="s">
        <v>0</v>
      </c>
      <c r="E425" s="24" t="s">
        <v>341</v>
      </c>
      <c r="F425" s="5" t="s">
        <v>342</v>
      </c>
      <c r="G425" s="2" t="s">
        <v>174</v>
      </c>
      <c r="H425" s="2" t="s">
        <v>23</v>
      </c>
      <c r="I425" s="24" t="s">
        <v>908</v>
      </c>
      <c r="J425" s="24" t="s">
        <v>908</v>
      </c>
      <c r="K425" s="24" t="s">
        <v>908</v>
      </c>
      <c r="M425" s="24" t="s">
        <v>908</v>
      </c>
      <c r="N425" s="24"/>
      <c r="P425" s="1" t="str">
        <f t="shared" si="12"/>
        <v>71101017</v>
      </c>
      <c r="Q425" s="263" t="str">
        <f t="shared" si="13"/>
        <v>RM - Training</v>
      </c>
    </row>
    <row r="426" spans="1:17" x14ac:dyDescent="0.25">
      <c r="A426" s="24" t="s">
        <v>317</v>
      </c>
      <c r="B426" s="24" t="s">
        <v>20</v>
      </c>
      <c r="C426" s="24" t="s">
        <v>20</v>
      </c>
      <c r="D426" s="24" t="s">
        <v>0</v>
      </c>
      <c r="E426" s="24" t="s">
        <v>343</v>
      </c>
      <c r="F426" s="5" t="s">
        <v>345</v>
      </c>
      <c r="G426" s="2" t="s">
        <v>174</v>
      </c>
      <c r="H426" s="2" t="s">
        <v>23</v>
      </c>
      <c r="I426" s="24" t="s">
        <v>908</v>
      </c>
      <c r="J426" s="24" t="s">
        <v>908</v>
      </c>
      <c r="K426" s="24" t="s">
        <v>908</v>
      </c>
      <c r="M426" s="24" t="s">
        <v>908</v>
      </c>
      <c r="N426" s="24"/>
      <c r="P426" s="1" t="str">
        <f t="shared" si="12"/>
        <v>71101018</v>
      </c>
      <c r="Q426" s="263" t="str">
        <f t="shared" si="13"/>
        <v>RM - Uniform Laundry</v>
      </c>
    </row>
    <row r="427" spans="1:17" x14ac:dyDescent="0.25">
      <c r="A427" s="24" t="s">
        <v>317</v>
      </c>
      <c r="B427" s="24" t="s">
        <v>20</v>
      </c>
      <c r="C427" s="24" t="s">
        <v>20</v>
      </c>
      <c r="D427" s="24" t="s">
        <v>0</v>
      </c>
      <c r="E427" s="24" t="s">
        <v>344</v>
      </c>
      <c r="F427" s="5" t="s">
        <v>347</v>
      </c>
      <c r="G427" s="2" t="s">
        <v>174</v>
      </c>
      <c r="H427" s="2" t="s">
        <v>23</v>
      </c>
      <c r="I427" s="24" t="s">
        <v>908</v>
      </c>
      <c r="J427" s="24" t="s">
        <v>908</v>
      </c>
      <c r="K427" s="24" t="s">
        <v>908</v>
      </c>
      <c r="M427" s="24" t="s">
        <v>908</v>
      </c>
      <c r="N427" s="24"/>
      <c r="P427" s="1" t="str">
        <f t="shared" si="12"/>
        <v>71101019</v>
      </c>
      <c r="Q427" s="263" t="str">
        <f t="shared" si="13"/>
        <v xml:space="preserve">RM - Housekeeping Supplies </v>
      </c>
    </row>
    <row r="428" spans="1:17" x14ac:dyDescent="0.25">
      <c r="A428" s="24" t="s">
        <v>317</v>
      </c>
      <c r="B428" s="24" t="s">
        <v>20</v>
      </c>
      <c r="C428" s="24" t="s">
        <v>20</v>
      </c>
      <c r="D428" s="24" t="s">
        <v>0</v>
      </c>
      <c r="E428" s="24" t="s">
        <v>346</v>
      </c>
      <c r="F428" s="5" t="s">
        <v>349</v>
      </c>
      <c r="G428" s="2" t="s">
        <v>174</v>
      </c>
      <c r="H428" s="2" t="s">
        <v>23</v>
      </c>
      <c r="I428" s="24" t="s">
        <v>908</v>
      </c>
      <c r="J428" s="24" t="s">
        <v>908</v>
      </c>
      <c r="K428" s="24" t="s">
        <v>908</v>
      </c>
      <c r="M428" s="24" t="s">
        <v>908</v>
      </c>
      <c r="N428" s="24"/>
      <c r="P428" s="1" t="str">
        <f t="shared" si="12"/>
        <v>71101020</v>
      </c>
      <c r="Q428" s="263" t="str">
        <f t="shared" si="13"/>
        <v>RM - Licenses</v>
      </c>
    </row>
    <row r="429" spans="1:17" x14ac:dyDescent="0.25">
      <c r="A429" s="24" t="s">
        <v>317</v>
      </c>
      <c r="B429" s="24" t="s">
        <v>20</v>
      </c>
      <c r="C429" s="24" t="s">
        <v>20</v>
      </c>
      <c r="D429" s="24" t="s">
        <v>0</v>
      </c>
      <c r="E429" s="24" t="s">
        <v>348</v>
      </c>
      <c r="F429" s="5" t="s">
        <v>351</v>
      </c>
      <c r="G429" s="2" t="s">
        <v>174</v>
      </c>
      <c r="H429" s="2" t="s">
        <v>23</v>
      </c>
      <c r="I429" s="24" t="s">
        <v>908</v>
      </c>
      <c r="J429" s="24" t="s">
        <v>908</v>
      </c>
      <c r="K429" s="24" t="s">
        <v>908</v>
      </c>
      <c r="M429" s="24" t="s">
        <v>908</v>
      </c>
      <c r="N429" s="24"/>
      <c r="P429" s="1" t="str">
        <f t="shared" si="12"/>
        <v>71101021</v>
      </c>
      <c r="Q429" s="263" t="str">
        <f t="shared" si="13"/>
        <v>RM - Non Capitalized Asset</v>
      </c>
    </row>
    <row r="430" spans="1:17" x14ac:dyDescent="0.25">
      <c r="A430" s="24" t="s">
        <v>317</v>
      </c>
      <c r="B430" s="24" t="s">
        <v>20</v>
      </c>
      <c r="C430" s="24" t="s">
        <v>20</v>
      </c>
      <c r="D430" s="24" t="s">
        <v>0</v>
      </c>
      <c r="E430" s="24" t="s">
        <v>350</v>
      </c>
      <c r="F430" s="5" t="s">
        <v>857</v>
      </c>
      <c r="G430" s="2" t="s">
        <v>174</v>
      </c>
      <c r="H430" s="2" t="s">
        <v>23</v>
      </c>
      <c r="I430" s="24" t="s">
        <v>908</v>
      </c>
      <c r="J430" s="24" t="s">
        <v>908</v>
      </c>
      <c r="K430" s="24" t="s">
        <v>908</v>
      </c>
      <c r="M430" s="24" t="s">
        <v>908</v>
      </c>
      <c r="N430" s="24"/>
      <c r="P430" s="1" t="str">
        <f t="shared" si="12"/>
        <v>71101022</v>
      </c>
      <c r="Q430" s="263" t="str">
        <f t="shared" si="13"/>
        <v>RM - Traveling</v>
      </c>
    </row>
    <row r="431" spans="1:17" x14ac:dyDescent="0.25">
      <c r="A431" s="24" t="s">
        <v>317</v>
      </c>
      <c r="B431" s="24" t="s">
        <v>20</v>
      </c>
      <c r="C431" s="24" t="s">
        <v>20</v>
      </c>
      <c r="D431" s="24" t="s">
        <v>0</v>
      </c>
      <c r="E431" s="24" t="s">
        <v>414</v>
      </c>
      <c r="F431" s="5" t="s">
        <v>858</v>
      </c>
      <c r="G431" s="2" t="s">
        <v>174</v>
      </c>
      <c r="H431" s="2" t="s">
        <v>23</v>
      </c>
      <c r="I431" s="24" t="s">
        <v>908</v>
      </c>
      <c r="J431" s="24" t="s">
        <v>908</v>
      </c>
      <c r="K431" s="24" t="s">
        <v>908</v>
      </c>
      <c r="M431" s="24" t="s">
        <v>908</v>
      </c>
      <c r="N431" s="24"/>
      <c r="P431" s="1" t="str">
        <f t="shared" si="12"/>
        <v>71101023</v>
      </c>
      <c r="Q431" s="263" t="str">
        <f t="shared" si="13"/>
        <v>RM - Entertainment</v>
      </c>
    </row>
    <row r="432" spans="1:17" x14ac:dyDescent="0.25">
      <c r="A432" s="24" t="s">
        <v>317</v>
      </c>
      <c r="B432" s="24" t="s">
        <v>20</v>
      </c>
      <c r="C432" s="24" t="s">
        <v>20</v>
      </c>
      <c r="D432" s="24" t="s">
        <v>0</v>
      </c>
      <c r="E432" s="24" t="s">
        <v>43</v>
      </c>
      <c r="F432" s="5" t="s">
        <v>352</v>
      </c>
      <c r="G432" s="2" t="s">
        <v>174</v>
      </c>
      <c r="H432" s="2" t="s">
        <v>23</v>
      </c>
      <c r="I432" s="24" t="s">
        <v>908</v>
      </c>
      <c r="J432" s="24" t="s">
        <v>908</v>
      </c>
      <c r="K432" s="24" t="s">
        <v>908</v>
      </c>
      <c r="M432" s="24" t="s">
        <v>908</v>
      </c>
      <c r="N432" s="24"/>
      <c r="P432" s="1" t="str">
        <f t="shared" si="12"/>
        <v>71101999</v>
      </c>
      <c r="Q432" s="263" t="str">
        <f t="shared" si="13"/>
        <v>RM - Other Operating Expenses</v>
      </c>
    </row>
    <row r="433" spans="1:17" x14ac:dyDescent="0.25">
      <c r="A433" s="20" t="s">
        <v>317</v>
      </c>
      <c r="B433" s="20" t="s">
        <v>20</v>
      </c>
      <c r="C433" s="20" t="s">
        <v>20</v>
      </c>
      <c r="D433" s="21" t="s">
        <v>2</v>
      </c>
      <c r="E433" s="20"/>
      <c r="F433" s="22" t="s">
        <v>566</v>
      </c>
      <c r="G433" s="23" t="s">
        <v>174</v>
      </c>
      <c r="H433" s="23" t="s">
        <v>23</v>
      </c>
      <c r="I433" s="23" t="s">
        <v>907</v>
      </c>
      <c r="J433" s="23" t="s">
        <v>907</v>
      </c>
      <c r="K433" s="23" t="s">
        <v>907</v>
      </c>
      <c r="M433" s="23" t="s">
        <v>907</v>
      </c>
      <c r="N433" s="23"/>
      <c r="P433" s="1" t="str">
        <f t="shared" si="12"/>
        <v>71102</v>
      </c>
      <c r="Q433" s="263" t="str">
        <f t="shared" si="13"/>
        <v>Room - Provision for Replacement</v>
      </c>
    </row>
    <row r="434" spans="1:17" x14ac:dyDescent="0.25">
      <c r="A434" s="24" t="s">
        <v>317</v>
      </c>
      <c r="B434" s="24" t="s">
        <v>20</v>
      </c>
      <c r="C434" s="24" t="s">
        <v>20</v>
      </c>
      <c r="D434" s="24" t="s">
        <v>2</v>
      </c>
      <c r="E434" s="24" t="s">
        <v>1</v>
      </c>
      <c r="F434" s="5" t="s">
        <v>890</v>
      </c>
      <c r="G434" s="2" t="s">
        <v>174</v>
      </c>
      <c r="H434" s="2" t="s">
        <v>23</v>
      </c>
      <c r="I434" s="24" t="s">
        <v>908</v>
      </c>
      <c r="J434" s="24" t="s">
        <v>908</v>
      </c>
      <c r="K434" s="24" t="s">
        <v>908</v>
      </c>
      <c r="M434" s="24" t="s">
        <v>908</v>
      </c>
      <c r="N434" s="24"/>
      <c r="P434" s="1" t="str">
        <f t="shared" si="12"/>
        <v>71102001</v>
      </c>
      <c r="Q434" s="263" t="str">
        <f t="shared" si="13"/>
        <v>RM - Provision for Replacement China/Glass/Silverware</v>
      </c>
    </row>
    <row r="435" spans="1:17" x14ac:dyDescent="0.25">
      <c r="A435" s="24" t="s">
        <v>317</v>
      </c>
      <c r="B435" s="24" t="s">
        <v>20</v>
      </c>
      <c r="C435" s="24" t="s">
        <v>20</v>
      </c>
      <c r="D435" s="24" t="s">
        <v>2</v>
      </c>
      <c r="E435" s="24" t="s">
        <v>3</v>
      </c>
      <c r="F435" s="5" t="s">
        <v>891</v>
      </c>
      <c r="G435" s="2" t="s">
        <v>174</v>
      </c>
      <c r="H435" s="2" t="s">
        <v>23</v>
      </c>
      <c r="I435" s="24" t="s">
        <v>908</v>
      </c>
      <c r="J435" s="24" t="s">
        <v>908</v>
      </c>
      <c r="K435" s="24" t="s">
        <v>908</v>
      </c>
      <c r="M435" s="24" t="s">
        <v>908</v>
      </c>
      <c r="N435" s="24"/>
      <c r="P435" s="1" t="str">
        <f t="shared" si="12"/>
        <v>71102002</v>
      </c>
      <c r="Q435" s="263" t="str">
        <f t="shared" si="13"/>
        <v>RM - Provision for Replacement Linen and Towel</v>
      </c>
    </row>
    <row r="436" spans="1:17" x14ac:dyDescent="0.25">
      <c r="A436" s="24" t="s">
        <v>317</v>
      </c>
      <c r="B436" s="24" t="s">
        <v>20</v>
      </c>
      <c r="C436" s="24" t="s">
        <v>20</v>
      </c>
      <c r="D436" s="24" t="s">
        <v>2</v>
      </c>
      <c r="E436" s="24" t="s">
        <v>5</v>
      </c>
      <c r="F436" s="5" t="s">
        <v>593</v>
      </c>
      <c r="G436" s="2" t="s">
        <v>174</v>
      </c>
      <c r="H436" s="2" t="s">
        <v>23</v>
      </c>
      <c r="I436" s="24" t="s">
        <v>908</v>
      </c>
      <c r="J436" s="24" t="s">
        <v>908</v>
      </c>
      <c r="K436" s="24" t="s">
        <v>908</v>
      </c>
      <c r="M436" s="24" t="s">
        <v>908</v>
      </c>
      <c r="N436" s="24"/>
      <c r="P436" s="1" t="str">
        <f t="shared" si="12"/>
        <v>71102003</v>
      </c>
      <c r="Q436" s="263" t="str">
        <f t="shared" si="13"/>
        <v>RM - Provision for Replacement Uniform</v>
      </c>
    </row>
    <row r="437" spans="1:17" x14ac:dyDescent="0.25">
      <c r="A437" s="16" t="s">
        <v>317</v>
      </c>
      <c r="B437" s="16" t="s">
        <v>20</v>
      </c>
      <c r="C437" s="16" t="s">
        <v>33</v>
      </c>
      <c r="D437" s="16"/>
      <c r="E437" s="16"/>
      <c r="F437" s="18" t="s">
        <v>353</v>
      </c>
      <c r="G437" s="19" t="s">
        <v>174</v>
      </c>
      <c r="H437" s="19" t="s">
        <v>23</v>
      </c>
      <c r="I437" s="19" t="s">
        <v>907</v>
      </c>
      <c r="J437" s="19" t="s">
        <v>907</v>
      </c>
      <c r="K437" s="19" t="s">
        <v>907</v>
      </c>
      <c r="M437" s="19" t="s">
        <v>907</v>
      </c>
      <c r="N437" s="19"/>
      <c r="P437" s="1" t="str">
        <f t="shared" si="12"/>
        <v>712</v>
      </c>
      <c r="Q437" s="263" t="str">
        <f t="shared" si="13"/>
        <v>Food &amp; Beverage - Operating Expenses</v>
      </c>
    </row>
    <row r="438" spans="1:17" x14ac:dyDescent="0.25">
      <c r="A438" s="20" t="s">
        <v>317</v>
      </c>
      <c r="B438" s="20" t="s">
        <v>20</v>
      </c>
      <c r="C438" s="20" t="s">
        <v>33</v>
      </c>
      <c r="D438" s="20" t="s">
        <v>0</v>
      </c>
      <c r="E438" s="20"/>
      <c r="F438" s="22" t="s">
        <v>567</v>
      </c>
      <c r="G438" s="23" t="s">
        <v>174</v>
      </c>
      <c r="H438" s="23" t="s">
        <v>23</v>
      </c>
      <c r="I438" s="23" t="s">
        <v>907</v>
      </c>
      <c r="J438" s="23" t="s">
        <v>907</v>
      </c>
      <c r="K438" s="23" t="s">
        <v>907</v>
      </c>
      <c r="M438" s="23" t="s">
        <v>907</v>
      </c>
      <c r="N438" s="23"/>
      <c r="P438" s="1" t="str">
        <f t="shared" si="12"/>
        <v>71201</v>
      </c>
      <c r="Q438" s="263" t="str">
        <f t="shared" si="13"/>
        <v>Food &amp; Beverage - General Operating Expenses</v>
      </c>
    </row>
    <row r="439" spans="1:17" x14ac:dyDescent="0.25">
      <c r="A439" s="24" t="s">
        <v>317</v>
      </c>
      <c r="B439" s="24" t="s">
        <v>20</v>
      </c>
      <c r="C439" s="24" t="s">
        <v>33</v>
      </c>
      <c r="D439" s="24" t="s">
        <v>0</v>
      </c>
      <c r="E439" s="24" t="s">
        <v>1</v>
      </c>
      <c r="F439" s="5" t="s">
        <v>354</v>
      </c>
      <c r="G439" s="2" t="s">
        <v>174</v>
      </c>
      <c r="H439" s="2" t="s">
        <v>23</v>
      </c>
      <c r="I439" s="24" t="s">
        <v>908</v>
      </c>
      <c r="J439" s="24" t="s">
        <v>908</v>
      </c>
      <c r="K439" s="24" t="s">
        <v>908</v>
      </c>
      <c r="M439" s="24" t="s">
        <v>908</v>
      </c>
      <c r="N439" s="24"/>
      <c r="P439" s="1" t="str">
        <f t="shared" si="12"/>
        <v>71201001</v>
      </c>
      <c r="Q439" s="263" t="str">
        <f t="shared" si="13"/>
        <v>FB - Cleaning Supplies</v>
      </c>
    </row>
    <row r="440" spans="1:17" x14ac:dyDescent="0.25">
      <c r="A440" s="24" t="s">
        <v>317</v>
      </c>
      <c r="B440" s="24" t="s">
        <v>20</v>
      </c>
      <c r="C440" s="24" t="s">
        <v>33</v>
      </c>
      <c r="D440" s="24" t="s">
        <v>0</v>
      </c>
      <c r="E440" s="24" t="s">
        <v>3</v>
      </c>
      <c r="F440" s="5" t="s">
        <v>355</v>
      </c>
      <c r="G440" s="2" t="s">
        <v>174</v>
      </c>
      <c r="H440" s="2" t="s">
        <v>23</v>
      </c>
      <c r="I440" s="24" t="s">
        <v>908</v>
      </c>
      <c r="J440" s="24" t="s">
        <v>908</v>
      </c>
      <c r="K440" s="24" t="s">
        <v>908</v>
      </c>
      <c r="M440" s="24" t="s">
        <v>908</v>
      </c>
      <c r="N440" s="24"/>
      <c r="P440" s="1" t="str">
        <f t="shared" si="12"/>
        <v>71201002</v>
      </c>
      <c r="Q440" s="263" t="str">
        <f t="shared" si="13"/>
        <v>FB - Contract Services</v>
      </c>
    </row>
    <row r="441" spans="1:17" x14ac:dyDescent="0.25">
      <c r="A441" s="24" t="s">
        <v>317</v>
      </c>
      <c r="B441" s="24" t="s">
        <v>20</v>
      </c>
      <c r="C441" s="24" t="s">
        <v>33</v>
      </c>
      <c r="D441" s="24" t="s">
        <v>0</v>
      </c>
      <c r="E441" s="24" t="s">
        <v>5</v>
      </c>
      <c r="F441" s="5" t="s">
        <v>356</v>
      </c>
      <c r="G441" s="2" t="s">
        <v>174</v>
      </c>
      <c r="H441" s="2" t="s">
        <v>23</v>
      </c>
      <c r="I441" s="24" t="s">
        <v>908</v>
      </c>
      <c r="J441" s="24" t="s">
        <v>908</v>
      </c>
      <c r="K441" s="24" t="s">
        <v>908</v>
      </c>
      <c r="M441" s="24" t="s">
        <v>908</v>
      </c>
      <c r="N441" s="24"/>
      <c r="P441" s="1" t="str">
        <f t="shared" si="12"/>
        <v>71201003</v>
      </c>
      <c r="Q441" s="263" t="str">
        <f t="shared" si="13"/>
        <v>FB - Decoration &amp; Flowers</v>
      </c>
    </row>
    <row r="442" spans="1:17" x14ac:dyDescent="0.25">
      <c r="A442" s="24" t="s">
        <v>317</v>
      </c>
      <c r="B442" s="24" t="s">
        <v>20</v>
      </c>
      <c r="C442" s="24" t="s">
        <v>33</v>
      </c>
      <c r="D442" s="24" t="s">
        <v>0</v>
      </c>
      <c r="E442" s="24" t="s">
        <v>7</v>
      </c>
      <c r="F442" s="5" t="s">
        <v>357</v>
      </c>
      <c r="G442" s="2" t="s">
        <v>174</v>
      </c>
      <c r="H442" s="2" t="s">
        <v>23</v>
      </c>
      <c r="I442" s="24" t="s">
        <v>908</v>
      </c>
      <c r="J442" s="24" t="s">
        <v>908</v>
      </c>
      <c r="K442" s="24" t="s">
        <v>908</v>
      </c>
      <c r="M442" s="24" t="s">
        <v>908</v>
      </c>
      <c r="N442" s="24"/>
      <c r="P442" s="1" t="str">
        <f t="shared" si="12"/>
        <v>71201004</v>
      </c>
      <c r="Q442" s="263" t="str">
        <f t="shared" si="13"/>
        <v>FB - Guest Complimentary</v>
      </c>
    </row>
    <row r="443" spans="1:17" x14ac:dyDescent="0.25">
      <c r="A443" s="24" t="s">
        <v>317</v>
      </c>
      <c r="B443" s="24" t="s">
        <v>20</v>
      </c>
      <c r="C443" s="24" t="s">
        <v>33</v>
      </c>
      <c r="D443" s="24" t="s">
        <v>0</v>
      </c>
      <c r="E443" s="24" t="s">
        <v>9</v>
      </c>
      <c r="F443" s="5" t="s">
        <v>358</v>
      </c>
      <c r="G443" s="2" t="s">
        <v>174</v>
      </c>
      <c r="H443" s="2" t="s">
        <v>23</v>
      </c>
      <c r="I443" s="24" t="s">
        <v>908</v>
      </c>
      <c r="J443" s="24" t="s">
        <v>908</v>
      </c>
      <c r="K443" s="24" t="s">
        <v>908</v>
      </c>
      <c r="M443" s="24" t="s">
        <v>908</v>
      </c>
      <c r="N443" s="24"/>
      <c r="P443" s="1" t="str">
        <f t="shared" si="12"/>
        <v>71201005</v>
      </c>
      <c r="Q443" s="263" t="str">
        <f t="shared" si="13"/>
        <v>FB - Guest Supplies</v>
      </c>
    </row>
    <row r="444" spans="1:17" x14ac:dyDescent="0.25">
      <c r="A444" s="24" t="s">
        <v>317</v>
      </c>
      <c r="B444" s="24" t="s">
        <v>20</v>
      </c>
      <c r="C444" s="24" t="s">
        <v>33</v>
      </c>
      <c r="D444" s="24" t="s">
        <v>0</v>
      </c>
      <c r="E444" s="24" t="s">
        <v>10</v>
      </c>
      <c r="F444" s="5" t="s">
        <v>359</v>
      </c>
      <c r="G444" s="2" t="s">
        <v>174</v>
      </c>
      <c r="H444" s="2" t="s">
        <v>23</v>
      </c>
      <c r="I444" s="24" t="s">
        <v>908</v>
      </c>
      <c r="J444" s="24" t="s">
        <v>908</v>
      </c>
      <c r="K444" s="24" t="s">
        <v>908</v>
      </c>
      <c r="M444" s="24" t="s">
        <v>908</v>
      </c>
      <c r="N444" s="24"/>
      <c r="P444" s="1" t="str">
        <f t="shared" si="12"/>
        <v>71201006</v>
      </c>
      <c r="Q444" s="263" t="str">
        <f t="shared" si="13"/>
        <v>FB - IT Maintenance</v>
      </c>
    </row>
    <row r="445" spans="1:17" x14ac:dyDescent="0.25">
      <c r="A445" s="24" t="s">
        <v>317</v>
      </c>
      <c r="B445" s="24" t="s">
        <v>20</v>
      </c>
      <c r="C445" s="24" t="s">
        <v>33</v>
      </c>
      <c r="D445" s="24" t="s">
        <v>0</v>
      </c>
      <c r="E445" s="24" t="s">
        <v>11</v>
      </c>
      <c r="F445" s="5" t="s">
        <v>360</v>
      </c>
      <c r="G445" s="2" t="s">
        <v>174</v>
      </c>
      <c r="H445" s="2" t="s">
        <v>23</v>
      </c>
      <c r="I445" s="24" t="s">
        <v>908</v>
      </c>
      <c r="J445" s="24" t="s">
        <v>908</v>
      </c>
      <c r="K445" s="24" t="s">
        <v>908</v>
      </c>
      <c r="M445" s="24" t="s">
        <v>908</v>
      </c>
      <c r="N445" s="24"/>
      <c r="P445" s="1" t="str">
        <f t="shared" si="12"/>
        <v>71201007</v>
      </c>
      <c r="Q445" s="263" t="str">
        <f t="shared" si="13"/>
        <v>FB - Laundry &amp; Dry Cleaning</v>
      </c>
    </row>
    <row r="446" spans="1:17" x14ac:dyDescent="0.25">
      <c r="A446" s="24" t="s">
        <v>317</v>
      </c>
      <c r="B446" s="24" t="s">
        <v>20</v>
      </c>
      <c r="C446" s="24" t="s">
        <v>33</v>
      </c>
      <c r="D446" s="24" t="s">
        <v>0</v>
      </c>
      <c r="E446" s="24" t="s">
        <v>13</v>
      </c>
      <c r="F446" s="5" t="s">
        <v>361</v>
      </c>
      <c r="G446" s="2" t="s">
        <v>174</v>
      </c>
      <c r="H446" s="2" t="s">
        <v>23</v>
      </c>
      <c r="I446" s="24" t="s">
        <v>908</v>
      </c>
      <c r="J446" s="24" t="s">
        <v>908</v>
      </c>
      <c r="K446" s="24" t="s">
        <v>908</v>
      </c>
      <c r="M446" s="24" t="s">
        <v>908</v>
      </c>
      <c r="N446" s="24"/>
      <c r="P446" s="1" t="str">
        <f t="shared" si="12"/>
        <v>71201008</v>
      </c>
      <c r="Q446" s="263" t="str">
        <f t="shared" si="13"/>
        <v>FB - Music, TV Cable &amp; Entertainment</v>
      </c>
    </row>
    <row r="447" spans="1:17" x14ac:dyDescent="0.25">
      <c r="A447" s="24" t="s">
        <v>317</v>
      </c>
      <c r="B447" s="24" t="s">
        <v>20</v>
      </c>
      <c r="C447" s="24" t="s">
        <v>33</v>
      </c>
      <c r="D447" s="24" t="s">
        <v>0</v>
      </c>
      <c r="E447" s="24" t="s">
        <v>15</v>
      </c>
      <c r="F447" s="5" t="s">
        <v>362</v>
      </c>
      <c r="G447" s="2" t="s">
        <v>174</v>
      </c>
      <c r="H447" s="2" t="s">
        <v>23</v>
      </c>
      <c r="I447" s="24" t="s">
        <v>908</v>
      </c>
      <c r="J447" s="24" t="s">
        <v>908</v>
      </c>
      <c r="K447" s="24" t="s">
        <v>908</v>
      </c>
      <c r="M447" s="24" t="s">
        <v>908</v>
      </c>
      <c r="N447" s="24"/>
      <c r="P447" s="1" t="str">
        <f t="shared" si="12"/>
        <v>71201009</v>
      </c>
      <c r="Q447" s="263" t="str">
        <f t="shared" si="13"/>
        <v>FB - Newspaper &amp; Magazine</v>
      </c>
    </row>
    <row r="448" spans="1:17" x14ac:dyDescent="0.25">
      <c r="A448" s="24" t="s">
        <v>317</v>
      </c>
      <c r="B448" s="24" t="s">
        <v>20</v>
      </c>
      <c r="C448" s="24" t="s">
        <v>33</v>
      </c>
      <c r="D448" s="24" t="s">
        <v>0</v>
      </c>
      <c r="E448" s="24" t="s">
        <v>238</v>
      </c>
      <c r="F448" s="5" t="s">
        <v>363</v>
      </c>
      <c r="G448" s="2" t="s">
        <v>174</v>
      </c>
      <c r="H448" s="2" t="s">
        <v>23</v>
      </c>
      <c r="I448" s="24" t="s">
        <v>908</v>
      </c>
      <c r="J448" s="24" t="s">
        <v>908</v>
      </c>
      <c r="K448" s="24" t="s">
        <v>908</v>
      </c>
      <c r="M448" s="24" t="s">
        <v>908</v>
      </c>
      <c r="N448" s="24"/>
      <c r="P448" s="1" t="str">
        <f t="shared" si="12"/>
        <v>71201010</v>
      </c>
      <c r="Q448" s="263" t="str">
        <f t="shared" si="13"/>
        <v>FB - Printing &amp; Stationary</v>
      </c>
    </row>
    <row r="449" spans="1:17" x14ac:dyDescent="0.25">
      <c r="A449" s="24" t="s">
        <v>317</v>
      </c>
      <c r="B449" s="24" t="s">
        <v>20</v>
      </c>
      <c r="C449" s="24" t="s">
        <v>33</v>
      </c>
      <c r="D449" s="24" t="s">
        <v>0</v>
      </c>
      <c r="E449" s="24" t="s">
        <v>240</v>
      </c>
      <c r="F449" s="5" t="s">
        <v>364</v>
      </c>
      <c r="G449" s="2" t="s">
        <v>174</v>
      </c>
      <c r="H449" s="2" t="s">
        <v>23</v>
      </c>
      <c r="I449" s="24" t="s">
        <v>908</v>
      </c>
      <c r="J449" s="24" t="s">
        <v>908</v>
      </c>
      <c r="K449" s="24" t="s">
        <v>908</v>
      </c>
      <c r="M449" s="24" t="s">
        <v>908</v>
      </c>
      <c r="N449" s="24"/>
      <c r="P449" s="1" t="str">
        <f t="shared" si="12"/>
        <v>71201011</v>
      </c>
      <c r="Q449" s="263" t="str">
        <f t="shared" si="13"/>
        <v>FB - Telephone &amp; Fax</v>
      </c>
    </row>
    <row r="450" spans="1:17" x14ac:dyDescent="0.25">
      <c r="A450" s="24" t="s">
        <v>317</v>
      </c>
      <c r="B450" s="24" t="s">
        <v>20</v>
      </c>
      <c r="C450" s="24" t="s">
        <v>33</v>
      </c>
      <c r="D450" s="24" t="s">
        <v>0</v>
      </c>
      <c r="E450" s="24" t="s">
        <v>331</v>
      </c>
      <c r="F450" s="5" t="s">
        <v>365</v>
      </c>
      <c r="G450" s="2" t="s">
        <v>174</v>
      </c>
      <c r="H450" s="2" t="s">
        <v>23</v>
      </c>
      <c r="I450" s="24" t="s">
        <v>908</v>
      </c>
      <c r="J450" s="24" t="s">
        <v>908</v>
      </c>
      <c r="K450" s="24" t="s">
        <v>908</v>
      </c>
      <c r="M450" s="24" t="s">
        <v>908</v>
      </c>
      <c r="N450" s="24"/>
      <c r="P450" s="1" t="str">
        <f t="shared" si="12"/>
        <v>71201012</v>
      </c>
      <c r="Q450" s="263" t="str">
        <f t="shared" si="13"/>
        <v>FB - Training</v>
      </c>
    </row>
    <row r="451" spans="1:17" x14ac:dyDescent="0.25">
      <c r="A451" s="24" t="s">
        <v>317</v>
      </c>
      <c r="B451" s="24" t="s">
        <v>20</v>
      </c>
      <c r="C451" s="24" t="s">
        <v>33</v>
      </c>
      <c r="D451" s="24" t="s">
        <v>0</v>
      </c>
      <c r="E451" s="24" t="s">
        <v>333</v>
      </c>
      <c r="F451" s="5" t="s">
        <v>366</v>
      </c>
      <c r="G451" s="2" t="s">
        <v>174</v>
      </c>
      <c r="H451" s="2" t="s">
        <v>23</v>
      </c>
      <c r="I451" s="24" t="s">
        <v>908</v>
      </c>
      <c r="J451" s="24" t="s">
        <v>908</v>
      </c>
      <c r="K451" s="24" t="s">
        <v>908</v>
      </c>
      <c r="M451" s="24" t="s">
        <v>908</v>
      </c>
      <c r="N451" s="24"/>
      <c r="P451" s="1" t="str">
        <f t="shared" si="12"/>
        <v>71201013</v>
      </c>
      <c r="Q451" s="263" t="str">
        <f t="shared" si="13"/>
        <v xml:space="preserve">FB - Uniform Laundry </v>
      </c>
    </row>
    <row r="452" spans="1:17" x14ac:dyDescent="0.25">
      <c r="A452" s="24" t="s">
        <v>317</v>
      </c>
      <c r="B452" s="24" t="s">
        <v>20</v>
      </c>
      <c r="C452" s="24" t="s">
        <v>33</v>
      </c>
      <c r="D452" s="24" t="s">
        <v>0</v>
      </c>
      <c r="E452" s="24" t="s">
        <v>335</v>
      </c>
      <c r="F452" s="5" t="s">
        <v>367</v>
      </c>
      <c r="G452" s="2" t="s">
        <v>174</v>
      </c>
      <c r="H452" s="2" t="s">
        <v>23</v>
      </c>
      <c r="I452" s="24" t="s">
        <v>907</v>
      </c>
      <c r="J452" s="24" t="s">
        <v>910</v>
      </c>
      <c r="K452" s="24" t="s">
        <v>908</v>
      </c>
      <c r="M452" s="24" t="s">
        <v>907</v>
      </c>
      <c r="N452" s="24"/>
      <c r="P452" s="1" t="str">
        <f t="shared" si="12"/>
        <v>71201014</v>
      </c>
      <c r="Q452" s="263" t="str">
        <f t="shared" si="13"/>
        <v>FB - Menus &amp; Beverage List</v>
      </c>
    </row>
    <row r="453" spans="1:17" x14ac:dyDescent="0.25">
      <c r="A453" s="24" t="s">
        <v>317</v>
      </c>
      <c r="B453" s="24" t="s">
        <v>20</v>
      </c>
      <c r="C453" s="24" t="s">
        <v>33</v>
      </c>
      <c r="D453" s="24" t="s">
        <v>0</v>
      </c>
      <c r="E453" s="24" t="s">
        <v>337</v>
      </c>
      <c r="F453" s="5" t="s">
        <v>368</v>
      </c>
      <c r="G453" s="2" t="s">
        <v>174</v>
      </c>
      <c r="H453" s="2" t="s">
        <v>23</v>
      </c>
      <c r="I453" s="24" t="s">
        <v>908</v>
      </c>
      <c r="J453" s="24" t="s">
        <v>908</v>
      </c>
      <c r="K453" s="24" t="s">
        <v>908</v>
      </c>
      <c r="M453" s="24" t="s">
        <v>908</v>
      </c>
      <c r="N453" s="24"/>
      <c r="P453" s="1" t="str">
        <f t="shared" ref="P453:P516" si="14">CONCATENATE(A453,B453,C453,D453,E453)</f>
        <v>71201015</v>
      </c>
      <c r="Q453" s="263" t="str">
        <f t="shared" si="13"/>
        <v>FB - Kitchen Utensil</v>
      </c>
    </row>
    <row r="454" spans="1:17" x14ac:dyDescent="0.25">
      <c r="A454" s="24" t="s">
        <v>317</v>
      </c>
      <c r="B454" s="24" t="s">
        <v>20</v>
      </c>
      <c r="C454" s="24" t="s">
        <v>33</v>
      </c>
      <c r="D454" s="24" t="s">
        <v>0</v>
      </c>
      <c r="E454" s="24" t="s">
        <v>339</v>
      </c>
      <c r="F454" s="5" t="s">
        <v>369</v>
      </c>
      <c r="G454" s="2" t="s">
        <v>174</v>
      </c>
      <c r="H454" s="2" t="s">
        <v>23</v>
      </c>
      <c r="I454" s="24" t="s">
        <v>908</v>
      </c>
      <c r="J454" s="24" t="s">
        <v>908</v>
      </c>
      <c r="K454" s="24" t="s">
        <v>908</v>
      </c>
      <c r="M454" s="24" t="s">
        <v>908</v>
      </c>
      <c r="N454" s="24"/>
      <c r="P454" s="1" t="str">
        <f t="shared" si="14"/>
        <v>71201016</v>
      </c>
      <c r="Q454" s="263" t="str">
        <f t="shared" si="13"/>
        <v>FB - Kitchen Fuel</v>
      </c>
    </row>
    <row r="455" spans="1:17" x14ac:dyDescent="0.25">
      <c r="A455" s="24" t="s">
        <v>317</v>
      </c>
      <c r="B455" s="24" t="s">
        <v>20</v>
      </c>
      <c r="C455" s="24" t="s">
        <v>33</v>
      </c>
      <c r="D455" s="24" t="s">
        <v>0</v>
      </c>
      <c r="E455" s="24" t="s">
        <v>341</v>
      </c>
      <c r="F455" s="5" t="s">
        <v>370</v>
      </c>
      <c r="G455" s="2" t="s">
        <v>174</v>
      </c>
      <c r="H455" s="2" t="s">
        <v>23</v>
      </c>
      <c r="I455" s="24" t="s">
        <v>908</v>
      </c>
      <c r="J455" s="24" t="s">
        <v>908</v>
      </c>
      <c r="K455" s="24" t="s">
        <v>908</v>
      </c>
      <c r="M455" s="24" t="s">
        <v>908</v>
      </c>
      <c r="N455" s="24"/>
      <c r="P455" s="1" t="str">
        <f t="shared" si="14"/>
        <v>71201017</v>
      </c>
      <c r="Q455" s="263" t="str">
        <f t="shared" si="13"/>
        <v xml:space="preserve">FB - Bottle &amp; Container </v>
      </c>
    </row>
    <row r="456" spans="1:17" x14ac:dyDescent="0.25">
      <c r="A456" s="24" t="s">
        <v>317</v>
      </c>
      <c r="B456" s="24" t="s">
        <v>20</v>
      </c>
      <c r="C456" s="24" t="s">
        <v>33</v>
      </c>
      <c r="D456" s="24" t="s">
        <v>0</v>
      </c>
      <c r="E456" s="24" t="s">
        <v>343</v>
      </c>
      <c r="F456" s="5" t="s">
        <v>371</v>
      </c>
      <c r="G456" s="2" t="s">
        <v>174</v>
      </c>
      <c r="H456" s="2" t="s">
        <v>23</v>
      </c>
      <c r="I456" s="24" t="s">
        <v>908</v>
      </c>
      <c r="J456" s="24" t="s">
        <v>908</v>
      </c>
      <c r="K456" s="24" t="s">
        <v>908</v>
      </c>
      <c r="M456" s="24" t="s">
        <v>908</v>
      </c>
      <c r="N456" s="24"/>
      <c r="P456" s="1" t="str">
        <f t="shared" si="14"/>
        <v>71201018</v>
      </c>
      <c r="Q456" s="263" t="str">
        <f t="shared" si="13"/>
        <v xml:space="preserve">FB - Rental of Equipment </v>
      </c>
    </row>
    <row r="457" spans="1:17" x14ac:dyDescent="0.25">
      <c r="A457" s="24" t="s">
        <v>317</v>
      </c>
      <c r="B457" s="24" t="s">
        <v>20</v>
      </c>
      <c r="C457" s="24" t="s">
        <v>33</v>
      </c>
      <c r="D457" s="24" t="s">
        <v>0</v>
      </c>
      <c r="E457" s="24" t="s">
        <v>344</v>
      </c>
      <c r="F457" s="5" t="s">
        <v>372</v>
      </c>
      <c r="G457" s="2" t="s">
        <v>174</v>
      </c>
      <c r="H457" s="2" t="s">
        <v>23</v>
      </c>
      <c r="I457" s="24" t="s">
        <v>908</v>
      </c>
      <c r="J457" s="24" t="s">
        <v>908</v>
      </c>
      <c r="K457" s="24" t="s">
        <v>908</v>
      </c>
      <c r="M457" s="24" t="s">
        <v>908</v>
      </c>
      <c r="N457" s="24"/>
      <c r="P457" s="1" t="str">
        <f t="shared" si="14"/>
        <v>71201019</v>
      </c>
      <c r="Q457" s="263" t="str">
        <f t="shared" ref="Q457:Q520" si="15">F457</f>
        <v>FB - Licenses</v>
      </c>
    </row>
    <row r="458" spans="1:17" x14ac:dyDescent="0.25">
      <c r="A458" s="24" t="s">
        <v>317</v>
      </c>
      <c r="B458" s="24" t="s">
        <v>20</v>
      </c>
      <c r="C458" s="24" t="s">
        <v>33</v>
      </c>
      <c r="D458" s="24" t="s">
        <v>0</v>
      </c>
      <c r="E458" s="24" t="s">
        <v>346</v>
      </c>
      <c r="F458" s="5" t="s">
        <v>373</v>
      </c>
      <c r="G458" s="2" t="s">
        <v>174</v>
      </c>
      <c r="H458" s="2" t="s">
        <v>23</v>
      </c>
      <c r="I458" s="24" t="s">
        <v>908</v>
      </c>
      <c r="J458" s="24" t="s">
        <v>908</v>
      </c>
      <c r="K458" s="24" t="s">
        <v>908</v>
      </c>
      <c r="M458" s="24" t="s">
        <v>908</v>
      </c>
      <c r="N458" s="24"/>
      <c r="P458" s="1" t="str">
        <f t="shared" si="14"/>
        <v>71201020</v>
      </c>
      <c r="Q458" s="263" t="str">
        <f t="shared" si="15"/>
        <v>FB - Spoilage</v>
      </c>
    </row>
    <row r="459" spans="1:17" x14ac:dyDescent="0.25">
      <c r="A459" s="24" t="s">
        <v>317</v>
      </c>
      <c r="B459" s="24" t="s">
        <v>20</v>
      </c>
      <c r="C459" s="24" t="s">
        <v>33</v>
      </c>
      <c r="D459" s="24" t="s">
        <v>0</v>
      </c>
      <c r="E459" s="24" t="s">
        <v>348</v>
      </c>
      <c r="F459" s="26" t="s">
        <v>374</v>
      </c>
      <c r="G459" s="24" t="s">
        <v>174</v>
      </c>
      <c r="H459" s="2" t="s">
        <v>23</v>
      </c>
      <c r="I459" s="24" t="s">
        <v>908</v>
      </c>
      <c r="J459" s="24" t="s">
        <v>908</v>
      </c>
      <c r="K459" s="24" t="s">
        <v>908</v>
      </c>
      <c r="M459" s="24" t="s">
        <v>908</v>
      </c>
      <c r="N459" s="2"/>
      <c r="P459" s="1" t="str">
        <f t="shared" si="14"/>
        <v>71201021</v>
      </c>
      <c r="Q459" s="263" t="str">
        <f t="shared" si="15"/>
        <v>FB - Non Capitalized Asset</v>
      </c>
    </row>
    <row r="460" spans="1:17" x14ac:dyDescent="0.25">
      <c r="A460" s="24" t="s">
        <v>317</v>
      </c>
      <c r="B460" s="24" t="s">
        <v>20</v>
      </c>
      <c r="C460" s="24" t="s">
        <v>33</v>
      </c>
      <c r="D460" s="24" t="s">
        <v>0</v>
      </c>
      <c r="E460" s="24" t="s">
        <v>350</v>
      </c>
      <c r="F460" s="5" t="s">
        <v>859</v>
      </c>
      <c r="G460" s="2" t="s">
        <v>174</v>
      </c>
      <c r="H460" s="2" t="s">
        <v>23</v>
      </c>
      <c r="I460" s="24" t="s">
        <v>908</v>
      </c>
      <c r="J460" s="24" t="s">
        <v>908</v>
      </c>
      <c r="K460" s="24" t="s">
        <v>908</v>
      </c>
      <c r="M460" s="24" t="s">
        <v>908</v>
      </c>
      <c r="N460" s="24"/>
      <c r="P460" s="1" t="str">
        <f t="shared" si="14"/>
        <v>71201022</v>
      </c>
      <c r="Q460" s="263" t="str">
        <f t="shared" si="15"/>
        <v>FB - Traveling</v>
      </c>
    </row>
    <row r="461" spans="1:17" x14ac:dyDescent="0.25">
      <c r="A461" s="24" t="s">
        <v>317</v>
      </c>
      <c r="B461" s="24" t="s">
        <v>20</v>
      </c>
      <c r="C461" s="24" t="s">
        <v>33</v>
      </c>
      <c r="D461" s="24" t="s">
        <v>0</v>
      </c>
      <c r="E461" s="24" t="s">
        <v>414</v>
      </c>
      <c r="F461" s="5" t="s">
        <v>860</v>
      </c>
      <c r="G461" s="2" t="s">
        <v>174</v>
      </c>
      <c r="H461" s="2" t="s">
        <v>23</v>
      </c>
      <c r="I461" s="24" t="s">
        <v>908</v>
      </c>
      <c r="J461" s="24" t="s">
        <v>908</v>
      </c>
      <c r="K461" s="24" t="s">
        <v>908</v>
      </c>
      <c r="M461" s="24" t="s">
        <v>908</v>
      </c>
      <c r="N461" s="24"/>
      <c r="P461" s="1" t="str">
        <f t="shared" si="14"/>
        <v>71201023</v>
      </c>
      <c r="Q461" s="263" t="str">
        <f t="shared" si="15"/>
        <v>FB - Entertainment</v>
      </c>
    </row>
    <row r="462" spans="1:17" x14ac:dyDescent="0.25">
      <c r="A462" s="24" t="s">
        <v>317</v>
      </c>
      <c r="B462" s="24" t="s">
        <v>20</v>
      </c>
      <c r="C462" s="24" t="s">
        <v>33</v>
      </c>
      <c r="D462" s="24" t="s">
        <v>0</v>
      </c>
      <c r="E462" s="24" t="s">
        <v>43</v>
      </c>
      <c r="F462" s="5" t="s">
        <v>375</v>
      </c>
      <c r="G462" s="2" t="s">
        <v>174</v>
      </c>
      <c r="H462" s="2" t="s">
        <v>23</v>
      </c>
      <c r="I462" s="24" t="s">
        <v>908</v>
      </c>
      <c r="J462" s="24" t="s">
        <v>908</v>
      </c>
      <c r="K462" s="24" t="s">
        <v>908</v>
      </c>
      <c r="M462" s="24" t="s">
        <v>908</v>
      </c>
      <c r="N462" s="24"/>
      <c r="P462" s="1" t="str">
        <f t="shared" si="14"/>
        <v>71201999</v>
      </c>
      <c r="Q462" s="263" t="str">
        <f t="shared" si="15"/>
        <v>FB - Other Operating Expenses</v>
      </c>
    </row>
    <row r="463" spans="1:17" x14ac:dyDescent="0.25">
      <c r="A463" s="20" t="s">
        <v>317</v>
      </c>
      <c r="B463" s="20" t="s">
        <v>20</v>
      </c>
      <c r="C463" s="20" t="s">
        <v>33</v>
      </c>
      <c r="D463" s="20" t="s">
        <v>2</v>
      </c>
      <c r="E463" s="20"/>
      <c r="F463" s="22" t="s">
        <v>568</v>
      </c>
      <c r="G463" s="23" t="s">
        <v>174</v>
      </c>
      <c r="H463" s="23" t="s">
        <v>23</v>
      </c>
      <c r="I463" s="23" t="s">
        <v>907</v>
      </c>
      <c r="J463" s="23" t="s">
        <v>907</v>
      </c>
      <c r="K463" s="23" t="s">
        <v>907</v>
      </c>
      <c r="M463" s="23" t="s">
        <v>907</v>
      </c>
      <c r="N463" s="23"/>
      <c r="P463" s="1" t="str">
        <f t="shared" si="14"/>
        <v>71202</v>
      </c>
      <c r="Q463" s="263" t="str">
        <f t="shared" si="15"/>
        <v>Food &amp; Beverage - Provision for Replacement</v>
      </c>
    </row>
    <row r="464" spans="1:17" x14ac:dyDescent="0.25">
      <c r="A464" s="24" t="s">
        <v>317</v>
      </c>
      <c r="B464" s="24" t="s">
        <v>20</v>
      </c>
      <c r="C464" s="24" t="s">
        <v>33</v>
      </c>
      <c r="D464" s="24" t="s">
        <v>2</v>
      </c>
      <c r="E464" s="24" t="s">
        <v>1</v>
      </c>
      <c r="F464" s="5" t="s">
        <v>892</v>
      </c>
      <c r="G464" s="2" t="s">
        <v>174</v>
      </c>
      <c r="H464" s="2" t="s">
        <v>23</v>
      </c>
      <c r="I464" s="24" t="s">
        <v>908</v>
      </c>
      <c r="J464" s="24" t="s">
        <v>908</v>
      </c>
      <c r="K464" s="24" t="s">
        <v>908</v>
      </c>
      <c r="M464" s="24" t="s">
        <v>908</v>
      </c>
      <c r="N464" s="24"/>
      <c r="P464" s="1" t="str">
        <f t="shared" si="14"/>
        <v>71202001</v>
      </c>
      <c r="Q464" s="263" t="str">
        <f t="shared" si="15"/>
        <v>FB - Provision for Replacement China/Glass/Silverware</v>
      </c>
    </row>
    <row r="465" spans="1:17" x14ac:dyDescent="0.25">
      <c r="A465" s="24" t="s">
        <v>317</v>
      </c>
      <c r="B465" s="24" t="s">
        <v>20</v>
      </c>
      <c r="C465" s="24" t="s">
        <v>33</v>
      </c>
      <c r="D465" s="24" t="s">
        <v>2</v>
      </c>
      <c r="E465" s="24" t="s">
        <v>3</v>
      </c>
      <c r="F465" s="5" t="s">
        <v>893</v>
      </c>
      <c r="G465" s="2" t="s">
        <v>174</v>
      </c>
      <c r="H465" s="2" t="s">
        <v>23</v>
      </c>
      <c r="I465" s="24" t="s">
        <v>907</v>
      </c>
      <c r="J465" s="24" t="s">
        <v>910</v>
      </c>
      <c r="K465" s="24" t="s">
        <v>910</v>
      </c>
      <c r="M465" s="24" t="s">
        <v>907</v>
      </c>
      <c r="N465" s="24"/>
      <c r="P465" s="1" t="str">
        <f t="shared" si="14"/>
        <v>71202002</v>
      </c>
      <c r="Q465" s="263" t="str">
        <f t="shared" si="15"/>
        <v>FB - Provision for Replacement Linen and Towel</v>
      </c>
    </row>
    <row r="466" spans="1:17" x14ac:dyDescent="0.25">
      <c r="A466" s="24" t="s">
        <v>317</v>
      </c>
      <c r="B466" s="24" t="s">
        <v>20</v>
      </c>
      <c r="C466" s="24" t="s">
        <v>33</v>
      </c>
      <c r="D466" s="24" t="s">
        <v>2</v>
      </c>
      <c r="E466" s="24" t="s">
        <v>5</v>
      </c>
      <c r="F466" s="5" t="s">
        <v>594</v>
      </c>
      <c r="G466" s="2" t="s">
        <v>174</v>
      </c>
      <c r="H466" s="2" t="s">
        <v>23</v>
      </c>
      <c r="I466" s="24" t="s">
        <v>908</v>
      </c>
      <c r="J466" s="24" t="s">
        <v>908</v>
      </c>
      <c r="K466" s="24" t="s">
        <v>908</v>
      </c>
      <c r="M466" s="24" t="s">
        <v>908</v>
      </c>
      <c r="N466" s="24"/>
      <c r="P466" s="1" t="str">
        <f t="shared" si="14"/>
        <v>71202003</v>
      </c>
      <c r="Q466" s="263" t="str">
        <f t="shared" si="15"/>
        <v>FB - Provision for Replacement Uniform</v>
      </c>
    </row>
    <row r="467" spans="1:17" x14ac:dyDescent="0.25">
      <c r="A467" s="16" t="s">
        <v>317</v>
      </c>
      <c r="B467" s="16" t="s">
        <v>20</v>
      </c>
      <c r="C467" s="16" t="s">
        <v>44</v>
      </c>
      <c r="D467" s="16"/>
      <c r="E467" s="16"/>
      <c r="F467" s="18" t="s">
        <v>376</v>
      </c>
      <c r="G467" s="19" t="s">
        <v>174</v>
      </c>
      <c r="H467" s="19" t="s">
        <v>23</v>
      </c>
      <c r="I467" s="19" t="s">
        <v>907</v>
      </c>
      <c r="J467" s="19" t="s">
        <v>907</v>
      </c>
      <c r="K467" s="19" t="s">
        <v>907</v>
      </c>
      <c r="M467" s="19" t="s">
        <v>907</v>
      </c>
      <c r="N467" s="19"/>
      <c r="P467" s="1" t="str">
        <f t="shared" si="14"/>
        <v>713</v>
      </c>
      <c r="Q467" s="263" t="str">
        <f t="shared" si="15"/>
        <v>Other Dept - Operating Expenses</v>
      </c>
    </row>
    <row r="468" spans="1:17" x14ac:dyDescent="0.25">
      <c r="A468" s="20" t="s">
        <v>317</v>
      </c>
      <c r="B468" s="20" t="s">
        <v>20</v>
      </c>
      <c r="C468" s="20" t="s">
        <v>44</v>
      </c>
      <c r="D468" s="20" t="s">
        <v>0</v>
      </c>
      <c r="E468" s="20"/>
      <c r="F468" s="22" t="s">
        <v>569</v>
      </c>
      <c r="G468" s="23" t="s">
        <v>174</v>
      </c>
      <c r="H468" s="23" t="s">
        <v>23</v>
      </c>
      <c r="I468" s="23" t="s">
        <v>907</v>
      </c>
      <c r="J468" s="23" t="s">
        <v>907</v>
      </c>
      <c r="K468" s="23" t="s">
        <v>907</v>
      </c>
      <c r="M468" s="23" t="s">
        <v>907</v>
      </c>
      <c r="N468" s="23"/>
      <c r="P468" s="1" t="str">
        <f t="shared" si="14"/>
        <v>71301</v>
      </c>
      <c r="Q468" s="263" t="str">
        <f t="shared" si="15"/>
        <v>Other Dept - General Operating Expenses</v>
      </c>
    </row>
    <row r="469" spans="1:17" x14ac:dyDescent="0.25">
      <c r="A469" s="24" t="s">
        <v>317</v>
      </c>
      <c r="B469" s="24" t="s">
        <v>20</v>
      </c>
      <c r="C469" s="24" t="s">
        <v>44</v>
      </c>
      <c r="D469" s="24" t="s">
        <v>0</v>
      </c>
      <c r="E469" s="24" t="s">
        <v>1</v>
      </c>
      <c r="F469" s="5" t="s">
        <v>377</v>
      </c>
      <c r="G469" s="2" t="s">
        <v>174</v>
      </c>
      <c r="H469" s="2" t="s">
        <v>23</v>
      </c>
      <c r="I469" s="24" t="s">
        <v>908</v>
      </c>
      <c r="J469" s="24" t="s">
        <v>908</v>
      </c>
      <c r="K469" s="24" t="s">
        <v>908</v>
      </c>
      <c r="M469" s="24" t="s">
        <v>908</v>
      </c>
      <c r="N469" s="24"/>
      <c r="P469" s="1" t="str">
        <f t="shared" si="14"/>
        <v>71301001</v>
      </c>
      <c r="Q469" s="263" t="str">
        <f t="shared" si="15"/>
        <v>OT - Cleaning Supplies</v>
      </c>
    </row>
    <row r="470" spans="1:17" x14ac:dyDescent="0.25">
      <c r="A470" s="24" t="s">
        <v>317</v>
      </c>
      <c r="B470" s="24" t="s">
        <v>20</v>
      </c>
      <c r="C470" s="24" t="s">
        <v>44</v>
      </c>
      <c r="D470" s="24" t="s">
        <v>0</v>
      </c>
      <c r="E470" s="24" t="s">
        <v>3</v>
      </c>
      <c r="F470" s="5" t="s">
        <v>378</v>
      </c>
      <c r="G470" s="2" t="s">
        <v>174</v>
      </c>
      <c r="H470" s="2" t="s">
        <v>23</v>
      </c>
      <c r="I470" s="24" t="s">
        <v>908</v>
      </c>
      <c r="J470" s="24" t="s">
        <v>908</v>
      </c>
      <c r="K470" s="24" t="s">
        <v>908</v>
      </c>
      <c r="M470" s="24" t="s">
        <v>908</v>
      </c>
      <c r="N470" s="24"/>
      <c r="P470" s="1" t="str">
        <f t="shared" si="14"/>
        <v>71301002</v>
      </c>
      <c r="Q470" s="263" t="str">
        <f t="shared" si="15"/>
        <v>OT - Contract Services</v>
      </c>
    </row>
    <row r="471" spans="1:17" x14ac:dyDescent="0.25">
      <c r="A471" s="24" t="s">
        <v>317</v>
      </c>
      <c r="B471" s="24" t="s">
        <v>20</v>
      </c>
      <c r="C471" s="24" t="s">
        <v>44</v>
      </c>
      <c r="D471" s="24" t="s">
        <v>0</v>
      </c>
      <c r="E471" s="24" t="s">
        <v>5</v>
      </c>
      <c r="F471" s="5" t="s">
        <v>379</v>
      </c>
      <c r="G471" s="2" t="s">
        <v>174</v>
      </c>
      <c r="H471" s="2" t="s">
        <v>23</v>
      </c>
      <c r="I471" s="24" t="s">
        <v>908</v>
      </c>
      <c r="J471" s="24" t="s">
        <v>908</v>
      </c>
      <c r="K471" s="24" t="s">
        <v>908</v>
      </c>
      <c r="M471" s="24" t="s">
        <v>908</v>
      </c>
      <c r="N471" s="24"/>
      <c r="P471" s="1" t="str">
        <f t="shared" si="14"/>
        <v>71301003</v>
      </c>
      <c r="Q471" s="263" t="str">
        <f t="shared" si="15"/>
        <v>OT - Decoration &amp; Flowers</v>
      </c>
    </row>
    <row r="472" spans="1:17" x14ac:dyDescent="0.25">
      <c r="A472" s="24" t="s">
        <v>317</v>
      </c>
      <c r="B472" s="24" t="s">
        <v>20</v>
      </c>
      <c r="C472" s="24" t="s">
        <v>44</v>
      </c>
      <c r="D472" s="24" t="s">
        <v>0</v>
      </c>
      <c r="E472" s="24" t="s">
        <v>7</v>
      </c>
      <c r="F472" s="5" t="s">
        <v>380</v>
      </c>
      <c r="G472" s="2" t="s">
        <v>174</v>
      </c>
      <c r="H472" s="2" t="s">
        <v>23</v>
      </c>
      <c r="I472" s="24" t="s">
        <v>908</v>
      </c>
      <c r="J472" s="24" t="s">
        <v>908</v>
      </c>
      <c r="K472" s="24" t="s">
        <v>908</v>
      </c>
      <c r="M472" s="24" t="s">
        <v>908</v>
      </c>
      <c r="N472" s="24"/>
      <c r="P472" s="1" t="str">
        <f t="shared" si="14"/>
        <v>71301004</v>
      </c>
      <c r="Q472" s="263" t="str">
        <f t="shared" si="15"/>
        <v>OT - Guest Complimentary</v>
      </c>
    </row>
    <row r="473" spans="1:17" x14ac:dyDescent="0.25">
      <c r="A473" s="24" t="s">
        <v>317</v>
      </c>
      <c r="B473" s="24" t="s">
        <v>20</v>
      </c>
      <c r="C473" s="24" t="s">
        <v>44</v>
      </c>
      <c r="D473" s="24" t="s">
        <v>0</v>
      </c>
      <c r="E473" s="24" t="s">
        <v>9</v>
      </c>
      <c r="F473" s="5" t="s">
        <v>381</v>
      </c>
      <c r="G473" s="2" t="s">
        <v>174</v>
      </c>
      <c r="H473" s="2" t="s">
        <v>23</v>
      </c>
      <c r="I473" s="24" t="s">
        <v>908</v>
      </c>
      <c r="J473" s="24" t="s">
        <v>908</v>
      </c>
      <c r="K473" s="24" t="s">
        <v>908</v>
      </c>
      <c r="M473" s="24" t="s">
        <v>908</v>
      </c>
      <c r="N473" s="24"/>
      <c r="P473" s="1" t="str">
        <f t="shared" si="14"/>
        <v>71301005</v>
      </c>
      <c r="Q473" s="263" t="str">
        <f t="shared" si="15"/>
        <v>OT - Guest Supplies</v>
      </c>
    </row>
    <row r="474" spans="1:17" x14ac:dyDescent="0.25">
      <c r="A474" s="24" t="s">
        <v>317</v>
      </c>
      <c r="B474" s="24" t="s">
        <v>20</v>
      </c>
      <c r="C474" s="24" t="s">
        <v>44</v>
      </c>
      <c r="D474" s="24" t="s">
        <v>0</v>
      </c>
      <c r="E474" s="24" t="s">
        <v>10</v>
      </c>
      <c r="F474" s="5" t="s">
        <v>382</v>
      </c>
      <c r="G474" s="2" t="s">
        <v>174</v>
      </c>
      <c r="H474" s="2" t="s">
        <v>23</v>
      </c>
      <c r="I474" s="24" t="s">
        <v>908</v>
      </c>
      <c r="J474" s="24" t="s">
        <v>908</v>
      </c>
      <c r="K474" s="24" t="s">
        <v>908</v>
      </c>
      <c r="M474" s="24" t="s">
        <v>908</v>
      </c>
      <c r="N474" s="24"/>
      <c r="P474" s="1" t="str">
        <f t="shared" si="14"/>
        <v>71301006</v>
      </c>
      <c r="Q474" s="263" t="str">
        <f t="shared" si="15"/>
        <v>OT - IT Maintenance</v>
      </c>
    </row>
    <row r="475" spans="1:17" x14ac:dyDescent="0.25">
      <c r="A475" s="24" t="s">
        <v>317</v>
      </c>
      <c r="B475" s="24" t="s">
        <v>20</v>
      </c>
      <c r="C475" s="24" t="s">
        <v>44</v>
      </c>
      <c r="D475" s="24" t="s">
        <v>0</v>
      </c>
      <c r="E475" s="24" t="s">
        <v>11</v>
      </c>
      <c r="F475" s="5" t="s">
        <v>383</v>
      </c>
      <c r="G475" s="2" t="s">
        <v>174</v>
      </c>
      <c r="H475" s="2" t="s">
        <v>23</v>
      </c>
      <c r="I475" s="24" t="s">
        <v>908</v>
      </c>
      <c r="J475" s="24" t="s">
        <v>908</v>
      </c>
      <c r="K475" s="24" t="s">
        <v>908</v>
      </c>
      <c r="M475" s="24" t="s">
        <v>908</v>
      </c>
      <c r="N475" s="24"/>
      <c r="P475" s="1" t="str">
        <f t="shared" si="14"/>
        <v>71301007</v>
      </c>
      <c r="Q475" s="263" t="str">
        <f t="shared" si="15"/>
        <v>OT - Laundry &amp; Dry Cleaning</v>
      </c>
    </row>
    <row r="476" spans="1:17" x14ac:dyDescent="0.25">
      <c r="A476" s="24" t="s">
        <v>317</v>
      </c>
      <c r="B476" s="24" t="s">
        <v>20</v>
      </c>
      <c r="C476" s="24" t="s">
        <v>44</v>
      </c>
      <c r="D476" s="24" t="s">
        <v>0</v>
      </c>
      <c r="E476" s="24" t="s">
        <v>13</v>
      </c>
      <c r="F476" s="5" t="s">
        <v>384</v>
      </c>
      <c r="G476" s="2" t="s">
        <v>174</v>
      </c>
      <c r="H476" s="2" t="s">
        <v>23</v>
      </c>
      <c r="I476" s="24" t="s">
        <v>908</v>
      </c>
      <c r="J476" s="24" t="s">
        <v>908</v>
      </c>
      <c r="K476" s="24" t="s">
        <v>908</v>
      </c>
      <c r="M476" s="24" t="s">
        <v>908</v>
      </c>
      <c r="N476" s="24"/>
      <c r="P476" s="1" t="str">
        <f t="shared" si="14"/>
        <v>71301008</v>
      </c>
      <c r="Q476" s="263" t="str">
        <f t="shared" si="15"/>
        <v>OT - Music, TV Cable &amp; Entertainment</v>
      </c>
    </row>
    <row r="477" spans="1:17" x14ac:dyDescent="0.25">
      <c r="A477" s="24" t="s">
        <v>317</v>
      </c>
      <c r="B477" s="24" t="s">
        <v>20</v>
      </c>
      <c r="C477" s="24" t="s">
        <v>44</v>
      </c>
      <c r="D477" s="24" t="s">
        <v>0</v>
      </c>
      <c r="E477" s="24" t="s">
        <v>15</v>
      </c>
      <c r="F477" s="5" t="s">
        <v>385</v>
      </c>
      <c r="G477" s="2" t="s">
        <v>174</v>
      </c>
      <c r="H477" s="2" t="s">
        <v>23</v>
      </c>
      <c r="I477" s="24" t="s">
        <v>908</v>
      </c>
      <c r="J477" s="24" t="s">
        <v>908</v>
      </c>
      <c r="K477" s="24" t="s">
        <v>908</v>
      </c>
      <c r="M477" s="24" t="s">
        <v>908</v>
      </c>
      <c r="N477" s="24"/>
      <c r="P477" s="1" t="str">
        <f t="shared" si="14"/>
        <v>71301009</v>
      </c>
      <c r="Q477" s="263" t="str">
        <f t="shared" si="15"/>
        <v>OT - Newspaper &amp; Magazine</v>
      </c>
    </row>
    <row r="478" spans="1:17" x14ac:dyDescent="0.25">
      <c r="A478" s="24" t="s">
        <v>317</v>
      </c>
      <c r="B478" s="24" t="s">
        <v>20</v>
      </c>
      <c r="C478" s="24" t="s">
        <v>44</v>
      </c>
      <c r="D478" s="24" t="s">
        <v>0</v>
      </c>
      <c r="E478" s="24" t="s">
        <v>238</v>
      </c>
      <c r="F478" s="5" t="s">
        <v>386</v>
      </c>
      <c r="G478" s="2" t="s">
        <v>174</v>
      </c>
      <c r="H478" s="2" t="s">
        <v>23</v>
      </c>
      <c r="I478" s="24" t="s">
        <v>908</v>
      </c>
      <c r="J478" s="24" t="s">
        <v>908</v>
      </c>
      <c r="K478" s="24" t="s">
        <v>908</v>
      </c>
      <c r="M478" s="24" t="s">
        <v>908</v>
      </c>
      <c r="N478" s="24"/>
      <c r="P478" s="1" t="str">
        <f t="shared" si="14"/>
        <v>71301010</v>
      </c>
      <c r="Q478" s="263" t="str">
        <f t="shared" si="15"/>
        <v>OT - Printing &amp; Stationary</v>
      </c>
    </row>
    <row r="479" spans="1:17" x14ac:dyDescent="0.25">
      <c r="A479" s="24" t="s">
        <v>317</v>
      </c>
      <c r="B479" s="24" t="s">
        <v>20</v>
      </c>
      <c r="C479" s="24" t="s">
        <v>44</v>
      </c>
      <c r="D479" s="24" t="s">
        <v>0</v>
      </c>
      <c r="E479" s="24" t="s">
        <v>240</v>
      </c>
      <c r="F479" s="5" t="s">
        <v>387</v>
      </c>
      <c r="G479" s="2" t="s">
        <v>174</v>
      </c>
      <c r="H479" s="2" t="s">
        <v>23</v>
      </c>
      <c r="I479" s="24" t="s">
        <v>908</v>
      </c>
      <c r="J479" s="24" t="s">
        <v>908</v>
      </c>
      <c r="K479" s="24" t="s">
        <v>908</v>
      </c>
      <c r="M479" s="24" t="s">
        <v>908</v>
      </c>
      <c r="N479" s="24"/>
      <c r="P479" s="1" t="str">
        <f t="shared" si="14"/>
        <v>71301011</v>
      </c>
      <c r="Q479" s="263" t="str">
        <f t="shared" si="15"/>
        <v>OT - Telephone &amp; Fax</v>
      </c>
    </row>
    <row r="480" spans="1:17" x14ac:dyDescent="0.25">
      <c r="A480" s="24" t="s">
        <v>317</v>
      </c>
      <c r="B480" s="24" t="s">
        <v>20</v>
      </c>
      <c r="C480" s="24" t="s">
        <v>44</v>
      </c>
      <c r="D480" s="24" t="s">
        <v>0</v>
      </c>
      <c r="E480" s="24" t="s">
        <v>331</v>
      </c>
      <c r="F480" s="5" t="s">
        <v>388</v>
      </c>
      <c r="G480" s="2" t="s">
        <v>174</v>
      </c>
      <c r="H480" s="2" t="s">
        <v>23</v>
      </c>
      <c r="I480" s="24" t="s">
        <v>908</v>
      </c>
      <c r="J480" s="24" t="s">
        <v>908</v>
      </c>
      <c r="K480" s="24" t="s">
        <v>908</v>
      </c>
      <c r="M480" s="24" t="s">
        <v>908</v>
      </c>
      <c r="N480" s="24"/>
      <c r="P480" s="1" t="str">
        <f t="shared" si="14"/>
        <v>71301012</v>
      </c>
      <c r="Q480" s="263" t="str">
        <f t="shared" si="15"/>
        <v>OT - Training</v>
      </c>
    </row>
    <row r="481" spans="1:17" x14ac:dyDescent="0.25">
      <c r="A481" s="24" t="s">
        <v>317</v>
      </c>
      <c r="B481" s="24" t="s">
        <v>20</v>
      </c>
      <c r="C481" s="24" t="s">
        <v>44</v>
      </c>
      <c r="D481" s="24" t="s">
        <v>0</v>
      </c>
      <c r="E481" s="24" t="s">
        <v>333</v>
      </c>
      <c r="F481" s="5" t="s">
        <v>389</v>
      </c>
      <c r="G481" s="2" t="s">
        <v>174</v>
      </c>
      <c r="H481" s="2" t="s">
        <v>23</v>
      </c>
      <c r="I481" s="24" t="s">
        <v>908</v>
      </c>
      <c r="J481" s="24" t="s">
        <v>908</v>
      </c>
      <c r="K481" s="24" t="s">
        <v>908</v>
      </c>
      <c r="M481" s="24" t="s">
        <v>908</v>
      </c>
      <c r="N481" s="24"/>
      <c r="P481" s="1" t="str">
        <f t="shared" si="14"/>
        <v>71301013</v>
      </c>
      <c r="Q481" s="263" t="str">
        <f t="shared" si="15"/>
        <v xml:space="preserve">OT - Uniform Laundry </v>
      </c>
    </row>
    <row r="482" spans="1:17" x14ac:dyDescent="0.25">
      <c r="A482" s="24" t="s">
        <v>317</v>
      </c>
      <c r="B482" s="24" t="s">
        <v>20</v>
      </c>
      <c r="C482" s="24" t="s">
        <v>44</v>
      </c>
      <c r="D482" s="24" t="s">
        <v>0</v>
      </c>
      <c r="E482" s="24" t="s">
        <v>335</v>
      </c>
      <c r="F482" s="5" t="s">
        <v>390</v>
      </c>
      <c r="G482" s="2" t="s">
        <v>174</v>
      </c>
      <c r="H482" s="2" t="s">
        <v>23</v>
      </c>
      <c r="I482" s="24" t="s">
        <v>908</v>
      </c>
      <c r="J482" s="24" t="s">
        <v>908</v>
      </c>
      <c r="K482" s="24" t="s">
        <v>908</v>
      </c>
      <c r="M482" s="24" t="s">
        <v>908</v>
      </c>
      <c r="N482" s="24"/>
      <c r="P482" s="1" t="str">
        <f t="shared" si="14"/>
        <v>71301014</v>
      </c>
      <c r="Q482" s="263" t="str">
        <f t="shared" si="15"/>
        <v xml:space="preserve">OT - Rental of Equipment </v>
      </c>
    </row>
    <row r="483" spans="1:17" x14ac:dyDescent="0.25">
      <c r="A483" s="24" t="s">
        <v>317</v>
      </c>
      <c r="B483" s="24" t="s">
        <v>20</v>
      </c>
      <c r="C483" s="24" t="s">
        <v>44</v>
      </c>
      <c r="D483" s="24" t="s">
        <v>0</v>
      </c>
      <c r="E483" s="24" t="s">
        <v>337</v>
      </c>
      <c r="F483" s="5" t="s">
        <v>391</v>
      </c>
      <c r="G483" s="2" t="s">
        <v>174</v>
      </c>
      <c r="H483" s="2" t="s">
        <v>23</v>
      </c>
      <c r="I483" s="24" t="s">
        <v>908</v>
      </c>
      <c r="J483" s="24" t="s">
        <v>908</v>
      </c>
      <c r="K483" s="24" t="s">
        <v>908</v>
      </c>
      <c r="M483" s="24" t="s">
        <v>908</v>
      </c>
      <c r="N483" s="24"/>
      <c r="P483" s="1" t="str">
        <f t="shared" si="14"/>
        <v>71301015</v>
      </c>
      <c r="Q483" s="263" t="str">
        <f t="shared" si="15"/>
        <v>OT - Licenses</v>
      </c>
    </row>
    <row r="484" spans="1:17" x14ac:dyDescent="0.25">
      <c r="A484" s="24" t="s">
        <v>317</v>
      </c>
      <c r="B484" s="24" t="s">
        <v>20</v>
      </c>
      <c r="C484" s="24" t="s">
        <v>44</v>
      </c>
      <c r="D484" s="24" t="s">
        <v>0</v>
      </c>
      <c r="E484" s="24" t="s">
        <v>339</v>
      </c>
      <c r="F484" s="5" t="s">
        <v>598</v>
      </c>
      <c r="G484" s="24" t="s">
        <v>174</v>
      </c>
      <c r="H484" s="2" t="s">
        <v>23</v>
      </c>
      <c r="I484" s="24" t="s">
        <v>908</v>
      </c>
      <c r="J484" s="24" t="s">
        <v>908</v>
      </c>
      <c r="K484" s="24" t="s">
        <v>908</v>
      </c>
      <c r="M484" s="24" t="s">
        <v>908</v>
      </c>
      <c r="N484" s="24"/>
      <c r="P484" s="1" t="str">
        <f t="shared" si="14"/>
        <v>71301016</v>
      </c>
      <c r="Q484" s="263" t="str">
        <f t="shared" si="15"/>
        <v>OT - Non Capitalized Asset</v>
      </c>
    </row>
    <row r="485" spans="1:17" x14ac:dyDescent="0.25">
      <c r="A485" s="24" t="s">
        <v>317</v>
      </c>
      <c r="B485" s="24" t="s">
        <v>20</v>
      </c>
      <c r="C485" s="24" t="s">
        <v>44</v>
      </c>
      <c r="D485" s="24" t="s">
        <v>0</v>
      </c>
      <c r="E485" s="24" t="s">
        <v>341</v>
      </c>
      <c r="F485" s="5" t="s">
        <v>861</v>
      </c>
      <c r="G485" s="2" t="s">
        <v>174</v>
      </c>
      <c r="H485" s="2" t="s">
        <v>23</v>
      </c>
      <c r="I485" s="24" t="s">
        <v>908</v>
      </c>
      <c r="J485" s="24" t="s">
        <v>908</v>
      </c>
      <c r="K485" s="24" t="s">
        <v>908</v>
      </c>
      <c r="M485" s="24" t="s">
        <v>908</v>
      </c>
      <c r="N485" s="24"/>
      <c r="P485" s="1" t="str">
        <f t="shared" si="14"/>
        <v>71301017</v>
      </c>
      <c r="Q485" s="263" t="str">
        <f t="shared" si="15"/>
        <v>OT - Traveling</v>
      </c>
    </row>
    <row r="486" spans="1:17" x14ac:dyDescent="0.25">
      <c r="A486" s="24" t="s">
        <v>317</v>
      </c>
      <c r="B486" s="24" t="s">
        <v>20</v>
      </c>
      <c r="C486" s="24" t="s">
        <v>44</v>
      </c>
      <c r="D486" s="24" t="s">
        <v>0</v>
      </c>
      <c r="E486" s="24" t="s">
        <v>343</v>
      </c>
      <c r="F486" s="5" t="s">
        <v>862</v>
      </c>
      <c r="G486" s="2" t="s">
        <v>174</v>
      </c>
      <c r="H486" s="2" t="s">
        <v>23</v>
      </c>
      <c r="I486" s="24" t="s">
        <v>908</v>
      </c>
      <c r="J486" s="24" t="s">
        <v>908</v>
      </c>
      <c r="K486" s="24" t="s">
        <v>908</v>
      </c>
      <c r="M486" s="24" t="s">
        <v>908</v>
      </c>
      <c r="N486" s="24"/>
      <c r="P486" s="1" t="str">
        <f t="shared" si="14"/>
        <v>71301018</v>
      </c>
      <c r="Q486" s="263" t="str">
        <f t="shared" si="15"/>
        <v>OT - Entertainment</v>
      </c>
    </row>
    <row r="487" spans="1:17" x14ac:dyDescent="0.25">
      <c r="A487" s="24" t="s">
        <v>317</v>
      </c>
      <c r="B487" s="24" t="s">
        <v>20</v>
      </c>
      <c r="C487" s="24" t="s">
        <v>44</v>
      </c>
      <c r="D487" s="24" t="s">
        <v>0</v>
      </c>
      <c r="E487" s="24" t="s">
        <v>344</v>
      </c>
      <c r="F487" s="5" t="s">
        <v>863</v>
      </c>
      <c r="G487" s="2" t="s">
        <v>174</v>
      </c>
      <c r="H487" s="2" t="s">
        <v>23</v>
      </c>
      <c r="I487" s="24" t="s">
        <v>907</v>
      </c>
      <c r="J487" s="24" t="s">
        <v>910</v>
      </c>
      <c r="K487" s="24" t="s">
        <v>910</v>
      </c>
      <c r="M487" s="24" t="s">
        <v>907</v>
      </c>
      <c r="N487" s="24"/>
      <c r="P487" s="1" t="str">
        <f t="shared" si="14"/>
        <v>71301019</v>
      </c>
      <c r="Q487" s="263" t="str">
        <f t="shared" si="15"/>
        <v>OT - Spa Supplies</v>
      </c>
    </row>
    <row r="488" spans="1:17" x14ac:dyDescent="0.25">
      <c r="A488" s="24" t="s">
        <v>317</v>
      </c>
      <c r="B488" s="24" t="s">
        <v>20</v>
      </c>
      <c r="C488" s="24" t="s">
        <v>44</v>
      </c>
      <c r="D488" s="24" t="s">
        <v>0</v>
      </c>
      <c r="E488" s="24" t="s">
        <v>43</v>
      </c>
      <c r="F488" s="5" t="s">
        <v>392</v>
      </c>
      <c r="G488" s="2" t="s">
        <v>174</v>
      </c>
      <c r="H488" s="2" t="s">
        <v>23</v>
      </c>
      <c r="I488" s="24" t="s">
        <v>908</v>
      </c>
      <c r="J488" s="24" t="s">
        <v>908</v>
      </c>
      <c r="K488" s="24" t="s">
        <v>908</v>
      </c>
      <c r="M488" s="24" t="s">
        <v>908</v>
      </c>
      <c r="N488" s="2"/>
      <c r="P488" s="1" t="str">
        <f t="shared" si="14"/>
        <v>71301999</v>
      </c>
      <c r="Q488" s="263" t="str">
        <f t="shared" si="15"/>
        <v>OT - Other Operating Expenses</v>
      </c>
    </row>
    <row r="489" spans="1:17" x14ac:dyDescent="0.25">
      <c r="A489" s="20" t="s">
        <v>317</v>
      </c>
      <c r="B489" s="20" t="s">
        <v>20</v>
      </c>
      <c r="C489" s="20" t="s">
        <v>44</v>
      </c>
      <c r="D489" s="20" t="s">
        <v>2</v>
      </c>
      <c r="E489" s="20"/>
      <c r="F489" s="22" t="s">
        <v>864</v>
      </c>
      <c r="G489" s="23" t="s">
        <v>174</v>
      </c>
      <c r="H489" s="23" t="s">
        <v>23</v>
      </c>
      <c r="I489" s="23" t="s">
        <v>907</v>
      </c>
      <c r="J489" s="23" t="s">
        <v>907</v>
      </c>
      <c r="K489" s="23" t="s">
        <v>907</v>
      </c>
      <c r="M489" s="23" t="s">
        <v>907</v>
      </c>
      <c r="N489" s="23"/>
      <c r="P489" s="1" t="str">
        <f t="shared" si="14"/>
        <v>71302</v>
      </c>
      <c r="Q489" s="263" t="str">
        <f t="shared" si="15"/>
        <v>OT - Provision for Replacement</v>
      </c>
    </row>
    <row r="490" spans="1:17" x14ac:dyDescent="0.25">
      <c r="A490" s="24" t="s">
        <v>317</v>
      </c>
      <c r="B490" s="24" t="s">
        <v>20</v>
      </c>
      <c r="C490" s="24" t="s">
        <v>44</v>
      </c>
      <c r="D490" s="24" t="s">
        <v>2</v>
      </c>
      <c r="E490" s="24" t="s">
        <v>1</v>
      </c>
      <c r="F490" s="5" t="s">
        <v>894</v>
      </c>
      <c r="G490" s="2" t="s">
        <v>174</v>
      </c>
      <c r="H490" s="2" t="s">
        <v>23</v>
      </c>
      <c r="I490" s="24" t="s">
        <v>908</v>
      </c>
      <c r="J490" s="24" t="s">
        <v>908</v>
      </c>
      <c r="K490" s="24" t="s">
        <v>908</v>
      </c>
      <c r="M490" s="24" t="s">
        <v>908</v>
      </c>
      <c r="N490" s="24"/>
      <c r="P490" s="1" t="str">
        <f t="shared" si="14"/>
        <v>71302001</v>
      </c>
      <c r="Q490" s="263" t="str">
        <f t="shared" si="15"/>
        <v>OT - Provision for Replacement China/Glass/Silverware</v>
      </c>
    </row>
    <row r="491" spans="1:17" x14ac:dyDescent="0.25">
      <c r="A491" s="24" t="s">
        <v>317</v>
      </c>
      <c r="B491" s="24" t="s">
        <v>20</v>
      </c>
      <c r="C491" s="24" t="s">
        <v>44</v>
      </c>
      <c r="D491" s="24" t="s">
        <v>2</v>
      </c>
      <c r="E491" s="24" t="s">
        <v>3</v>
      </c>
      <c r="F491" s="5" t="s">
        <v>895</v>
      </c>
      <c r="G491" s="2" t="s">
        <v>174</v>
      </c>
      <c r="H491" s="2" t="s">
        <v>23</v>
      </c>
      <c r="I491" s="24" t="s">
        <v>907</v>
      </c>
      <c r="J491" s="24" t="s">
        <v>910</v>
      </c>
      <c r="K491" s="24" t="s">
        <v>910</v>
      </c>
      <c r="M491" s="24" t="s">
        <v>907</v>
      </c>
      <c r="N491" s="24"/>
      <c r="P491" s="1" t="str">
        <f t="shared" si="14"/>
        <v>71302002</v>
      </c>
      <c r="Q491" s="263" t="str">
        <f t="shared" si="15"/>
        <v>OT - Provision for Replacement Linen and Towel</v>
      </c>
    </row>
    <row r="492" spans="1:17" x14ac:dyDescent="0.25">
      <c r="A492" s="24" t="s">
        <v>317</v>
      </c>
      <c r="B492" s="24" t="s">
        <v>20</v>
      </c>
      <c r="C492" s="24" t="s">
        <v>44</v>
      </c>
      <c r="D492" s="24" t="s">
        <v>2</v>
      </c>
      <c r="E492" s="24" t="s">
        <v>5</v>
      </c>
      <c r="F492" s="5" t="s">
        <v>571</v>
      </c>
      <c r="G492" s="2" t="s">
        <v>174</v>
      </c>
      <c r="H492" s="2" t="s">
        <v>23</v>
      </c>
      <c r="I492" s="24" t="s">
        <v>908</v>
      </c>
      <c r="J492" s="24" t="s">
        <v>908</v>
      </c>
      <c r="K492" s="24" t="s">
        <v>908</v>
      </c>
      <c r="M492" s="24" t="s">
        <v>908</v>
      </c>
      <c r="N492" s="24"/>
      <c r="P492" s="1" t="str">
        <f t="shared" si="14"/>
        <v>71302003</v>
      </c>
      <c r="Q492" s="263" t="str">
        <f t="shared" si="15"/>
        <v>OT - Provision for Replacement Uniform</v>
      </c>
    </row>
    <row r="493" spans="1:17" x14ac:dyDescent="0.25">
      <c r="A493" s="16" t="s">
        <v>317</v>
      </c>
      <c r="B493" s="16" t="s">
        <v>20</v>
      </c>
      <c r="C493" s="16" t="s">
        <v>54</v>
      </c>
      <c r="D493" s="16"/>
      <c r="E493" s="16"/>
      <c r="F493" s="18" t="s">
        <v>639</v>
      </c>
      <c r="G493" s="19" t="s">
        <v>174</v>
      </c>
      <c r="H493" s="19" t="s">
        <v>23</v>
      </c>
      <c r="I493" s="19" t="s">
        <v>907</v>
      </c>
      <c r="J493" s="19" t="s">
        <v>907</v>
      </c>
      <c r="K493" s="19" t="s">
        <v>907</v>
      </c>
      <c r="M493" s="19" t="s">
        <v>907</v>
      </c>
      <c r="N493" s="19"/>
      <c r="P493" s="1" t="str">
        <f t="shared" si="14"/>
        <v>714</v>
      </c>
      <c r="Q493" s="263" t="str">
        <f t="shared" si="15"/>
        <v>Engineering - Operating Expenses</v>
      </c>
    </row>
    <row r="494" spans="1:17" x14ac:dyDescent="0.25">
      <c r="A494" s="20" t="s">
        <v>317</v>
      </c>
      <c r="B494" s="20" t="s">
        <v>20</v>
      </c>
      <c r="C494" s="20" t="s">
        <v>54</v>
      </c>
      <c r="D494" s="21" t="s">
        <v>0</v>
      </c>
      <c r="E494" s="20"/>
      <c r="F494" s="22" t="s">
        <v>640</v>
      </c>
      <c r="G494" s="23" t="s">
        <v>174</v>
      </c>
      <c r="H494" s="23" t="s">
        <v>23</v>
      </c>
      <c r="I494" s="23" t="s">
        <v>907</v>
      </c>
      <c r="J494" s="23" t="s">
        <v>907</v>
      </c>
      <c r="K494" s="23" t="s">
        <v>907</v>
      </c>
      <c r="M494" s="23" t="s">
        <v>907</v>
      </c>
      <c r="N494" s="23"/>
      <c r="P494" s="1" t="str">
        <f t="shared" si="14"/>
        <v>71401</v>
      </c>
      <c r="Q494" s="263" t="str">
        <f t="shared" si="15"/>
        <v>Engineering - General Operating Expenses</v>
      </c>
    </row>
    <row r="495" spans="1:17" x14ac:dyDescent="0.25">
      <c r="A495" s="24" t="s">
        <v>317</v>
      </c>
      <c r="B495" s="24" t="s">
        <v>20</v>
      </c>
      <c r="C495" s="24" t="s">
        <v>54</v>
      </c>
      <c r="D495" s="24" t="s">
        <v>0</v>
      </c>
      <c r="E495" s="24" t="s">
        <v>1</v>
      </c>
      <c r="F495" s="5" t="s">
        <v>393</v>
      </c>
      <c r="G495" s="2" t="s">
        <v>174</v>
      </c>
      <c r="H495" s="2" t="s">
        <v>23</v>
      </c>
      <c r="I495" s="24" t="s">
        <v>908</v>
      </c>
      <c r="J495" s="24" t="s">
        <v>908</v>
      </c>
      <c r="K495" s="24" t="s">
        <v>908</v>
      </c>
      <c r="M495" s="24" t="s">
        <v>908</v>
      </c>
      <c r="N495" s="24"/>
      <c r="P495" s="1" t="str">
        <f t="shared" si="14"/>
        <v>71401001</v>
      </c>
      <c r="Q495" s="263" t="str">
        <f t="shared" si="15"/>
        <v>PM - Building Contract/Material/Supplies</v>
      </c>
    </row>
    <row r="496" spans="1:17" x14ac:dyDescent="0.25">
      <c r="A496" s="24" t="s">
        <v>317</v>
      </c>
      <c r="B496" s="24" t="s">
        <v>20</v>
      </c>
      <c r="C496" s="24" t="s">
        <v>54</v>
      </c>
      <c r="D496" s="24" t="s">
        <v>0</v>
      </c>
      <c r="E496" s="24" t="s">
        <v>3</v>
      </c>
      <c r="F496" s="5" t="s">
        <v>394</v>
      </c>
      <c r="G496" s="2" t="s">
        <v>174</v>
      </c>
      <c r="H496" s="2" t="s">
        <v>23</v>
      </c>
      <c r="I496" s="24" t="s">
        <v>908</v>
      </c>
      <c r="J496" s="24" t="s">
        <v>908</v>
      </c>
      <c r="K496" s="24" t="s">
        <v>908</v>
      </c>
      <c r="M496" s="24" t="s">
        <v>908</v>
      </c>
      <c r="N496" s="24"/>
      <c r="P496" s="1" t="str">
        <f t="shared" si="14"/>
        <v>71401002</v>
      </c>
      <c r="Q496" s="263" t="str">
        <f t="shared" si="15"/>
        <v>PM - Bulbs</v>
      </c>
    </row>
    <row r="497" spans="1:17" x14ac:dyDescent="0.25">
      <c r="A497" s="24" t="s">
        <v>317</v>
      </c>
      <c r="B497" s="24" t="s">
        <v>20</v>
      </c>
      <c r="C497" s="24" t="s">
        <v>54</v>
      </c>
      <c r="D497" s="24" t="s">
        <v>0</v>
      </c>
      <c r="E497" s="24" t="s">
        <v>5</v>
      </c>
      <c r="F497" s="5" t="s">
        <v>395</v>
      </c>
      <c r="G497" s="2" t="s">
        <v>174</v>
      </c>
      <c r="H497" s="2" t="s">
        <v>23</v>
      </c>
      <c r="I497" s="24" t="s">
        <v>908</v>
      </c>
      <c r="J497" s="24" t="s">
        <v>908</v>
      </c>
      <c r="K497" s="24" t="s">
        <v>908</v>
      </c>
      <c r="M497" s="24" t="s">
        <v>908</v>
      </c>
      <c r="N497" s="24"/>
      <c r="P497" s="1" t="str">
        <f t="shared" si="14"/>
        <v>71401003</v>
      </c>
      <c r="Q497" s="263" t="str">
        <f t="shared" si="15"/>
        <v>PM - Contract Services</v>
      </c>
    </row>
    <row r="498" spans="1:17" x14ac:dyDescent="0.25">
      <c r="A498" s="24" t="s">
        <v>317</v>
      </c>
      <c r="B498" s="24" t="s">
        <v>20</v>
      </c>
      <c r="C498" s="24" t="s">
        <v>54</v>
      </c>
      <c r="D498" s="24" t="s">
        <v>0</v>
      </c>
      <c r="E498" s="24" t="s">
        <v>7</v>
      </c>
      <c r="F498" s="5" t="s">
        <v>396</v>
      </c>
      <c r="G498" s="2" t="s">
        <v>174</v>
      </c>
      <c r="H498" s="2" t="s">
        <v>23</v>
      </c>
      <c r="I498" s="24" t="s">
        <v>908</v>
      </c>
      <c r="J498" s="24" t="s">
        <v>908</v>
      </c>
      <c r="K498" s="24" t="s">
        <v>908</v>
      </c>
      <c r="M498" s="24" t="s">
        <v>908</v>
      </c>
      <c r="N498" s="24"/>
      <c r="P498" s="1" t="str">
        <f t="shared" si="14"/>
        <v>71401004</v>
      </c>
      <c r="Q498" s="263" t="str">
        <f t="shared" si="15"/>
        <v>PM - Fire and Life Safety</v>
      </c>
    </row>
    <row r="499" spans="1:17" x14ac:dyDescent="0.25">
      <c r="A499" s="24" t="s">
        <v>317</v>
      </c>
      <c r="B499" s="24" t="s">
        <v>20</v>
      </c>
      <c r="C499" s="24" t="s">
        <v>54</v>
      </c>
      <c r="D499" s="24" t="s">
        <v>0</v>
      </c>
      <c r="E499" s="24" t="s">
        <v>9</v>
      </c>
      <c r="F499" s="5" t="s">
        <v>397</v>
      </c>
      <c r="G499" s="2" t="s">
        <v>174</v>
      </c>
      <c r="H499" s="2" t="s">
        <v>23</v>
      </c>
      <c r="I499" s="24" t="s">
        <v>908</v>
      </c>
      <c r="J499" s="24" t="s">
        <v>908</v>
      </c>
      <c r="K499" s="24" t="s">
        <v>908</v>
      </c>
      <c r="M499" s="24" t="s">
        <v>908</v>
      </c>
      <c r="N499" s="24"/>
      <c r="P499" s="1" t="str">
        <f t="shared" si="14"/>
        <v>71401005</v>
      </c>
      <c r="Q499" s="263" t="str">
        <f t="shared" si="15"/>
        <v>PM - Hygiene</v>
      </c>
    </row>
    <row r="500" spans="1:17" x14ac:dyDescent="0.25">
      <c r="A500" s="24" t="s">
        <v>317</v>
      </c>
      <c r="B500" s="24" t="s">
        <v>20</v>
      </c>
      <c r="C500" s="24" t="s">
        <v>54</v>
      </c>
      <c r="D500" s="24" t="s">
        <v>0</v>
      </c>
      <c r="E500" s="24" t="s">
        <v>10</v>
      </c>
      <c r="F500" s="5" t="s">
        <v>398</v>
      </c>
      <c r="G500" s="2" t="s">
        <v>174</v>
      </c>
      <c r="H500" s="2" t="s">
        <v>23</v>
      </c>
      <c r="I500" s="24" t="s">
        <v>908</v>
      </c>
      <c r="J500" s="24" t="s">
        <v>908</v>
      </c>
      <c r="K500" s="24" t="s">
        <v>908</v>
      </c>
      <c r="M500" s="24" t="s">
        <v>908</v>
      </c>
      <c r="N500" s="24"/>
      <c r="P500" s="1" t="str">
        <f t="shared" si="14"/>
        <v>71401006</v>
      </c>
      <c r="Q500" s="263" t="str">
        <f t="shared" si="15"/>
        <v>PM - IT Maintenance</v>
      </c>
    </row>
    <row r="501" spans="1:17" x14ac:dyDescent="0.25">
      <c r="A501" s="24" t="s">
        <v>317</v>
      </c>
      <c r="B501" s="24" t="s">
        <v>20</v>
      </c>
      <c r="C501" s="24" t="s">
        <v>54</v>
      </c>
      <c r="D501" s="24" t="s">
        <v>0</v>
      </c>
      <c r="E501" s="24" t="s">
        <v>11</v>
      </c>
      <c r="F501" s="5" t="s">
        <v>399</v>
      </c>
      <c r="G501" s="2" t="s">
        <v>174</v>
      </c>
      <c r="H501" s="2" t="s">
        <v>23</v>
      </c>
      <c r="I501" s="24" t="s">
        <v>908</v>
      </c>
      <c r="J501" s="24" t="s">
        <v>908</v>
      </c>
      <c r="K501" s="24" t="s">
        <v>908</v>
      </c>
      <c r="M501" s="24" t="s">
        <v>908</v>
      </c>
      <c r="N501" s="24"/>
      <c r="P501" s="1" t="str">
        <f t="shared" si="14"/>
        <v>71401007</v>
      </c>
      <c r="Q501" s="263" t="str">
        <f t="shared" si="15"/>
        <v>PM - Air Conditioning</v>
      </c>
    </row>
    <row r="502" spans="1:17" x14ac:dyDescent="0.25">
      <c r="A502" s="24" t="s">
        <v>317</v>
      </c>
      <c r="B502" s="24" t="s">
        <v>20</v>
      </c>
      <c r="C502" s="24" t="s">
        <v>54</v>
      </c>
      <c r="D502" s="24" t="s">
        <v>0</v>
      </c>
      <c r="E502" s="24" t="s">
        <v>13</v>
      </c>
      <c r="F502" s="5" t="s">
        <v>400</v>
      </c>
      <c r="G502" s="2" t="s">
        <v>174</v>
      </c>
      <c r="H502" s="2" t="s">
        <v>23</v>
      </c>
      <c r="I502" s="24" t="s">
        <v>908</v>
      </c>
      <c r="J502" s="24" t="s">
        <v>908</v>
      </c>
      <c r="K502" s="24" t="s">
        <v>908</v>
      </c>
      <c r="M502" s="24" t="s">
        <v>908</v>
      </c>
      <c r="N502" s="24"/>
      <c r="P502" s="1" t="str">
        <f t="shared" si="14"/>
        <v>71401008</v>
      </c>
      <c r="Q502" s="263" t="str">
        <f t="shared" si="15"/>
        <v>PM - Curtains/Draperie</v>
      </c>
    </row>
    <row r="503" spans="1:17" x14ac:dyDescent="0.25">
      <c r="A503" s="24" t="s">
        <v>317</v>
      </c>
      <c r="B503" s="24" t="s">
        <v>20</v>
      </c>
      <c r="C503" s="24" t="s">
        <v>54</v>
      </c>
      <c r="D503" s="24" t="s">
        <v>0</v>
      </c>
      <c r="E503" s="24" t="s">
        <v>15</v>
      </c>
      <c r="F503" s="5" t="s">
        <v>588</v>
      </c>
      <c r="G503" s="2" t="s">
        <v>174</v>
      </c>
      <c r="H503" s="2" t="s">
        <v>23</v>
      </c>
      <c r="I503" s="24" t="s">
        <v>908</v>
      </c>
      <c r="J503" s="24" t="s">
        <v>908</v>
      </c>
      <c r="K503" s="24" t="s">
        <v>908</v>
      </c>
      <c r="M503" s="24" t="s">
        <v>908</v>
      </c>
      <c r="N503" s="24"/>
      <c r="P503" s="1" t="str">
        <f t="shared" si="14"/>
        <v>71401009</v>
      </c>
      <c r="Q503" s="263" t="str">
        <f t="shared" si="15"/>
        <v>PM - Electrical/Mechanical Equipment</v>
      </c>
    </row>
    <row r="504" spans="1:17" x14ac:dyDescent="0.25">
      <c r="A504" s="24" t="s">
        <v>317</v>
      </c>
      <c r="B504" s="24" t="s">
        <v>20</v>
      </c>
      <c r="C504" s="24" t="s">
        <v>54</v>
      </c>
      <c r="D504" s="24" t="s">
        <v>0</v>
      </c>
      <c r="E504" s="24" t="s">
        <v>238</v>
      </c>
      <c r="F504" s="5" t="s">
        <v>401</v>
      </c>
      <c r="G504" s="2" t="s">
        <v>174</v>
      </c>
      <c r="H504" s="2" t="s">
        <v>23</v>
      </c>
      <c r="I504" s="24" t="s">
        <v>908</v>
      </c>
      <c r="J504" s="24" t="s">
        <v>908</v>
      </c>
      <c r="K504" s="24" t="s">
        <v>908</v>
      </c>
      <c r="M504" s="24" t="s">
        <v>908</v>
      </c>
      <c r="N504" s="24"/>
      <c r="P504" s="1" t="str">
        <f t="shared" si="14"/>
        <v>71401010</v>
      </c>
      <c r="Q504" s="263" t="str">
        <f t="shared" si="15"/>
        <v>PM - Elevator</v>
      </c>
    </row>
    <row r="505" spans="1:17" x14ac:dyDescent="0.25">
      <c r="A505" s="24" t="s">
        <v>317</v>
      </c>
      <c r="B505" s="24" t="s">
        <v>20</v>
      </c>
      <c r="C505" s="24" t="s">
        <v>54</v>
      </c>
      <c r="D505" s="24" t="s">
        <v>0</v>
      </c>
      <c r="E505" s="24" t="s">
        <v>240</v>
      </c>
      <c r="F505" s="5" t="s">
        <v>402</v>
      </c>
      <c r="G505" s="2" t="s">
        <v>174</v>
      </c>
      <c r="H505" s="2" t="s">
        <v>23</v>
      </c>
      <c r="I505" s="24" t="s">
        <v>908</v>
      </c>
      <c r="J505" s="24" t="s">
        <v>908</v>
      </c>
      <c r="K505" s="24" t="s">
        <v>908</v>
      </c>
      <c r="M505" s="24" t="s">
        <v>908</v>
      </c>
      <c r="N505" s="24"/>
      <c r="P505" s="1" t="str">
        <f t="shared" si="14"/>
        <v>71401011</v>
      </c>
      <c r="Q505" s="263" t="str">
        <f t="shared" si="15"/>
        <v>PM - Floor/Wall Covering</v>
      </c>
    </row>
    <row r="506" spans="1:17" x14ac:dyDescent="0.25">
      <c r="A506" s="24" t="s">
        <v>317</v>
      </c>
      <c r="B506" s="24" t="s">
        <v>20</v>
      </c>
      <c r="C506" s="24" t="s">
        <v>54</v>
      </c>
      <c r="D506" s="24" t="s">
        <v>0</v>
      </c>
      <c r="E506" s="24" t="s">
        <v>331</v>
      </c>
      <c r="F506" s="5" t="s">
        <v>403</v>
      </c>
      <c r="G506" s="2" t="s">
        <v>174</v>
      </c>
      <c r="H506" s="2" t="s">
        <v>23</v>
      </c>
      <c r="I506" s="24" t="s">
        <v>908</v>
      </c>
      <c r="J506" s="24" t="s">
        <v>908</v>
      </c>
      <c r="K506" s="24" t="s">
        <v>908</v>
      </c>
      <c r="M506" s="24" t="s">
        <v>908</v>
      </c>
      <c r="N506" s="24"/>
      <c r="P506" s="1" t="str">
        <f t="shared" si="14"/>
        <v>71401012</v>
      </c>
      <c r="Q506" s="263" t="str">
        <f t="shared" si="15"/>
        <v>PM - Furniture</v>
      </c>
    </row>
    <row r="507" spans="1:17" x14ac:dyDescent="0.25">
      <c r="A507" s="24" t="s">
        <v>317</v>
      </c>
      <c r="B507" s="24" t="s">
        <v>20</v>
      </c>
      <c r="C507" s="24" t="s">
        <v>54</v>
      </c>
      <c r="D507" s="24" t="s">
        <v>0</v>
      </c>
      <c r="E507" s="24" t="s">
        <v>333</v>
      </c>
      <c r="F507" s="5" t="s">
        <v>404</v>
      </c>
      <c r="G507" s="2" t="s">
        <v>174</v>
      </c>
      <c r="H507" s="2" t="s">
        <v>23</v>
      </c>
      <c r="I507" s="24" t="s">
        <v>908</v>
      </c>
      <c r="J507" s="24" t="s">
        <v>908</v>
      </c>
      <c r="K507" s="24" t="s">
        <v>908</v>
      </c>
      <c r="M507" s="24" t="s">
        <v>908</v>
      </c>
      <c r="N507" s="24"/>
      <c r="P507" s="1" t="str">
        <f t="shared" si="14"/>
        <v>71401013</v>
      </c>
      <c r="Q507" s="263" t="str">
        <f t="shared" si="15"/>
        <v>PM - Generator</v>
      </c>
    </row>
    <row r="508" spans="1:17" x14ac:dyDescent="0.25">
      <c r="A508" s="24" t="s">
        <v>317</v>
      </c>
      <c r="B508" s="24" t="s">
        <v>20</v>
      </c>
      <c r="C508" s="24" t="s">
        <v>54</v>
      </c>
      <c r="D508" s="24" t="s">
        <v>0</v>
      </c>
      <c r="E508" s="24" t="s">
        <v>335</v>
      </c>
      <c r="F508" s="5" t="s">
        <v>405</v>
      </c>
      <c r="G508" s="2" t="s">
        <v>174</v>
      </c>
      <c r="H508" s="2" t="s">
        <v>23</v>
      </c>
      <c r="I508" s="24" t="s">
        <v>908</v>
      </c>
      <c r="J508" s="24" t="s">
        <v>908</v>
      </c>
      <c r="K508" s="24" t="s">
        <v>908</v>
      </c>
      <c r="M508" s="24" t="s">
        <v>908</v>
      </c>
      <c r="N508" s="24"/>
      <c r="P508" s="1" t="str">
        <f t="shared" si="14"/>
        <v>71401014</v>
      </c>
      <c r="Q508" s="263" t="str">
        <f t="shared" si="15"/>
        <v>PM - Grounds/Landscape</v>
      </c>
    </row>
    <row r="509" spans="1:17" x14ac:dyDescent="0.25">
      <c r="A509" s="24" t="s">
        <v>317</v>
      </c>
      <c r="B509" s="24" t="s">
        <v>20</v>
      </c>
      <c r="C509" s="24" t="s">
        <v>54</v>
      </c>
      <c r="D509" s="24" t="s">
        <v>0</v>
      </c>
      <c r="E509" s="24" t="s">
        <v>337</v>
      </c>
      <c r="F509" s="5" t="s">
        <v>406</v>
      </c>
      <c r="G509" s="2" t="s">
        <v>174</v>
      </c>
      <c r="H509" s="2" t="s">
        <v>23</v>
      </c>
      <c r="I509" s="2" t="s">
        <v>907</v>
      </c>
      <c r="J509" s="2" t="s">
        <v>907</v>
      </c>
      <c r="K509" s="2" t="s">
        <v>910</v>
      </c>
      <c r="M509" s="2" t="s">
        <v>907</v>
      </c>
      <c r="N509" s="24"/>
      <c r="P509" s="1" t="str">
        <f t="shared" si="14"/>
        <v>71401015</v>
      </c>
      <c r="Q509" s="263" t="str">
        <f t="shared" si="15"/>
        <v>PM - Kitchen</v>
      </c>
    </row>
    <row r="510" spans="1:17" x14ac:dyDescent="0.25">
      <c r="A510" s="24" t="s">
        <v>317</v>
      </c>
      <c r="B510" s="24" t="s">
        <v>20</v>
      </c>
      <c r="C510" s="24" t="s">
        <v>54</v>
      </c>
      <c r="D510" s="24" t="s">
        <v>0</v>
      </c>
      <c r="E510" s="24" t="s">
        <v>339</v>
      </c>
      <c r="F510" s="5" t="s">
        <v>407</v>
      </c>
      <c r="G510" s="2" t="s">
        <v>174</v>
      </c>
      <c r="H510" s="2" t="s">
        <v>23</v>
      </c>
      <c r="I510" s="2" t="s">
        <v>907</v>
      </c>
      <c r="J510" s="2" t="s">
        <v>907</v>
      </c>
      <c r="K510" s="2" t="s">
        <v>86</v>
      </c>
      <c r="M510" s="2" t="s">
        <v>907</v>
      </c>
      <c r="N510" s="24"/>
      <c r="P510" s="1" t="str">
        <f t="shared" si="14"/>
        <v>71401016</v>
      </c>
      <c r="Q510" s="263" t="str">
        <f t="shared" si="15"/>
        <v>PM - Laundry</v>
      </c>
    </row>
    <row r="511" spans="1:17" x14ac:dyDescent="0.25">
      <c r="A511" s="24" t="s">
        <v>317</v>
      </c>
      <c r="B511" s="24" t="s">
        <v>20</v>
      </c>
      <c r="C511" s="24" t="s">
        <v>54</v>
      </c>
      <c r="D511" s="24" t="s">
        <v>0</v>
      </c>
      <c r="E511" s="24" t="s">
        <v>341</v>
      </c>
      <c r="F511" s="5" t="s">
        <v>408</v>
      </c>
      <c r="G511" s="2" t="s">
        <v>174</v>
      </c>
      <c r="H511" s="2" t="s">
        <v>23</v>
      </c>
      <c r="I511" s="24" t="s">
        <v>908</v>
      </c>
      <c r="J511" s="24" t="s">
        <v>908</v>
      </c>
      <c r="K511" s="24" t="s">
        <v>908</v>
      </c>
      <c r="M511" s="24" t="s">
        <v>908</v>
      </c>
      <c r="N511" s="24"/>
      <c r="P511" s="1" t="str">
        <f t="shared" si="14"/>
        <v>71401017</v>
      </c>
      <c r="Q511" s="263" t="str">
        <f t="shared" si="15"/>
        <v>PM - Neon Signs</v>
      </c>
    </row>
    <row r="512" spans="1:17" x14ac:dyDescent="0.25">
      <c r="A512" s="24" t="s">
        <v>317</v>
      </c>
      <c r="B512" s="24" t="s">
        <v>20</v>
      </c>
      <c r="C512" s="24" t="s">
        <v>54</v>
      </c>
      <c r="D512" s="24" t="s">
        <v>0</v>
      </c>
      <c r="E512" s="24" t="s">
        <v>343</v>
      </c>
      <c r="F512" s="5" t="s">
        <v>409</v>
      </c>
      <c r="G512" s="2" t="s">
        <v>174</v>
      </c>
      <c r="H512" s="2" t="s">
        <v>23</v>
      </c>
      <c r="I512" s="24" t="s">
        <v>908</v>
      </c>
      <c r="J512" s="24" t="s">
        <v>908</v>
      </c>
      <c r="K512" s="24" t="s">
        <v>908</v>
      </c>
      <c r="M512" s="24" t="s">
        <v>908</v>
      </c>
      <c r="N512" s="24"/>
      <c r="P512" s="1" t="str">
        <f t="shared" si="14"/>
        <v>71401018</v>
      </c>
      <c r="Q512" s="263" t="str">
        <f t="shared" si="15"/>
        <v>PM - Painting/Decoration</v>
      </c>
    </row>
    <row r="513" spans="1:17" x14ac:dyDescent="0.25">
      <c r="A513" s="24" t="s">
        <v>317</v>
      </c>
      <c r="B513" s="24" t="s">
        <v>20</v>
      </c>
      <c r="C513" s="24" t="s">
        <v>54</v>
      </c>
      <c r="D513" s="24" t="s">
        <v>0</v>
      </c>
      <c r="E513" s="24" t="s">
        <v>344</v>
      </c>
      <c r="F513" s="5" t="s">
        <v>410</v>
      </c>
      <c r="G513" s="2" t="s">
        <v>174</v>
      </c>
      <c r="H513" s="2" t="s">
        <v>23</v>
      </c>
      <c r="I513" s="24" t="s">
        <v>908</v>
      </c>
      <c r="J513" s="24" t="s">
        <v>908</v>
      </c>
      <c r="K513" s="24" t="s">
        <v>908</v>
      </c>
      <c r="M513" s="24" t="s">
        <v>908</v>
      </c>
      <c r="N513" s="24"/>
      <c r="P513" s="1" t="str">
        <f t="shared" si="14"/>
        <v>71401019</v>
      </c>
      <c r="Q513" s="263" t="str">
        <f t="shared" si="15"/>
        <v>PM - Plumbing/Heating</v>
      </c>
    </row>
    <row r="514" spans="1:17" x14ac:dyDescent="0.25">
      <c r="A514" s="24" t="s">
        <v>317</v>
      </c>
      <c r="B514" s="24" t="s">
        <v>20</v>
      </c>
      <c r="C514" s="24" t="s">
        <v>54</v>
      </c>
      <c r="D514" s="24" t="s">
        <v>0</v>
      </c>
      <c r="E514" s="24" t="s">
        <v>346</v>
      </c>
      <c r="F514" s="5" t="s">
        <v>411</v>
      </c>
      <c r="G514" s="2" t="s">
        <v>174</v>
      </c>
      <c r="H514" s="2" t="s">
        <v>23</v>
      </c>
      <c r="I514" s="24" t="s">
        <v>908</v>
      </c>
      <c r="J514" s="24" t="s">
        <v>908</v>
      </c>
      <c r="K514" s="24" t="s">
        <v>908</v>
      </c>
      <c r="M514" s="24" t="s">
        <v>908</v>
      </c>
      <c r="N514" s="24"/>
      <c r="P514" s="1" t="str">
        <f t="shared" si="14"/>
        <v>71401020</v>
      </c>
      <c r="Q514" s="263" t="str">
        <f t="shared" si="15"/>
        <v>PM - Refrigerator</v>
      </c>
    </row>
    <row r="515" spans="1:17" x14ac:dyDescent="0.25">
      <c r="A515" s="24" t="s">
        <v>317</v>
      </c>
      <c r="B515" s="24" t="s">
        <v>20</v>
      </c>
      <c r="C515" s="24" t="s">
        <v>54</v>
      </c>
      <c r="D515" s="24" t="s">
        <v>0</v>
      </c>
      <c r="E515" s="24" t="s">
        <v>348</v>
      </c>
      <c r="F515" s="5" t="s">
        <v>412</v>
      </c>
      <c r="G515" s="2" t="s">
        <v>174</v>
      </c>
      <c r="H515" s="2" t="s">
        <v>23</v>
      </c>
      <c r="I515" s="2" t="s">
        <v>907</v>
      </c>
      <c r="J515" s="2" t="s">
        <v>910</v>
      </c>
      <c r="K515" s="24" t="s">
        <v>908</v>
      </c>
      <c r="M515" s="2" t="s">
        <v>907</v>
      </c>
      <c r="N515" s="24"/>
      <c r="P515" s="1" t="str">
        <f t="shared" si="14"/>
        <v>71401021</v>
      </c>
      <c r="Q515" s="263" t="str">
        <f t="shared" si="15"/>
        <v>PM - Swimming Pool</v>
      </c>
    </row>
    <row r="516" spans="1:17" x14ac:dyDescent="0.25">
      <c r="A516" s="24" t="s">
        <v>317</v>
      </c>
      <c r="B516" s="24" t="s">
        <v>20</v>
      </c>
      <c r="C516" s="24" t="s">
        <v>54</v>
      </c>
      <c r="D516" s="24" t="s">
        <v>0</v>
      </c>
      <c r="E516" s="24" t="s">
        <v>350</v>
      </c>
      <c r="F516" s="5" t="s">
        <v>413</v>
      </c>
      <c r="G516" s="2" t="s">
        <v>174</v>
      </c>
      <c r="H516" s="2" t="s">
        <v>23</v>
      </c>
      <c r="I516" s="24" t="s">
        <v>908</v>
      </c>
      <c r="J516" s="24" t="s">
        <v>908</v>
      </c>
      <c r="K516" s="24" t="s">
        <v>908</v>
      </c>
      <c r="M516" s="24" t="s">
        <v>908</v>
      </c>
      <c r="N516" s="24"/>
      <c r="P516" s="1" t="str">
        <f t="shared" si="14"/>
        <v>71401022</v>
      </c>
      <c r="Q516" s="263" t="str">
        <f t="shared" si="15"/>
        <v>PM - Vehicle</v>
      </c>
    </row>
    <row r="517" spans="1:17" x14ac:dyDescent="0.25">
      <c r="A517" s="24" t="s">
        <v>317</v>
      </c>
      <c r="B517" s="24" t="s">
        <v>20</v>
      </c>
      <c r="C517" s="24" t="s">
        <v>54</v>
      </c>
      <c r="D517" s="24" t="s">
        <v>0</v>
      </c>
      <c r="E517" s="24" t="s">
        <v>414</v>
      </c>
      <c r="F517" s="5" t="s">
        <v>415</v>
      </c>
      <c r="G517" s="2" t="s">
        <v>174</v>
      </c>
      <c r="H517" s="2" t="s">
        <v>23</v>
      </c>
      <c r="I517" s="24" t="s">
        <v>908</v>
      </c>
      <c r="J517" s="24" t="s">
        <v>908</v>
      </c>
      <c r="K517" s="24" t="s">
        <v>908</v>
      </c>
      <c r="M517" s="24" t="s">
        <v>908</v>
      </c>
      <c r="N517" s="24"/>
      <c r="P517" s="1" t="str">
        <f t="shared" ref="P517:P580" si="16">CONCATENATE(A517,B517,C517,D517,E517)</f>
        <v>71401023</v>
      </c>
      <c r="Q517" s="263" t="str">
        <f t="shared" si="15"/>
        <v>PM - Pest Control</v>
      </c>
    </row>
    <row r="518" spans="1:17" x14ac:dyDescent="0.25">
      <c r="A518" s="24" t="s">
        <v>317</v>
      </c>
      <c r="B518" s="24" t="s">
        <v>20</v>
      </c>
      <c r="C518" s="24" t="s">
        <v>54</v>
      </c>
      <c r="D518" s="24" t="s">
        <v>0</v>
      </c>
      <c r="E518" s="24" t="s">
        <v>416</v>
      </c>
      <c r="F518" s="5" t="s">
        <v>417</v>
      </c>
      <c r="G518" s="2" t="s">
        <v>174</v>
      </c>
      <c r="H518" s="2" t="s">
        <v>23</v>
      </c>
      <c r="I518" s="24" t="s">
        <v>908</v>
      </c>
      <c r="J518" s="24" t="s">
        <v>908</v>
      </c>
      <c r="K518" s="24" t="s">
        <v>908</v>
      </c>
      <c r="M518" s="24" t="s">
        <v>908</v>
      </c>
      <c r="N518" s="24"/>
      <c r="P518" s="1" t="str">
        <f t="shared" si="16"/>
        <v>71401024</v>
      </c>
      <c r="Q518" s="263" t="str">
        <f t="shared" si="15"/>
        <v>PM - Printing &amp; Stationary</v>
      </c>
    </row>
    <row r="519" spans="1:17" x14ac:dyDescent="0.25">
      <c r="A519" s="24" t="s">
        <v>317</v>
      </c>
      <c r="B519" s="24" t="s">
        <v>20</v>
      </c>
      <c r="C519" s="24" t="s">
        <v>54</v>
      </c>
      <c r="D519" s="24" t="s">
        <v>0</v>
      </c>
      <c r="E519" s="24" t="s">
        <v>418</v>
      </c>
      <c r="F519" s="5" t="s">
        <v>419</v>
      </c>
      <c r="G519" s="2" t="s">
        <v>174</v>
      </c>
      <c r="H519" s="2" t="s">
        <v>23</v>
      </c>
      <c r="I519" s="24" t="s">
        <v>908</v>
      </c>
      <c r="J519" s="24" t="s">
        <v>908</v>
      </c>
      <c r="K519" s="24" t="s">
        <v>908</v>
      </c>
      <c r="M519" s="24" t="s">
        <v>908</v>
      </c>
      <c r="N519" s="24"/>
      <c r="P519" s="1" t="str">
        <f t="shared" si="16"/>
        <v>71401025</v>
      </c>
      <c r="Q519" s="263" t="str">
        <f t="shared" si="15"/>
        <v>PM - Tools and Equipment</v>
      </c>
    </row>
    <row r="520" spans="1:17" x14ac:dyDescent="0.25">
      <c r="A520" s="24" t="s">
        <v>317</v>
      </c>
      <c r="B520" s="24" t="s">
        <v>20</v>
      </c>
      <c r="C520" s="24" t="s">
        <v>54</v>
      </c>
      <c r="D520" s="24" t="s">
        <v>0</v>
      </c>
      <c r="E520" s="24" t="s">
        <v>420</v>
      </c>
      <c r="F520" s="5" t="s">
        <v>421</v>
      </c>
      <c r="G520" s="2" t="s">
        <v>174</v>
      </c>
      <c r="H520" s="2" t="s">
        <v>23</v>
      </c>
      <c r="I520" s="24" t="s">
        <v>908</v>
      </c>
      <c r="J520" s="24" t="s">
        <v>908</v>
      </c>
      <c r="K520" s="24" t="s">
        <v>908</v>
      </c>
      <c r="M520" s="24" t="s">
        <v>908</v>
      </c>
      <c r="N520" s="24"/>
      <c r="P520" s="1" t="str">
        <f t="shared" si="16"/>
        <v>71401026</v>
      </c>
      <c r="Q520" s="263" t="str">
        <f t="shared" si="15"/>
        <v>PM - Telephone &amp; Fax</v>
      </c>
    </row>
    <row r="521" spans="1:17" x14ac:dyDescent="0.25">
      <c r="A521" s="24" t="s">
        <v>317</v>
      </c>
      <c r="B521" s="24" t="s">
        <v>20</v>
      </c>
      <c r="C521" s="24" t="s">
        <v>54</v>
      </c>
      <c r="D521" s="24" t="s">
        <v>0</v>
      </c>
      <c r="E521" s="24" t="s">
        <v>422</v>
      </c>
      <c r="F521" s="5" t="s">
        <v>423</v>
      </c>
      <c r="G521" s="2" t="s">
        <v>174</v>
      </c>
      <c r="H521" s="2" t="s">
        <v>23</v>
      </c>
      <c r="I521" s="24" t="s">
        <v>908</v>
      </c>
      <c r="J521" s="24" t="s">
        <v>908</v>
      </c>
      <c r="K521" s="24" t="s">
        <v>908</v>
      </c>
      <c r="M521" s="24" t="s">
        <v>908</v>
      </c>
      <c r="N521" s="24"/>
      <c r="P521" s="1" t="str">
        <f t="shared" si="16"/>
        <v>71401027</v>
      </c>
      <c r="Q521" s="263" t="str">
        <f t="shared" ref="Q521:Q584" si="17">F521</f>
        <v>PM - Training</v>
      </c>
    </row>
    <row r="522" spans="1:17" x14ac:dyDescent="0.25">
      <c r="A522" s="24" t="s">
        <v>317</v>
      </c>
      <c r="B522" s="24" t="s">
        <v>20</v>
      </c>
      <c r="C522" s="24" t="s">
        <v>54</v>
      </c>
      <c r="D522" s="24" t="s">
        <v>0</v>
      </c>
      <c r="E522" s="24" t="s">
        <v>424</v>
      </c>
      <c r="F522" s="5" t="s">
        <v>426</v>
      </c>
      <c r="G522" s="2" t="s">
        <v>174</v>
      </c>
      <c r="H522" s="2" t="s">
        <v>23</v>
      </c>
      <c r="I522" s="24" t="s">
        <v>908</v>
      </c>
      <c r="J522" s="24" t="s">
        <v>908</v>
      </c>
      <c r="K522" s="24" t="s">
        <v>908</v>
      </c>
      <c r="M522" s="24" t="s">
        <v>908</v>
      </c>
      <c r="N522" s="24"/>
      <c r="P522" s="1" t="str">
        <f t="shared" si="16"/>
        <v>71401028</v>
      </c>
      <c r="Q522" s="263" t="str">
        <f t="shared" si="17"/>
        <v>PM - Uniform Laundry</v>
      </c>
    </row>
    <row r="523" spans="1:17" x14ac:dyDescent="0.25">
      <c r="A523" s="24" t="s">
        <v>317</v>
      </c>
      <c r="B523" s="24" t="s">
        <v>20</v>
      </c>
      <c r="C523" s="24" t="s">
        <v>54</v>
      </c>
      <c r="D523" s="24" t="s">
        <v>0</v>
      </c>
      <c r="E523" s="24" t="s">
        <v>425</v>
      </c>
      <c r="F523" s="5" t="s">
        <v>428</v>
      </c>
      <c r="G523" s="2" t="s">
        <v>174</v>
      </c>
      <c r="H523" s="2" t="s">
        <v>23</v>
      </c>
      <c r="I523" s="24" t="s">
        <v>908</v>
      </c>
      <c r="J523" s="24" t="s">
        <v>908</v>
      </c>
      <c r="K523" s="24" t="s">
        <v>908</v>
      </c>
      <c r="M523" s="24" t="s">
        <v>908</v>
      </c>
      <c r="N523" s="24"/>
      <c r="P523" s="1" t="str">
        <f t="shared" si="16"/>
        <v>71401029</v>
      </c>
      <c r="Q523" s="263" t="str">
        <f t="shared" si="17"/>
        <v>PM - Waste Removal</v>
      </c>
    </row>
    <row r="524" spans="1:17" x14ac:dyDescent="0.25">
      <c r="A524" s="24" t="s">
        <v>317</v>
      </c>
      <c r="B524" s="24" t="s">
        <v>20</v>
      </c>
      <c r="C524" s="24" t="s">
        <v>54</v>
      </c>
      <c r="D524" s="24" t="s">
        <v>0</v>
      </c>
      <c r="E524" s="24" t="s">
        <v>427</v>
      </c>
      <c r="F524" s="5" t="s">
        <v>430</v>
      </c>
      <c r="G524" s="2" t="s">
        <v>174</v>
      </c>
      <c r="H524" s="2" t="s">
        <v>23</v>
      </c>
      <c r="I524" s="24" t="s">
        <v>908</v>
      </c>
      <c r="J524" s="24" t="s">
        <v>908</v>
      </c>
      <c r="K524" s="24" t="s">
        <v>908</v>
      </c>
      <c r="M524" s="24" t="s">
        <v>908</v>
      </c>
      <c r="N524" s="24"/>
      <c r="P524" s="1" t="str">
        <f t="shared" si="16"/>
        <v>71401030</v>
      </c>
      <c r="Q524" s="263" t="str">
        <f t="shared" si="17"/>
        <v>PM - Engineering Supplies</v>
      </c>
    </row>
    <row r="525" spans="1:17" x14ac:dyDescent="0.25">
      <c r="A525" s="24" t="s">
        <v>317</v>
      </c>
      <c r="B525" s="24" t="s">
        <v>20</v>
      </c>
      <c r="C525" s="24" t="s">
        <v>54</v>
      </c>
      <c r="D525" s="24" t="s">
        <v>0</v>
      </c>
      <c r="E525" s="24" t="s">
        <v>429</v>
      </c>
      <c r="F525" s="5" t="s">
        <v>431</v>
      </c>
      <c r="G525" s="24" t="s">
        <v>174</v>
      </c>
      <c r="H525" s="2" t="s">
        <v>23</v>
      </c>
      <c r="I525" s="24" t="s">
        <v>908</v>
      </c>
      <c r="J525" s="24" t="s">
        <v>908</v>
      </c>
      <c r="K525" s="24" t="s">
        <v>908</v>
      </c>
      <c r="M525" s="24" t="s">
        <v>908</v>
      </c>
      <c r="N525" s="24"/>
      <c r="P525" s="1" t="str">
        <f t="shared" si="16"/>
        <v>71401031</v>
      </c>
      <c r="Q525" s="263" t="str">
        <f t="shared" si="17"/>
        <v>PM - Non Capitalized Asset</v>
      </c>
    </row>
    <row r="526" spans="1:17" x14ac:dyDescent="0.25">
      <c r="A526" s="24" t="s">
        <v>317</v>
      </c>
      <c r="B526" s="24" t="s">
        <v>20</v>
      </c>
      <c r="C526" s="24" t="s">
        <v>54</v>
      </c>
      <c r="D526" s="24" t="s">
        <v>0</v>
      </c>
      <c r="E526" s="24" t="s">
        <v>865</v>
      </c>
      <c r="F526" s="5" t="s">
        <v>866</v>
      </c>
      <c r="G526" s="2" t="s">
        <v>174</v>
      </c>
      <c r="H526" s="2" t="s">
        <v>23</v>
      </c>
      <c r="I526" s="24" t="s">
        <v>908</v>
      </c>
      <c r="J526" s="24" t="s">
        <v>908</v>
      </c>
      <c r="K526" s="24" t="s">
        <v>908</v>
      </c>
      <c r="M526" s="24" t="s">
        <v>908</v>
      </c>
      <c r="N526" s="24"/>
      <c r="P526" s="1" t="str">
        <f t="shared" si="16"/>
        <v>71401032</v>
      </c>
      <c r="Q526" s="263" t="str">
        <f t="shared" si="17"/>
        <v>PM - Traveling</v>
      </c>
    </row>
    <row r="527" spans="1:17" x14ac:dyDescent="0.25">
      <c r="A527" s="24" t="s">
        <v>317</v>
      </c>
      <c r="B527" s="24" t="s">
        <v>20</v>
      </c>
      <c r="C527" s="24" t="s">
        <v>54</v>
      </c>
      <c r="D527" s="24" t="s">
        <v>0</v>
      </c>
      <c r="E527" s="24" t="s">
        <v>867</v>
      </c>
      <c r="F527" s="5" t="s">
        <v>868</v>
      </c>
      <c r="G527" s="2" t="s">
        <v>174</v>
      </c>
      <c r="H527" s="2" t="s">
        <v>23</v>
      </c>
      <c r="I527" s="24" t="s">
        <v>908</v>
      </c>
      <c r="J527" s="24" t="s">
        <v>908</v>
      </c>
      <c r="K527" s="24" t="s">
        <v>908</v>
      </c>
      <c r="M527" s="24" t="s">
        <v>908</v>
      </c>
      <c r="N527" s="24"/>
      <c r="P527" s="1" t="str">
        <f t="shared" si="16"/>
        <v>71401033</v>
      </c>
      <c r="Q527" s="263" t="str">
        <f t="shared" si="17"/>
        <v>PM - Entertainment</v>
      </c>
    </row>
    <row r="528" spans="1:17" x14ac:dyDescent="0.25">
      <c r="A528" s="24" t="s">
        <v>317</v>
      </c>
      <c r="B528" s="24" t="s">
        <v>20</v>
      </c>
      <c r="C528" s="24" t="s">
        <v>54</v>
      </c>
      <c r="D528" s="24" t="s">
        <v>0</v>
      </c>
      <c r="E528" s="24" t="s">
        <v>43</v>
      </c>
      <c r="F528" s="5" t="s">
        <v>432</v>
      </c>
      <c r="G528" s="2" t="s">
        <v>174</v>
      </c>
      <c r="H528" s="2" t="s">
        <v>23</v>
      </c>
      <c r="I528" s="24" t="s">
        <v>908</v>
      </c>
      <c r="J528" s="24" t="s">
        <v>908</v>
      </c>
      <c r="K528" s="24" t="s">
        <v>908</v>
      </c>
      <c r="M528" s="24" t="s">
        <v>908</v>
      </c>
      <c r="N528" s="24"/>
      <c r="P528" s="1" t="str">
        <f t="shared" si="16"/>
        <v>71401999</v>
      </c>
      <c r="Q528" s="263" t="str">
        <f t="shared" si="17"/>
        <v>PM - Other Operating Expenses</v>
      </c>
    </row>
    <row r="529" spans="1:17" x14ac:dyDescent="0.25">
      <c r="A529" s="20" t="s">
        <v>317</v>
      </c>
      <c r="B529" s="20" t="s">
        <v>20</v>
      </c>
      <c r="C529" s="20" t="s">
        <v>54</v>
      </c>
      <c r="D529" s="20" t="s">
        <v>2</v>
      </c>
      <c r="E529" s="20"/>
      <c r="F529" s="22" t="s">
        <v>641</v>
      </c>
      <c r="G529" s="23" t="s">
        <v>174</v>
      </c>
      <c r="H529" s="23" t="s">
        <v>23</v>
      </c>
      <c r="I529" s="23" t="s">
        <v>907</v>
      </c>
      <c r="J529" s="23" t="s">
        <v>907</v>
      </c>
      <c r="K529" s="23" t="s">
        <v>907</v>
      </c>
      <c r="M529" s="23" t="s">
        <v>907</v>
      </c>
      <c r="N529" s="23"/>
      <c r="P529" s="1" t="str">
        <f t="shared" si="16"/>
        <v>71402</v>
      </c>
      <c r="Q529" s="263" t="str">
        <f t="shared" si="17"/>
        <v>Engineering - Provision for Replacement</v>
      </c>
    </row>
    <row r="530" spans="1:17" x14ac:dyDescent="0.25">
      <c r="A530" s="24" t="s">
        <v>317</v>
      </c>
      <c r="B530" s="24" t="s">
        <v>20</v>
      </c>
      <c r="C530" s="24" t="s">
        <v>54</v>
      </c>
      <c r="D530" s="24" t="s">
        <v>2</v>
      </c>
      <c r="E530" s="24" t="s">
        <v>1</v>
      </c>
      <c r="F530" s="5" t="s">
        <v>570</v>
      </c>
      <c r="G530" s="2" t="s">
        <v>174</v>
      </c>
      <c r="H530" s="2" t="s">
        <v>23</v>
      </c>
      <c r="I530" s="24" t="s">
        <v>908</v>
      </c>
      <c r="J530" s="24" t="s">
        <v>908</v>
      </c>
      <c r="K530" s="24" t="s">
        <v>908</v>
      </c>
      <c r="M530" s="24" t="s">
        <v>908</v>
      </c>
      <c r="N530" s="24"/>
      <c r="P530" s="1" t="str">
        <f t="shared" si="16"/>
        <v>71402001</v>
      </c>
      <c r="Q530" s="263" t="str">
        <f t="shared" si="17"/>
        <v>PM - Provision for Replacement Uniform</v>
      </c>
    </row>
    <row r="531" spans="1:17" x14ac:dyDescent="0.25">
      <c r="A531" s="20" t="s">
        <v>317</v>
      </c>
      <c r="B531" s="20" t="s">
        <v>20</v>
      </c>
      <c r="C531" s="20" t="s">
        <v>54</v>
      </c>
      <c r="D531" s="21" t="s">
        <v>4</v>
      </c>
      <c r="E531" s="20"/>
      <c r="F531" s="22" t="s">
        <v>433</v>
      </c>
      <c r="G531" s="23" t="s">
        <v>174</v>
      </c>
      <c r="H531" s="23" t="s">
        <v>23</v>
      </c>
      <c r="I531" s="23" t="s">
        <v>907</v>
      </c>
      <c r="J531" s="23" t="s">
        <v>907</v>
      </c>
      <c r="K531" s="23" t="s">
        <v>907</v>
      </c>
      <c r="M531" s="23" t="s">
        <v>907</v>
      </c>
      <c r="N531" s="23"/>
      <c r="P531" s="1" t="str">
        <f t="shared" si="16"/>
        <v>71403</v>
      </c>
      <c r="Q531" s="263" t="str">
        <f t="shared" si="17"/>
        <v>Energy Cost - Operating Expenses</v>
      </c>
    </row>
    <row r="532" spans="1:17" x14ac:dyDescent="0.25">
      <c r="A532" s="24" t="s">
        <v>317</v>
      </c>
      <c r="B532" s="24" t="s">
        <v>20</v>
      </c>
      <c r="C532" s="24" t="s">
        <v>54</v>
      </c>
      <c r="D532" s="24" t="s">
        <v>4</v>
      </c>
      <c r="E532" s="2" t="s">
        <v>1</v>
      </c>
      <c r="F532" s="5" t="s">
        <v>434</v>
      </c>
      <c r="G532" s="2" t="s">
        <v>174</v>
      </c>
      <c r="H532" s="2" t="s">
        <v>23</v>
      </c>
      <c r="I532" s="24" t="s">
        <v>908</v>
      </c>
      <c r="J532" s="24" t="s">
        <v>908</v>
      </c>
      <c r="K532" s="24" t="s">
        <v>908</v>
      </c>
      <c r="M532" s="24" t="s">
        <v>908</v>
      </c>
      <c r="N532" s="24"/>
      <c r="P532" s="1" t="str">
        <f t="shared" si="16"/>
        <v>71403001</v>
      </c>
      <c r="Q532" s="263" t="str">
        <f t="shared" si="17"/>
        <v>EC - Electricity</v>
      </c>
    </row>
    <row r="533" spans="1:17" x14ac:dyDescent="0.25">
      <c r="A533" s="24" t="s">
        <v>317</v>
      </c>
      <c r="B533" s="24" t="s">
        <v>20</v>
      </c>
      <c r="C533" s="24" t="s">
        <v>54</v>
      </c>
      <c r="D533" s="24" t="s">
        <v>4</v>
      </c>
      <c r="E533" s="2" t="s">
        <v>3</v>
      </c>
      <c r="F533" s="5" t="s">
        <v>435</v>
      </c>
      <c r="G533" s="2" t="s">
        <v>174</v>
      </c>
      <c r="H533" s="2" t="s">
        <v>23</v>
      </c>
      <c r="I533" s="24" t="s">
        <v>908</v>
      </c>
      <c r="J533" s="24" t="s">
        <v>908</v>
      </c>
      <c r="K533" s="24" t="s">
        <v>908</v>
      </c>
      <c r="M533" s="24" t="s">
        <v>908</v>
      </c>
      <c r="N533" s="24"/>
      <c r="P533" s="1" t="str">
        <f t="shared" si="16"/>
        <v>71403002</v>
      </c>
      <c r="Q533" s="263" t="str">
        <f t="shared" si="17"/>
        <v>EC - Fuel</v>
      </c>
    </row>
    <row r="534" spans="1:17" x14ac:dyDescent="0.25">
      <c r="A534" s="24" t="s">
        <v>317</v>
      </c>
      <c r="B534" s="24" t="s">
        <v>20</v>
      </c>
      <c r="C534" s="24" t="s">
        <v>54</v>
      </c>
      <c r="D534" s="24" t="s">
        <v>4</v>
      </c>
      <c r="E534" s="2" t="s">
        <v>5</v>
      </c>
      <c r="F534" s="5" t="s">
        <v>436</v>
      </c>
      <c r="G534" s="2" t="s">
        <v>174</v>
      </c>
      <c r="H534" s="2" t="s">
        <v>23</v>
      </c>
      <c r="I534" s="24" t="s">
        <v>908</v>
      </c>
      <c r="J534" s="24" t="s">
        <v>908</v>
      </c>
      <c r="K534" s="24" t="s">
        <v>908</v>
      </c>
      <c r="M534" s="24" t="s">
        <v>908</v>
      </c>
      <c r="N534" s="24"/>
      <c r="P534" s="1" t="str">
        <f t="shared" si="16"/>
        <v>71403003</v>
      </c>
      <c r="Q534" s="263" t="str">
        <f t="shared" si="17"/>
        <v>EC - Water and Sewage</v>
      </c>
    </row>
    <row r="535" spans="1:17" x14ac:dyDescent="0.25">
      <c r="A535" s="24" t="s">
        <v>317</v>
      </c>
      <c r="B535" s="24" t="s">
        <v>20</v>
      </c>
      <c r="C535" s="24" t="s">
        <v>54</v>
      </c>
      <c r="D535" s="24" t="s">
        <v>4</v>
      </c>
      <c r="E535" s="2" t="s">
        <v>7</v>
      </c>
      <c r="F535" s="5" t="s">
        <v>869</v>
      </c>
      <c r="G535" s="2" t="s">
        <v>174</v>
      </c>
      <c r="H535" s="2" t="s">
        <v>23</v>
      </c>
      <c r="I535" s="2" t="s">
        <v>910</v>
      </c>
      <c r="J535" s="2" t="s">
        <v>910</v>
      </c>
      <c r="K535" s="2" t="s">
        <v>910</v>
      </c>
      <c r="M535" s="2" t="s">
        <v>907</v>
      </c>
      <c r="N535" s="24"/>
      <c r="P535" s="1" t="str">
        <f t="shared" si="16"/>
        <v>71403004</v>
      </c>
      <c r="Q535" s="263" t="str">
        <f t="shared" si="17"/>
        <v>EC - Utilities Space Rented</v>
      </c>
    </row>
    <row r="536" spans="1:17" x14ac:dyDescent="0.25">
      <c r="A536" s="16" t="s">
        <v>317</v>
      </c>
      <c r="B536" s="16" t="s">
        <v>20</v>
      </c>
      <c r="C536" s="16" t="s">
        <v>58</v>
      </c>
      <c r="D536" s="16"/>
      <c r="E536" s="16"/>
      <c r="F536" s="18" t="s">
        <v>437</v>
      </c>
      <c r="G536" s="19" t="s">
        <v>174</v>
      </c>
      <c r="H536" s="19" t="s">
        <v>23</v>
      </c>
      <c r="I536" s="19" t="s">
        <v>907</v>
      </c>
      <c r="J536" s="19" t="s">
        <v>907</v>
      </c>
      <c r="K536" s="19" t="s">
        <v>907</v>
      </c>
      <c r="M536" s="19" t="s">
        <v>907</v>
      </c>
      <c r="N536" s="19"/>
      <c r="P536" s="1" t="str">
        <f t="shared" si="16"/>
        <v>715</v>
      </c>
      <c r="Q536" s="263" t="str">
        <f t="shared" si="17"/>
        <v>Sales &amp; Marketing - Operating Expenses</v>
      </c>
    </row>
    <row r="537" spans="1:17" x14ac:dyDescent="0.25">
      <c r="A537" s="20" t="s">
        <v>317</v>
      </c>
      <c r="B537" s="20" t="s">
        <v>20</v>
      </c>
      <c r="C537" s="20" t="s">
        <v>58</v>
      </c>
      <c r="D537" s="21" t="s">
        <v>0</v>
      </c>
      <c r="E537" s="20"/>
      <c r="F537" s="22" t="s">
        <v>572</v>
      </c>
      <c r="G537" s="23" t="s">
        <v>174</v>
      </c>
      <c r="H537" s="23" t="s">
        <v>23</v>
      </c>
      <c r="I537" s="23" t="s">
        <v>907</v>
      </c>
      <c r="J537" s="23" t="s">
        <v>907</v>
      </c>
      <c r="K537" s="23" t="s">
        <v>907</v>
      </c>
      <c r="M537" s="23" t="s">
        <v>907</v>
      </c>
      <c r="N537" s="23"/>
      <c r="P537" s="1" t="str">
        <f t="shared" si="16"/>
        <v>71501</v>
      </c>
      <c r="Q537" s="263" t="str">
        <f t="shared" si="17"/>
        <v>Sales &amp; Marketing - General Operating Expenses</v>
      </c>
    </row>
    <row r="538" spans="1:17" x14ac:dyDescent="0.25">
      <c r="A538" s="24" t="s">
        <v>317</v>
      </c>
      <c r="B538" s="24" t="s">
        <v>20</v>
      </c>
      <c r="C538" s="24" t="s">
        <v>58</v>
      </c>
      <c r="D538" s="24" t="s">
        <v>0</v>
      </c>
      <c r="E538" s="24" t="s">
        <v>1</v>
      </c>
      <c r="F538" s="5" t="s">
        <v>438</v>
      </c>
      <c r="G538" s="2" t="s">
        <v>174</v>
      </c>
      <c r="H538" s="2" t="s">
        <v>23</v>
      </c>
      <c r="I538" s="24" t="s">
        <v>908</v>
      </c>
      <c r="J538" s="24" t="s">
        <v>908</v>
      </c>
      <c r="K538" s="24" t="s">
        <v>908</v>
      </c>
      <c r="M538" s="24" t="s">
        <v>908</v>
      </c>
      <c r="N538" s="24"/>
      <c r="P538" s="1" t="str">
        <f t="shared" si="16"/>
        <v>71501001</v>
      </c>
      <c r="Q538" s="263" t="str">
        <f t="shared" si="17"/>
        <v>SM - Advertising</v>
      </c>
    </row>
    <row r="539" spans="1:17" x14ac:dyDescent="0.25">
      <c r="A539" s="24" t="s">
        <v>317</v>
      </c>
      <c r="B539" s="24" t="s">
        <v>20</v>
      </c>
      <c r="C539" s="24" t="s">
        <v>58</v>
      </c>
      <c r="D539" s="24" t="s">
        <v>0</v>
      </c>
      <c r="E539" s="24" t="s">
        <v>3</v>
      </c>
      <c r="F539" s="5" t="s">
        <v>439</v>
      </c>
      <c r="G539" s="2" t="s">
        <v>174</v>
      </c>
      <c r="H539" s="2" t="s">
        <v>23</v>
      </c>
      <c r="I539" s="24" t="s">
        <v>908</v>
      </c>
      <c r="J539" s="24" t="s">
        <v>908</v>
      </c>
      <c r="K539" s="24" t="s">
        <v>908</v>
      </c>
      <c r="M539" s="24" t="s">
        <v>908</v>
      </c>
      <c r="N539" s="24"/>
      <c r="P539" s="1" t="str">
        <f t="shared" si="16"/>
        <v>71501002</v>
      </c>
      <c r="Q539" s="263" t="str">
        <f t="shared" si="17"/>
        <v>SM - Complimentary Guest</v>
      </c>
    </row>
    <row r="540" spans="1:17" x14ac:dyDescent="0.25">
      <c r="A540" s="24" t="s">
        <v>317</v>
      </c>
      <c r="B540" s="24" t="s">
        <v>20</v>
      </c>
      <c r="C540" s="24" t="s">
        <v>58</v>
      </c>
      <c r="D540" s="24" t="s">
        <v>0</v>
      </c>
      <c r="E540" s="24" t="s">
        <v>5</v>
      </c>
      <c r="F540" s="5" t="s">
        <v>440</v>
      </c>
      <c r="G540" s="2" t="s">
        <v>174</v>
      </c>
      <c r="H540" s="2" t="s">
        <v>23</v>
      </c>
      <c r="I540" s="24" t="s">
        <v>908</v>
      </c>
      <c r="J540" s="24" t="s">
        <v>908</v>
      </c>
      <c r="K540" s="24" t="s">
        <v>908</v>
      </c>
      <c r="M540" s="24" t="s">
        <v>908</v>
      </c>
      <c r="N540" s="24"/>
      <c r="P540" s="1" t="str">
        <f t="shared" si="16"/>
        <v>71501003</v>
      </c>
      <c r="Q540" s="263" t="str">
        <f t="shared" si="17"/>
        <v>SM - Corporate Support Services</v>
      </c>
    </row>
    <row r="541" spans="1:17" x14ac:dyDescent="0.25">
      <c r="A541" s="24" t="s">
        <v>317</v>
      </c>
      <c r="B541" s="24" t="s">
        <v>20</v>
      </c>
      <c r="C541" s="24" t="s">
        <v>58</v>
      </c>
      <c r="D541" s="24" t="s">
        <v>0</v>
      </c>
      <c r="E541" s="24" t="s">
        <v>7</v>
      </c>
      <c r="F541" s="5" t="s">
        <v>441</v>
      </c>
      <c r="G541" s="2" t="s">
        <v>174</v>
      </c>
      <c r="H541" s="2" t="s">
        <v>23</v>
      </c>
      <c r="I541" s="24" t="s">
        <v>908</v>
      </c>
      <c r="J541" s="24" t="s">
        <v>908</v>
      </c>
      <c r="K541" s="24" t="s">
        <v>908</v>
      </c>
      <c r="M541" s="24" t="s">
        <v>908</v>
      </c>
      <c r="N541" s="24"/>
      <c r="P541" s="1" t="str">
        <f t="shared" si="16"/>
        <v>71501004</v>
      </c>
      <c r="Q541" s="263" t="str">
        <f t="shared" si="17"/>
        <v>SM - Direct Mail</v>
      </c>
    </row>
    <row r="542" spans="1:17" x14ac:dyDescent="0.25">
      <c r="A542" s="24" t="s">
        <v>317</v>
      </c>
      <c r="B542" s="24" t="s">
        <v>20</v>
      </c>
      <c r="C542" s="24" t="s">
        <v>58</v>
      </c>
      <c r="D542" s="24" t="s">
        <v>0</v>
      </c>
      <c r="E542" s="24" t="s">
        <v>9</v>
      </c>
      <c r="F542" s="5" t="s">
        <v>442</v>
      </c>
      <c r="G542" s="2" t="s">
        <v>174</v>
      </c>
      <c r="H542" s="2" t="s">
        <v>23</v>
      </c>
      <c r="I542" s="24" t="s">
        <v>908</v>
      </c>
      <c r="J542" s="24" t="s">
        <v>908</v>
      </c>
      <c r="K542" s="24" t="s">
        <v>908</v>
      </c>
      <c r="M542" s="24" t="s">
        <v>908</v>
      </c>
      <c r="N542" s="24"/>
      <c r="P542" s="1" t="str">
        <f t="shared" si="16"/>
        <v>71501005</v>
      </c>
      <c r="Q542" s="263" t="str">
        <f t="shared" si="17"/>
        <v>SM - Due &amp; Subscription</v>
      </c>
    </row>
    <row r="543" spans="1:17" x14ac:dyDescent="0.25">
      <c r="A543" s="24" t="s">
        <v>317</v>
      </c>
      <c r="B543" s="24" t="s">
        <v>20</v>
      </c>
      <c r="C543" s="24" t="s">
        <v>58</v>
      </c>
      <c r="D543" s="24" t="s">
        <v>0</v>
      </c>
      <c r="E543" s="24" t="s">
        <v>10</v>
      </c>
      <c r="F543" s="5" t="s">
        <v>443</v>
      </c>
      <c r="G543" s="2" t="s">
        <v>174</v>
      </c>
      <c r="H543" s="2" t="s">
        <v>23</v>
      </c>
      <c r="I543" s="24" t="s">
        <v>908</v>
      </c>
      <c r="J543" s="24" t="s">
        <v>908</v>
      </c>
      <c r="K543" s="24" t="s">
        <v>908</v>
      </c>
      <c r="M543" s="24" t="s">
        <v>908</v>
      </c>
      <c r="N543" s="24"/>
      <c r="P543" s="1" t="str">
        <f t="shared" si="16"/>
        <v>71501006</v>
      </c>
      <c r="Q543" s="263" t="str">
        <f t="shared" si="17"/>
        <v>SM - Entertainment</v>
      </c>
    </row>
    <row r="544" spans="1:17" x14ac:dyDescent="0.25">
      <c r="A544" s="24" t="s">
        <v>317</v>
      </c>
      <c r="B544" s="24" t="s">
        <v>20</v>
      </c>
      <c r="C544" s="24" t="s">
        <v>58</v>
      </c>
      <c r="D544" s="24" t="s">
        <v>0</v>
      </c>
      <c r="E544" s="24" t="s">
        <v>11</v>
      </c>
      <c r="F544" s="5" t="s">
        <v>870</v>
      </c>
      <c r="G544" s="2" t="s">
        <v>174</v>
      </c>
      <c r="H544" s="2" t="s">
        <v>23</v>
      </c>
      <c r="I544" s="24" t="s">
        <v>908</v>
      </c>
      <c r="J544" s="24" t="s">
        <v>908</v>
      </c>
      <c r="K544" s="24" t="s">
        <v>908</v>
      </c>
      <c r="M544" s="24" t="s">
        <v>908</v>
      </c>
      <c r="N544" s="24"/>
      <c r="P544" s="1" t="str">
        <f t="shared" si="16"/>
        <v>71501007</v>
      </c>
      <c r="Q544" s="263" t="str">
        <f t="shared" si="17"/>
        <v>SM - Trade Show &amp; Publication</v>
      </c>
    </row>
    <row r="545" spans="1:17" x14ac:dyDescent="0.25">
      <c r="A545" s="24" t="s">
        <v>317</v>
      </c>
      <c r="B545" s="24" t="s">
        <v>20</v>
      </c>
      <c r="C545" s="24" t="s">
        <v>58</v>
      </c>
      <c r="D545" s="24" t="s">
        <v>0</v>
      </c>
      <c r="E545" s="24" t="s">
        <v>13</v>
      </c>
      <c r="F545" s="5" t="s">
        <v>444</v>
      </c>
      <c r="G545" s="2" t="s">
        <v>174</v>
      </c>
      <c r="H545" s="2" t="s">
        <v>23</v>
      </c>
      <c r="I545" s="24" t="s">
        <v>908</v>
      </c>
      <c r="J545" s="24" t="s">
        <v>908</v>
      </c>
      <c r="K545" s="24" t="s">
        <v>908</v>
      </c>
      <c r="M545" s="24" t="s">
        <v>908</v>
      </c>
      <c r="N545" s="24"/>
      <c r="P545" s="1" t="str">
        <f t="shared" si="16"/>
        <v>71501008</v>
      </c>
      <c r="Q545" s="263" t="str">
        <f t="shared" si="17"/>
        <v>SM - In House Graphic</v>
      </c>
    </row>
    <row r="546" spans="1:17" x14ac:dyDescent="0.25">
      <c r="A546" s="24" t="s">
        <v>317</v>
      </c>
      <c r="B546" s="24" t="s">
        <v>20</v>
      </c>
      <c r="C546" s="24" t="s">
        <v>58</v>
      </c>
      <c r="D546" s="24" t="s">
        <v>0</v>
      </c>
      <c r="E546" s="24" t="s">
        <v>15</v>
      </c>
      <c r="F546" s="5" t="s">
        <v>445</v>
      </c>
      <c r="G546" s="2" t="s">
        <v>174</v>
      </c>
      <c r="H546" s="2" t="s">
        <v>23</v>
      </c>
      <c r="I546" s="24" t="s">
        <v>908</v>
      </c>
      <c r="J546" s="24" t="s">
        <v>908</v>
      </c>
      <c r="K546" s="24" t="s">
        <v>908</v>
      </c>
      <c r="M546" s="24" t="s">
        <v>908</v>
      </c>
      <c r="N546" s="24"/>
      <c r="P546" s="1" t="str">
        <f t="shared" si="16"/>
        <v>71501009</v>
      </c>
      <c r="Q546" s="263" t="str">
        <f t="shared" si="17"/>
        <v>SM - Internet</v>
      </c>
    </row>
    <row r="547" spans="1:17" x14ac:dyDescent="0.25">
      <c r="A547" s="24" t="s">
        <v>317</v>
      </c>
      <c r="B547" s="24" t="s">
        <v>20</v>
      </c>
      <c r="C547" s="24" t="s">
        <v>58</v>
      </c>
      <c r="D547" s="24" t="s">
        <v>0</v>
      </c>
      <c r="E547" s="24" t="s">
        <v>238</v>
      </c>
      <c r="F547" s="5" t="s">
        <v>446</v>
      </c>
      <c r="G547" s="2" t="s">
        <v>174</v>
      </c>
      <c r="H547" s="2" t="s">
        <v>23</v>
      </c>
      <c r="I547" s="24" t="s">
        <v>908</v>
      </c>
      <c r="J547" s="24" t="s">
        <v>908</v>
      </c>
      <c r="K547" s="24" t="s">
        <v>908</v>
      </c>
      <c r="M547" s="24" t="s">
        <v>908</v>
      </c>
      <c r="N547" s="24"/>
      <c r="P547" s="1" t="str">
        <f t="shared" si="16"/>
        <v>71501010</v>
      </c>
      <c r="Q547" s="263" t="str">
        <f t="shared" si="17"/>
        <v>SM - IT Maintenance</v>
      </c>
    </row>
    <row r="548" spans="1:17" x14ac:dyDescent="0.25">
      <c r="A548" s="24" t="s">
        <v>317</v>
      </c>
      <c r="B548" s="24" t="s">
        <v>20</v>
      </c>
      <c r="C548" s="24" t="s">
        <v>58</v>
      </c>
      <c r="D548" s="24" t="s">
        <v>0</v>
      </c>
      <c r="E548" s="24" t="s">
        <v>240</v>
      </c>
      <c r="F548" s="5" t="s">
        <v>871</v>
      </c>
      <c r="G548" s="2" t="s">
        <v>174</v>
      </c>
      <c r="H548" s="2" t="s">
        <v>23</v>
      </c>
      <c r="I548" s="24" t="s">
        <v>908</v>
      </c>
      <c r="J548" s="24" t="s">
        <v>908</v>
      </c>
      <c r="K548" s="24" t="s">
        <v>908</v>
      </c>
      <c r="M548" s="24" t="s">
        <v>908</v>
      </c>
      <c r="N548" s="24"/>
      <c r="P548" s="1" t="str">
        <f t="shared" si="16"/>
        <v>71501011</v>
      </c>
      <c r="Q548" s="263" t="str">
        <f t="shared" si="17"/>
        <v>SM - Meeting</v>
      </c>
    </row>
    <row r="549" spans="1:17" x14ac:dyDescent="0.25">
      <c r="A549" s="24" t="s">
        <v>317</v>
      </c>
      <c r="B549" s="24" t="s">
        <v>20</v>
      </c>
      <c r="C549" s="24" t="s">
        <v>58</v>
      </c>
      <c r="D549" s="24" t="s">
        <v>0</v>
      </c>
      <c r="E549" s="24" t="s">
        <v>331</v>
      </c>
      <c r="F549" s="5" t="s">
        <v>447</v>
      </c>
      <c r="G549" s="2" t="s">
        <v>174</v>
      </c>
      <c r="H549" s="2" t="s">
        <v>23</v>
      </c>
      <c r="I549" s="24" t="s">
        <v>908</v>
      </c>
      <c r="J549" s="24" t="s">
        <v>908</v>
      </c>
      <c r="K549" s="24" t="s">
        <v>908</v>
      </c>
      <c r="M549" s="24" t="s">
        <v>908</v>
      </c>
      <c r="N549" s="24"/>
      <c r="P549" s="1" t="str">
        <f t="shared" si="16"/>
        <v>71501012</v>
      </c>
      <c r="Q549" s="263" t="str">
        <f t="shared" si="17"/>
        <v>SM - Outdoor Advertising &amp; Print</v>
      </c>
    </row>
    <row r="550" spans="1:17" x14ac:dyDescent="0.25">
      <c r="A550" s="24" t="s">
        <v>317</v>
      </c>
      <c r="B550" s="24" t="s">
        <v>20</v>
      </c>
      <c r="C550" s="24" t="s">
        <v>58</v>
      </c>
      <c r="D550" s="24" t="s">
        <v>0</v>
      </c>
      <c r="E550" s="24" t="s">
        <v>333</v>
      </c>
      <c r="F550" s="5" t="s">
        <v>448</v>
      </c>
      <c r="G550" s="2" t="s">
        <v>174</v>
      </c>
      <c r="H550" s="2" t="s">
        <v>23</v>
      </c>
      <c r="I550" s="24" t="s">
        <v>908</v>
      </c>
      <c r="J550" s="24" t="s">
        <v>908</v>
      </c>
      <c r="K550" s="24" t="s">
        <v>908</v>
      </c>
      <c r="M550" s="24" t="s">
        <v>908</v>
      </c>
      <c r="N550" s="24"/>
      <c r="P550" s="1" t="str">
        <f t="shared" si="16"/>
        <v>71501013</v>
      </c>
      <c r="Q550" s="263" t="str">
        <f t="shared" si="17"/>
        <v>SM - Postage &amp; Stamp Duty</v>
      </c>
    </row>
    <row r="551" spans="1:17" x14ac:dyDescent="0.25">
      <c r="A551" s="24" t="s">
        <v>317</v>
      </c>
      <c r="B551" s="24" t="s">
        <v>20</v>
      </c>
      <c r="C551" s="24" t="s">
        <v>58</v>
      </c>
      <c r="D551" s="24" t="s">
        <v>0</v>
      </c>
      <c r="E551" s="24" t="s">
        <v>335</v>
      </c>
      <c r="F551" s="5" t="s">
        <v>449</v>
      </c>
      <c r="G551" s="2" t="s">
        <v>174</v>
      </c>
      <c r="H551" s="2" t="s">
        <v>23</v>
      </c>
      <c r="I551" s="24" t="s">
        <v>908</v>
      </c>
      <c r="J551" s="24" t="s">
        <v>908</v>
      </c>
      <c r="K551" s="24" t="s">
        <v>908</v>
      </c>
      <c r="M551" s="24" t="s">
        <v>908</v>
      </c>
      <c r="N551" s="24"/>
      <c r="P551" s="1" t="str">
        <f t="shared" si="16"/>
        <v>71501014</v>
      </c>
      <c r="Q551" s="263" t="str">
        <f t="shared" si="17"/>
        <v>SM - Printing &amp; Stationary</v>
      </c>
    </row>
    <row r="552" spans="1:17" x14ac:dyDescent="0.25">
      <c r="A552" s="24" t="s">
        <v>317</v>
      </c>
      <c r="B552" s="24" t="s">
        <v>20</v>
      </c>
      <c r="C552" s="24" t="s">
        <v>58</v>
      </c>
      <c r="D552" s="24" t="s">
        <v>0</v>
      </c>
      <c r="E552" s="24" t="s">
        <v>337</v>
      </c>
      <c r="F552" s="5" t="s">
        <v>450</v>
      </c>
      <c r="G552" s="2" t="s">
        <v>174</v>
      </c>
      <c r="H552" s="2" t="s">
        <v>23</v>
      </c>
      <c r="I552" s="24" t="s">
        <v>908</v>
      </c>
      <c r="J552" s="24" t="s">
        <v>908</v>
      </c>
      <c r="K552" s="24" t="s">
        <v>908</v>
      </c>
      <c r="M552" s="24" t="s">
        <v>908</v>
      </c>
      <c r="N552" s="24"/>
      <c r="P552" s="1" t="str">
        <f t="shared" si="16"/>
        <v>71501015</v>
      </c>
      <c r="Q552" s="263" t="str">
        <f t="shared" si="17"/>
        <v>SM - Promotional Supplies</v>
      </c>
    </row>
    <row r="553" spans="1:17" x14ac:dyDescent="0.25">
      <c r="A553" s="24" t="s">
        <v>317</v>
      </c>
      <c r="B553" s="24" t="s">
        <v>20</v>
      </c>
      <c r="C553" s="24" t="s">
        <v>58</v>
      </c>
      <c r="D553" s="24" t="s">
        <v>0</v>
      </c>
      <c r="E553" s="24" t="s">
        <v>339</v>
      </c>
      <c r="F553" s="5" t="s">
        <v>451</v>
      </c>
      <c r="G553" s="2" t="s">
        <v>174</v>
      </c>
      <c r="H553" s="2" t="s">
        <v>23</v>
      </c>
      <c r="I553" s="24" t="s">
        <v>908</v>
      </c>
      <c r="J553" s="24" t="s">
        <v>908</v>
      </c>
      <c r="K553" s="24" t="s">
        <v>908</v>
      </c>
      <c r="M553" s="24" t="s">
        <v>908</v>
      </c>
      <c r="N553" s="24"/>
      <c r="P553" s="1" t="str">
        <f t="shared" si="16"/>
        <v>71501016</v>
      </c>
      <c r="Q553" s="263" t="str">
        <f t="shared" si="17"/>
        <v>SM - Telephone &amp; Fax</v>
      </c>
    </row>
    <row r="554" spans="1:17" x14ac:dyDescent="0.25">
      <c r="A554" s="24" t="s">
        <v>317</v>
      </c>
      <c r="B554" s="24" t="s">
        <v>20</v>
      </c>
      <c r="C554" s="24" t="s">
        <v>58</v>
      </c>
      <c r="D554" s="24" t="s">
        <v>0</v>
      </c>
      <c r="E554" s="24" t="s">
        <v>341</v>
      </c>
      <c r="F554" s="5" t="s">
        <v>452</v>
      </c>
      <c r="G554" s="2" t="s">
        <v>174</v>
      </c>
      <c r="H554" s="2" t="s">
        <v>23</v>
      </c>
      <c r="I554" s="24" t="s">
        <v>908</v>
      </c>
      <c r="J554" s="24" t="s">
        <v>908</v>
      </c>
      <c r="K554" s="24" t="s">
        <v>908</v>
      </c>
      <c r="M554" s="24" t="s">
        <v>908</v>
      </c>
      <c r="N554" s="24"/>
      <c r="P554" s="1" t="str">
        <f t="shared" si="16"/>
        <v>71501017</v>
      </c>
      <c r="Q554" s="263" t="str">
        <f t="shared" si="17"/>
        <v>SM - Training</v>
      </c>
    </row>
    <row r="555" spans="1:17" x14ac:dyDescent="0.25">
      <c r="A555" s="24" t="s">
        <v>317</v>
      </c>
      <c r="B555" s="24" t="s">
        <v>20</v>
      </c>
      <c r="C555" s="24" t="s">
        <v>58</v>
      </c>
      <c r="D555" s="24" t="s">
        <v>0</v>
      </c>
      <c r="E555" s="24" t="s">
        <v>343</v>
      </c>
      <c r="F555" s="5" t="s">
        <v>872</v>
      </c>
      <c r="G555" s="2" t="s">
        <v>174</v>
      </c>
      <c r="H555" s="2" t="s">
        <v>23</v>
      </c>
      <c r="I555" s="24" t="s">
        <v>908</v>
      </c>
      <c r="J555" s="24" t="s">
        <v>908</v>
      </c>
      <c r="K555" s="24" t="s">
        <v>908</v>
      </c>
      <c r="M555" s="24" t="s">
        <v>908</v>
      </c>
      <c r="N555" s="24"/>
      <c r="P555" s="1" t="str">
        <f t="shared" si="16"/>
        <v>71501018</v>
      </c>
      <c r="Q555" s="263" t="str">
        <f t="shared" si="17"/>
        <v>SM - Traveling</v>
      </c>
    </row>
    <row r="556" spans="1:17" x14ac:dyDescent="0.25">
      <c r="A556" s="24" t="s">
        <v>317</v>
      </c>
      <c r="B556" s="24" t="s">
        <v>20</v>
      </c>
      <c r="C556" s="24" t="s">
        <v>58</v>
      </c>
      <c r="D556" s="24" t="s">
        <v>0</v>
      </c>
      <c r="E556" s="24" t="s">
        <v>344</v>
      </c>
      <c r="F556" s="5" t="s">
        <v>453</v>
      </c>
      <c r="G556" s="2" t="s">
        <v>174</v>
      </c>
      <c r="H556" s="2" t="s">
        <v>23</v>
      </c>
      <c r="I556" s="24" t="s">
        <v>908</v>
      </c>
      <c r="J556" s="24" t="s">
        <v>908</v>
      </c>
      <c r="K556" s="24" t="s">
        <v>908</v>
      </c>
      <c r="M556" s="24" t="s">
        <v>908</v>
      </c>
      <c r="N556" s="24"/>
      <c r="P556" s="1" t="str">
        <f t="shared" si="16"/>
        <v>71501019</v>
      </c>
      <c r="Q556" s="263" t="str">
        <f t="shared" si="17"/>
        <v>SM - Uniform Laundry</v>
      </c>
    </row>
    <row r="557" spans="1:17" x14ac:dyDescent="0.25">
      <c r="A557" s="24" t="s">
        <v>317</v>
      </c>
      <c r="B557" s="24" t="s">
        <v>20</v>
      </c>
      <c r="C557" s="24" t="s">
        <v>58</v>
      </c>
      <c r="D557" s="24" t="s">
        <v>0</v>
      </c>
      <c r="E557" s="24" t="s">
        <v>346</v>
      </c>
      <c r="F557" s="5" t="s">
        <v>454</v>
      </c>
      <c r="G557" s="24" t="s">
        <v>174</v>
      </c>
      <c r="H557" s="2" t="s">
        <v>23</v>
      </c>
      <c r="I557" s="24" t="s">
        <v>908</v>
      </c>
      <c r="J557" s="24" t="s">
        <v>908</v>
      </c>
      <c r="K557" s="24" t="s">
        <v>908</v>
      </c>
      <c r="M557" s="24" t="s">
        <v>908</v>
      </c>
      <c r="N557" s="24"/>
      <c r="P557" s="1" t="str">
        <f t="shared" si="16"/>
        <v>71501020</v>
      </c>
      <c r="Q557" s="263" t="str">
        <f t="shared" si="17"/>
        <v>SM - Non Capitalized Asset</v>
      </c>
    </row>
    <row r="558" spans="1:17" x14ac:dyDescent="0.25">
      <c r="A558" s="24" t="s">
        <v>317</v>
      </c>
      <c r="B558" s="24" t="s">
        <v>20</v>
      </c>
      <c r="C558" s="24" t="s">
        <v>58</v>
      </c>
      <c r="D558" s="24" t="s">
        <v>0</v>
      </c>
      <c r="E558" s="24" t="s">
        <v>348</v>
      </c>
      <c r="F558" s="5" t="s">
        <v>873</v>
      </c>
      <c r="G558" s="24" t="s">
        <v>174</v>
      </c>
      <c r="H558" s="2" t="s">
        <v>23</v>
      </c>
      <c r="I558" s="24" t="s">
        <v>908</v>
      </c>
      <c r="J558" s="24" t="s">
        <v>908</v>
      </c>
      <c r="K558" s="24" t="s">
        <v>908</v>
      </c>
      <c r="M558" s="24" t="s">
        <v>908</v>
      </c>
      <c r="N558" s="24"/>
      <c r="P558" s="1" t="str">
        <f t="shared" si="16"/>
        <v>71501021</v>
      </c>
      <c r="Q558" s="263" t="str">
        <f t="shared" si="17"/>
        <v>SM - Transportation</v>
      </c>
    </row>
    <row r="559" spans="1:17" x14ac:dyDescent="0.25">
      <c r="A559" s="24" t="s">
        <v>317</v>
      </c>
      <c r="B559" s="24" t="s">
        <v>20</v>
      </c>
      <c r="C559" s="24" t="s">
        <v>58</v>
      </c>
      <c r="D559" s="24" t="s">
        <v>0</v>
      </c>
      <c r="E559" s="24" t="s">
        <v>350</v>
      </c>
      <c r="F559" s="5" t="s">
        <v>874</v>
      </c>
      <c r="G559" s="24" t="s">
        <v>174</v>
      </c>
      <c r="H559" s="2" t="s">
        <v>23</v>
      </c>
      <c r="I559" s="24" t="s">
        <v>908</v>
      </c>
      <c r="J559" s="24" t="s">
        <v>908</v>
      </c>
      <c r="K559" s="24" t="s">
        <v>908</v>
      </c>
      <c r="M559" s="24" t="s">
        <v>908</v>
      </c>
      <c r="N559" s="24"/>
      <c r="P559" s="1" t="str">
        <f t="shared" si="16"/>
        <v>71501022</v>
      </c>
      <c r="Q559" s="263" t="str">
        <f t="shared" si="17"/>
        <v>SM - Production Fee</v>
      </c>
    </row>
    <row r="560" spans="1:17" x14ac:dyDescent="0.25">
      <c r="A560" s="24" t="s">
        <v>317</v>
      </c>
      <c r="B560" s="24" t="s">
        <v>20</v>
      </c>
      <c r="C560" s="24" t="s">
        <v>58</v>
      </c>
      <c r="D560" s="24" t="s">
        <v>0</v>
      </c>
      <c r="E560" s="24" t="s">
        <v>43</v>
      </c>
      <c r="F560" s="5" t="s">
        <v>455</v>
      </c>
      <c r="G560" s="2" t="s">
        <v>174</v>
      </c>
      <c r="H560" s="2" t="s">
        <v>23</v>
      </c>
      <c r="I560" s="24" t="s">
        <v>908</v>
      </c>
      <c r="J560" s="24" t="s">
        <v>908</v>
      </c>
      <c r="K560" s="24" t="s">
        <v>908</v>
      </c>
      <c r="M560" s="24" t="s">
        <v>908</v>
      </c>
      <c r="N560" s="24"/>
      <c r="P560" s="1" t="str">
        <f t="shared" si="16"/>
        <v>71501999</v>
      </c>
      <c r="Q560" s="263" t="str">
        <f t="shared" si="17"/>
        <v>SM - Other Operating Expenses</v>
      </c>
    </row>
    <row r="561" spans="1:17" x14ac:dyDescent="0.25">
      <c r="A561" s="20" t="s">
        <v>317</v>
      </c>
      <c r="B561" s="20" t="s">
        <v>20</v>
      </c>
      <c r="C561" s="20" t="s">
        <v>58</v>
      </c>
      <c r="D561" s="20" t="s">
        <v>2</v>
      </c>
      <c r="E561" s="20"/>
      <c r="F561" s="22" t="s">
        <v>576</v>
      </c>
      <c r="G561" s="23" t="s">
        <v>174</v>
      </c>
      <c r="H561" s="23" t="s">
        <v>23</v>
      </c>
      <c r="I561" s="23" t="s">
        <v>907</v>
      </c>
      <c r="J561" s="23" t="s">
        <v>907</v>
      </c>
      <c r="K561" s="23" t="s">
        <v>907</v>
      </c>
      <c r="M561" s="23" t="s">
        <v>907</v>
      </c>
      <c r="N561" s="23"/>
      <c r="P561" s="1" t="str">
        <f t="shared" si="16"/>
        <v>71502</v>
      </c>
      <c r="Q561" s="263" t="str">
        <f t="shared" si="17"/>
        <v>Sales &amp; Marketing - Provision for Replacement</v>
      </c>
    </row>
    <row r="562" spans="1:17" x14ac:dyDescent="0.25">
      <c r="A562" s="24" t="s">
        <v>317</v>
      </c>
      <c r="B562" s="24" t="s">
        <v>20</v>
      </c>
      <c r="C562" s="24" t="s">
        <v>58</v>
      </c>
      <c r="D562" s="24" t="s">
        <v>2</v>
      </c>
      <c r="E562" s="24" t="s">
        <v>1</v>
      </c>
      <c r="F562" s="5" t="s">
        <v>577</v>
      </c>
      <c r="G562" s="2" t="s">
        <v>174</v>
      </c>
      <c r="H562" s="2" t="s">
        <v>23</v>
      </c>
      <c r="I562" s="24" t="s">
        <v>908</v>
      </c>
      <c r="J562" s="24" t="s">
        <v>908</v>
      </c>
      <c r="K562" s="24" t="s">
        <v>908</v>
      </c>
      <c r="M562" s="24" t="s">
        <v>908</v>
      </c>
      <c r="N562" s="24"/>
      <c r="P562" s="1" t="str">
        <f t="shared" si="16"/>
        <v>71502001</v>
      </c>
      <c r="Q562" s="263" t="str">
        <f t="shared" si="17"/>
        <v>SM - Provision for Replacement Uniform</v>
      </c>
    </row>
    <row r="563" spans="1:17" x14ac:dyDescent="0.25">
      <c r="A563" s="16" t="s">
        <v>317</v>
      </c>
      <c r="B563" s="16" t="s">
        <v>20</v>
      </c>
      <c r="C563" s="16" t="s">
        <v>224</v>
      </c>
      <c r="D563" s="16"/>
      <c r="E563" s="16"/>
      <c r="F563" s="18" t="s">
        <v>456</v>
      </c>
      <c r="G563" s="19" t="s">
        <v>174</v>
      </c>
      <c r="H563" s="19" t="s">
        <v>23</v>
      </c>
      <c r="I563" s="19" t="s">
        <v>907</v>
      </c>
      <c r="J563" s="19" t="s">
        <v>907</v>
      </c>
      <c r="K563" s="19" t="s">
        <v>907</v>
      </c>
      <c r="M563" s="19" t="s">
        <v>907</v>
      </c>
      <c r="N563" s="19"/>
      <c r="P563" s="1" t="str">
        <f t="shared" si="16"/>
        <v>716</v>
      </c>
      <c r="Q563" s="263" t="str">
        <f t="shared" si="17"/>
        <v>Administrasi &amp; General - Operating Expenses</v>
      </c>
    </row>
    <row r="564" spans="1:17" x14ac:dyDescent="0.25">
      <c r="A564" s="20" t="s">
        <v>317</v>
      </c>
      <c r="B564" s="20" t="s">
        <v>20</v>
      </c>
      <c r="C564" s="20" t="s">
        <v>224</v>
      </c>
      <c r="D564" s="20" t="s">
        <v>0</v>
      </c>
      <c r="E564" s="20"/>
      <c r="F564" s="22" t="s">
        <v>573</v>
      </c>
      <c r="G564" s="23" t="s">
        <v>174</v>
      </c>
      <c r="H564" s="23" t="s">
        <v>23</v>
      </c>
      <c r="I564" s="23" t="s">
        <v>907</v>
      </c>
      <c r="J564" s="23" t="s">
        <v>907</v>
      </c>
      <c r="K564" s="23" t="s">
        <v>907</v>
      </c>
      <c r="M564" s="23" t="s">
        <v>907</v>
      </c>
      <c r="N564" s="23"/>
      <c r="P564" s="1" t="str">
        <f t="shared" si="16"/>
        <v>71601</v>
      </c>
      <c r="Q564" s="263" t="str">
        <f t="shared" si="17"/>
        <v>Administrasi &amp; General - General Operating Expenses</v>
      </c>
    </row>
    <row r="565" spans="1:17" x14ac:dyDescent="0.25">
      <c r="A565" s="24" t="s">
        <v>317</v>
      </c>
      <c r="B565" s="24" t="s">
        <v>20</v>
      </c>
      <c r="C565" s="24" t="s">
        <v>224</v>
      </c>
      <c r="D565" s="24" t="s">
        <v>0</v>
      </c>
      <c r="E565" s="24" t="s">
        <v>1</v>
      </c>
      <c r="F565" s="5" t="s">
        <v>457</v>
      </c>
      <c r="G565" s="2" t="s">
        <v>174</v>
      </c>
      <c r="H565" s="2" t="s">
        <v>23</v>
      </c>
      <c r="I565" s="24" t="s">
        <v>908</v>
      </c>
      <c r="J565" s="24" t="s">
        <v>908</v>
      </c>
      <c r="K565" s="24" t="s">
        <v>908</v>
      </c>
      <c r="M565" s="24" t="s">
        <v>908</v>
      </c>
      <c r="N565" s="24"/>
      <c r="P565" s="1" t="str">
        <f t="shared" si="16"/>
        <v>71601001</v>
      </c>
      <c r="Q565" s="263" t="str">
        <f t="shared" si="17"/>
        <v>AG - Cash Over Or Short</v>
      </c>
    </row>
    <row r="566" spans="1:17" x14ac:dyDescent="0.25">
      <c r="A566" s="24" t="s">
        <v>317</v>
      </c>
      <c r="B566" s="24" t="s">
        <v>20</v>
      </c>
      <c r="C566" s="24" t="s">
        <v>224</v>
      </c>
      <c r="D566" s="24" t="s">
        <v>0</v>
      </c>
      <c r="E566" s="24" t="s">
        <v>3</v>
      </c>
      <c r="F566" s="5" t="s">
        <v>458</v>
      </c>
      <c r="G566" s="2" t="s">
        <v>174</v>
      </c>
      <c r="H566" s="2" t="s">
        <v>23</v>
      </c>
      <c r="I566" s="24" t="s">
        <v>908</v>
      </c>
      <c r="J566" s="24" t="s">
        <v>908</v>
      </c>
      <c r="K566" s="24" t="s">
        <v>908</v>
      </c>
      <c r="M566" s="24" t="s">
        <v>908</v>
      </c>
      <c r="N566" s="24"/>
      <c r="P566" s="1" t="str">
        <f t="shared" si="16"/>
        <v>71601002</v>
      </c>
      <c r="Q566" s="263" t="str">
        <f t="shared" si="17"/>
        <v>AG - Corporate Support Services</v>
      </c>
    </row>
    <row r="567" spans="1:17" x14ac:dyDescent="0.25">
      <c r="A567" s="24" t="s">
        <v>317</v>
      </c>
      <c r="B567" s="24" t="s">
        <v>20</v>
      </c>
      <c r="C567" s="24" t="s">
        <v>224</v>
      </c>
      <c r="D567" s="24" t="s">
        <v>0</v>
      </c>
      <c r="E567" s="24" t="s">
        <v>5</v>
      </c>
      <c r="F567" s="5" t="s">
        <v>459</v>
      </c>
      <c r="G567" s="2" t="s">
        <v>174</v>
      </c>
      <c r="H567" s="2" t="s">
        <v>23</v>
      </c>
      <c r="I567" s="24" t="s">
        <v>908</v>
      </c>
      <c r="J567" s="24" t="s">
        <v>908</v>
      </c>
      <c r="K567" s="24" t="s">
        <v>908</v>
      </c>
      <c r="M567" s="24" t="s">
        <v>908</v>
      </c>
      <c r="N567" s="24"/>
      <c r="P567" s="1" t="str">
        <f t="shared" si="16"/>
        <v>71601003</v>
      </c>
      <c r="Q567" s="263" t="str">
        <f t="shared" si="17"/>
        <v>AG - Credit &amp; Collection</v>
      </c>
    </row>
    <row r="568" spans="1:17" x14ac:dyDescent="0.25">
      <c r="A568" s="24" t="s">
        <v>317</v>
      </c>
      <c r="B568" s="24" t="s">
        <v>20</v>
      </c>
      <c r="C568" s="24" t="s">
        <v>224</v>
      </c>
      <c r="D568" s="24" t="s">
        <v>0</v>
      </c>
      <c r="E568" s="24" t="s">
        <v>7</v>
      </c>
      <c r="F568" s="5" t="s">
        <v>460</v>
      </c>
      <c r="G568" s="2" t="s">
        <v>174</v>
      </c>
      <c r="H568" s="2" t="s">
        <v>23</v>
      </c>
      <c r="I568" s="24" t="s">
        <v>908</v>
      </c>
      <c r="J568" s="24" t="s">
        <v>908</v>
      </c>
      <c r="K568" s="24" t="s">
        <v>908</v>
      </c>
      <c r="M568" s="24" t="s">
        <v>908</v>
      </c>
      <c r="N568" s="24"/>
      <c r="P568" s="1" t="str">
        <f t="shared" si="16"/>
        <v>71601004</v>
      </c>
      <c r="Q568" s="263" t="str">
        <f t="shared" si="17"/>
        <v>AG - Donations</v>
      </c>
    </row>
    <row r="569" spans="1:17" x14ac:dyDescent="0.25">
      <c r="A569" s="24" t="s">
        <v>317</v>
      </c>
      <c r="B569" s="24" t="s">
        <v>20</v>
      </c>
      <c r="C569" s="24" t="s">
        <v>224</v>
      </c>
      <c r="D569" s="24" t="s">
        <v>0</v>
      </c>
      <c r="E569" s="24" t="s">
        <v>9</v>
      </c>
      <c r="F569" s="5" t="s">
        <v>461</v>
      </c>
      <c r="G569" s="2" t="s">
        <v>174</v>
      </c>
      <c r="H569" s="2" t="s">
        <v>23</v>
      </c>
      <c r="I569" s="24" t="s">
        <v>908</v>
      </c>
      <c r="J569" s="24" t="s">
        <v>908</v>
      </c>
      <c r="K569" s="24" t="s">
        <v>908</v>
      </c>
      <c r="M569" s="24" t="s">
        <v>908</v>
      </c>
      <c r="N569" s="24"/>
      <c r="P569" s="1" t="str">
        <f t="shared" si="16"/>
        <v>71601005</v>
      </c>
      <c r="Q569" s="263" t="str">
        <f t="shared" si="17"/>
        <v>AG - Due &amp; Subscription</v>
      </c>
    </row>
    <row r="570" spans="1:17" x14ac:dyDescent="0.25">
      <c r="A570" s="24" t="s">
        <v>317</v>
      </c>
      <c r="B570" s="24" t="s">
        <v>20</v>
      </c>
      <c r="C570" s="24" t="s">
        <v>224</v>
      </c>
      <c r="D570" s="24" t="s">
        <v>0</v>
      </c>
      <c r="E570" s="24" t="s">
        <v>10</v>
      </c>
      <c r="F570" s="5" t="s">
        <v>462</v>
      </c>
      <c r="G570" s="2" t="s">
        <v>174</v>
      </c>
      <c r="H570" s="2" t="s">
        <v>23</v>
      </c>
      <c r="I570" s="24" t="s">
        <v>908</v>
      </c>
      <c r="J570" s="24" t="s">
        <v>908</v>
      </c>
      <c r="K570" s="24" t="s">
        <v>908</v>
      </c>
      <c r="M570" s="24" t="s">
        <v>908</v>
      </c>
      <c r="N570" s="24"/>
      <c r="P570" s="1" t="str">
        <f t="shared" si="16"/>
        <v>71601006</v>
      </c>
      <c r="Q570" s="263" t="str">
        <f t="shared" si="17"/>
        <v>AG - Employee Housing</v>
      </c>
    </row>
    <row r="571" spans="1:17" x14ac:dyDescent="0.25">
      <c r="A571" s="24" t="s">
        <v>317</v>
      </c>
      <c r="B571" s="24" t="s">
        <v>20</v>
      </c>
      <c r="C571" s="24" t="s">
        <v>224</v>
      </c>
      <c r="D571" s="24" t="s">
        <v>0</v>
      </c>
      <c r="E571" s="24" t="s">
        <v>11</v>
      </c>
      <c r="F571" s="5" t="s">
        <v>463</v>
      </c>
      <c r="G571" s="2" t="s">
        <v>174</v>
      </c>
      <c r="H571" s="2" t="s">
        <v>23</v>
      </c>
      <c r="I571" s="24" t="s">
        <v>908</v>
      </c>
      <c r="J571" s="24" t="s">
        <v>908</v>
      </c>
      <c r="K571" s="24" t="s">
        <v>908</v>
      </c>
      <c r="M571" s="24" t="s">
        <v>908</v>
      </c>
      <c r="N571" s="24"/>
      <c r="P571" s="1" t="str">
        <f t="shared" si="16"/>
        <v>71601007</v>
      </c>
      <c r="Q571" s="263" t="str">
        <f t="shared" si="17"/>
        <v>AG - Employee Relation</v>
      </c>
    </row>
    <row r="572" spans="1:17" x14ac:dyDescent="0.25">
      <c r="A572" s="24" t="s">
        <v>317</v>
      </c>
      <c r="B572" s="24" t="s">
        <v>20</v>
      </c>
      <c r="C572" s="24" t="s">
        <v>224</v>
      </c>
      <c r="D572" s="24" t="s">
        <v>0</v>
      </c>
      <c r="E572" s="24" t="s">
        <v>13</v>
      </c>
      <c r="F572" s="5" t="s">
        <v>464</v>
      </c>
      <c r="G572" s="2" t="s">
        <v>174</v>
      </c>
      <c r="H572" s="2" t="s">
        <v>23</v>
      </c>
      <c r="I572" s="24" t="s">
        <v>908</v>
      </c>
      <c r="J572" s="24" t="s">
        <v>908</v>
      </c>
      <c r="K572" s="24" t="s">
        <v>908</v>
      </c>
      <c r="M572" s="24" t="s">
        <v>908</v>
      </c>
      <c r="N572" s="24"/>
      <c r="P572" s="1" t="str">
        <f t="shared" si="16"/>
        <v>71601008</v>
      </c>
      <c r="Q572" s="263" t="str">
        <f t="shared" si="17"/>
        <v>AG - Entertainment</v>
      </c>
    </row>
    <row r="573" spans="1:17" x14ac:dyDescent="0.25">
      <c r="A573" s="24" t="s">
        <v>317</v>
      </c>
      <c r="B573" s="24" t="s">
        <v>20</v>
      </c>
      <c r="C573" s="24" t="s">
        <v>224</v>
      </c>
      <c r="D573" s="24" t="s">
        <v>0</v>
      </c>
      <c r="E573" s="24" t="s">
        <v>15</v>
      </c>
      <c r="F573" s="5" t="s">
        <v>465</v>
      </c>
      <c r="G573" s="2" t="s">
        <v>174</v>
      </c>
      <c r="H573" s="2" t="s">
        <v>23</v>
      </c>
      <c r="I573" s="24" t="s">
        <v>908</v>
      </c>
      <c r="J573" s="24" t="s">
        <v>908</v>
      </c>
      <c r="K573" s="24" t="s">
        <v>908</v>
      </c>
      <c r="M573" s="24" t="s">
        <v>908</v>
      </c>
      <c r="N573" s="24"/>
      <c r="P573" s="1" t="str">
        <f t="shared" si="16"/>
        <v>71601009</v>
      </c>
      <c r="Q573" s="263" t="str">
        <f t="shared" si="17"/>
        <v>AG - Insurance</v>
      </c>
    </row>
    <row r="574" spans="1:17" x14ac:dyDescent="0.25">
      <c r="A574" s="24" t="s">
        <v>317</v>
      </c>
      <c r="B574" s="24" t="s">
        <v>20</v>
      </c>
      <c r="C574" s="24" t="s">
        <v>224</v>
      </c>
      <c r="D574" s="24" t="s">
        <v>0</v>
      </c>
      <c r="E574" s="24" t="s">
        <v>238</v>
      </c>
      <c r="F574" s="5" t="s">
        <v>466</v>
      </c>
      <c r="G574" s="2" t="s">
        <v>174</v>
      </c>
      <c r="H574" s="2" t="s">
        <v>23</v>
      </c>
      <c r="I574" s="24" t="s">
        <v>908</v>
      </c>
      <c r="J574" s="24" t="s">
        <v>908</v>
      </c>
      <c r="K574" s="24" t="s">
        <v>908</v>
      </c>
      <c r="M574" s="24" t="s">
        <v>908</v>
      </c>
      <c r="N574" s="24"/>
      <c r="P574" s="1" t="str">
        <f t="shared" si="16"/>
        <v>71601010</v>
      </c>
      <c r="Q574" s="263" t="str">
        <f t="shared" si="17"/>
        <v>AG - Internet</v>
      </c>
    </row>
    <row r="575" spans="1:17" x14ac:dyDescent="0.25">
      <c r="A575" s="24" t="s">
        <v>317</v>
      </c>
      <c r="B575" s="24" t="s">
        <v>20</v>
      </c>
      <c r="C575" s="24" t="s">
        <v>224</v>
      </c>
      <c r="D575" s="24" t="s">
        <v>0</v>
      </c>
      <c r="E575" s="24" t="s">
        <v>240</v>
      </c>
      <c r="F575" s="5" t="s">
        <v>467</v>
      </c>
      <c r="G575" s="2" t="s">
        <v>174</v>
      </c>
      <c r="H575" s="2" t="s">
        <v>23</v>
      </c>
      <c r="I575" s="24" t="s">
        <v>908</v>
      </c>
      <c r="J575" s="24" t="s">
        <v>908</v>
      </c>
      <c r="K575" s="24" t="s">
        <v>908</v>
      </c>
      <c r="M575" s="24" t="s">
        <v>908</v>
      </c>
      <c r="N575" s="24"/>
      <c r="P575" s="1" t="str">
        <f t="shared" si="16"/>
        <v>71601011</v>
      </c>
      <c r="Q575" s="263" t="str">
        <f t="shared" si="17"/>
        <v>AG - IT Maintenance</v>
      </c>
    </row>
    <row r="576" spans="1:17" x14ac:dyDescent="0.25">
      <c r="A576" s="24" t="s">
        <v>317</v>
      </c>
      <c r="B576" s="24" t="s">
        <v>20</v>
      </c>
      <c r="C576" s="24" t="s">
        <v>224</v>
      </c>
      <c r="D576" s="24" t="s">
        <v>0</v>
      </c>
      <c r="E576" s="24" t="s">
        <v>331</v>
      </c>
      <c r="F576" s="5" t="s">
        <v>468</v>
      </c>
      <c r="G576" s="2" t="s">
        <v>174</v>
      </c>
      <c r="H576" s="2" t="s">
        <v>23</v>
      </c>
      <c r="I576" s="24" t="s">
        <v>908</v>
      </c>
      <c r="J576" s="24" t="s">
        <v>908</v>
      </c>
      <c r="K576" s="24" t="s">
        <v>908</v>
      </c>
      <c r="M576" s="24" t="s">
        <v>908</v>
      </c>
      <c r="N576" s="24"/>
      <c r="P576" s="1" t="str">
        <f t="shared" si="16"/>
        <v>71601012</v>
      </c>
      <c r="Q576" s="263" t="str">
        <f t="shared" si="17"/>
        <v>AG - License &amp; Tax</v>
      </c>
    </row>
    <row r="577" spans="1:17" x14ac:dyDescent="0.25">
      <c r="A577" s="24" t="s">
        <v>317</v>
      </c>
      <c r="B577" s="24" t="s">
        <v>20</v>
      </c>
      <c r="C577" s="24" t="s">
        <v>224</v>
      </c>
      <c r="D577" s="24" t="s">
        <v>0</v>
      </c>
      <c r="E577" s="24" t="s">
        <v>333</v>
      </c>
      <c r="F577" s="5" t="s">
        <v>875</v>
      </c>
      <c r="G577" s="2" t="s">
        <v>174</v>
      </c>
      <c r="H577" s="2" t="s">
        <v>23</v>
      </c>
      <c r="I577" s="24" t="s">
        <v>908</v>
      </c>
      <c r="J577" s="24" t="s">
        <v>908</v>
      </c>
      <c r="K577" s="24" t="s">
        <v>908</v>
      </c>
      <c r="M577" s="24" t="s">
        <v>908</v>
      </c>
      <c r="N577" s="24"/>
      <c r="P577" s="1" t="str">
        <f t="shared" si="16"/>
        <v>71601013</v>
      </c>
      <c r="Q577" s="263" t="str">
        <f t="shared" si="17"/>
        <v>AG - Meeting</v>
      </c>
    </row>
    <row r="578" spans="1:17" x14ac:dyDescent="0.25">
      <c r="A578" s="24" t="s">
        <v>317</v>
      </c>
      <c r="B578" s="24" t="s">
        <v>20</v>
      </c>
      <c r="C578" s="24" t="s">
        <v>224</v>
      </c>
      <c r="D578" s="24" t="s">
        <v>0</v>
      </c>
      <c r="E578" s="24" t="s">
        <v>335</v>
      </c>
      <c r="F578" s="5" t="s">
        <v>469</v>
      </c>
      <c r="G578" s="2" t="s">
        <v>174</v>
      </c>
      <c r="H578" s="2" t="s">
        <v>23</v>
      </c>
      <c r="I578" s="24" t="s">
        <v>908</v>
      </c>
      <c r="J578" s="24" t="s">
        <v>908</v>
      </c>
      <c r="K578" s="24" t="s">
        <v>908</v>
      </c>
      <c r="M578" s="24" t="s">
        <v>908</v>
      </c>
      <c r="N578" s="24"/>
      <c r="P578" s="1" t="str">
        <f t="shared" si="16"/>
        <v>71601014</v>
      </c>
      <c r="Q578" s="263" t="str">
        <f t="shared" si="17"/>
        <v>AG - Postage &amp; Stamp Duty</v>
      </c>
    </row>
    <row r="579" spans="1:17" x14ac:dyDescent="0.25">
      <c r="A579" s="24" t="s">
        <v>317</v>
      </c>
      <c r="B579" s="24" t="s">
        <v>20</v>
      </c>
      <c r="C579" s="24" t="s">
        <v>224</v>
      </c>
      <c r="D579" s="24" t="s">
        <v>0</v>
      </c>
      <c r="E579" s="24" t="s">
        <v>337</v>
      </c>
      <c r="F579" s="5" t="s">
        <v>470</v>
      </c>
      <c r="G579" s="2" t="s">
        <v>174</v>
      </c>
      <c r="H579" s="2" t="s">
        <v>23</v>
      </c>
      <c r="I579" s="24" t="s">
        <v>908</v>
      </c>
      <c r="J579" s="24" t="s">
        <v>908</v>
      </c>
      <c r="K579" s="24" t="s">
        <v>908</v>
      </c>
      <c r="M579" s="24" t="s">
        <v>908</v>
      </c>
      <c r="N579" s="24"/>
      <c r="P579" s="1" t="str">
        <f t="shared" si="16"/>
        <v>71601015</v>
      </c>
      <c r="Q579" s="263" t="str">
        <f t="shared" si="17"/>
        <v>AG - Printing &amp; Stationary</v>
      </c>
    </row>
    <row r="580" spans="1:17" x14ac:dyDescent="0.25">
      <c r="A580" s="24" t="s">
        <v>317</v>
      </c>
      <c r="B580" s="24" t="s">
        <v>20</v>
      </c>
      <c r="C580" s="24" t="s">
        <v>224</v>
      </c>
      <c r="D580" s="24" t="s">
        <v>0</v>
      </c>
      <c r="E580" s="24" t="s">
        <v>339</v>
      </c>
      <c r="F580" s="5" t="s">
        <v>471</v>
      </c>
      <c r="G580" s="2" t="s">
        <v>174</v>
      </c>
      <c r="H580" s="2" t="s">
        <v>23</v>
      </c>
      <c r="I580" s="24" t="s">
        <v>908</v>
      </c>
      <c r="J580" s="24" t="s">
        <v>908</v>
      </c>
      <c r="K580" s="24" t="s">
        <v>908</v>
      </c>
      <c r="M580" s="24" t="s">
        <v>908</v>
      </c>
      <c r="N580" s="24"/>
      <c r="P580" s="1" t="str">
        <f t="shared" si="16"/>
        <v>71601016</v>
      </c>
      <c r="Q580" s="263" t="str">
        <f t="shared" si="17"/>
        <v>AG - Recruitment</v>
      </c>
    </row>
    <row r="581" spans="1:17" x14ac:dyDescent="0.25">
      <c r="A581" s="24" t="s">
        <v>317</v>
      </c>
      <c r="B581" s="24" t="s">
        <v>20</v>
      </c>
      <c r="C581" s="24" t="s">
        <v>224</v>
      </c>
      <c r="D581" s="24" t="s">
        <v>0</v>
      </c>
      <c r="E581" s="24" t="s">
        <v>341</v>
      </c>
      <c r="F581" s="5" t="s">
        <v>472</v>
      </c>
      <c r="G581" s="2" t="s">
        <v>174</v>
      </c>
      <c r="H581" s="2" t="s">
        <v>23</v>
      </c>
      <c r="I581" s="24" t="s">
        <v>908</v>
      </c>
      <c r="J581" s="24" t="s">
        <v>908</v>
      </c>
      <c r="K581" s="24" t="s">
        <v>908</v>
      </c>
      <c r="M581" s="24" t="s">
        <v>908</v>
      </c>
      <c r="N581" s="24"/>
      <c r="P581" s="1" t="str">
        <f t="shared" ref="P581:P638" si="18">CONCATENATE(A581,B581,C581,D581,E581)</f>
        <v>71601017</v>
      </c>
      <c r="Q581" s="263" t="str">
        <f t="shared" si="17"/>
        <v>AG - Relocation</v>
      </c>
    </row>
    <row r="582" spans="1:17" x14ac:dyDescent="0.25">
      <c r="A582" s="24" t="s">
        <v>317</v>
      </c>
      <c r="B582" s="24" t="s">
        <v>20</v>
      </c>
      <c r="C582" s="24" t="s">
        <v>224</v>
      </c>
      <c r="D582" s="24" t="s">
        <v>0</v>
      </c>
      <c r="E582" s="24" t="s">
        <v>343</v>
      </c>
      <c r="F582" s="5" t="s">
        <v>473</v>
      </c>
      <c r="G582" s="2" t="s">
        <v>174</v>
      </c>
      <c r="H582" s="2" t="s">
        <v>23</v>
      </c>
      <c r="I582" s="24" t="s">
        <v>908</v>
      </c>
      <c r="J582" s="24" t="s">
        <v>908</v>
      </c>
      <c r="K582" s="24" t="s">
        <v>908</v>
      </c>
      <c r="M582" s="24" t="s">
        <v>908</v>
      </c>
      <c r="N582" s="24"/>
      <c r="P582" s="1" t="str">
        <f t="shared" si="18"/>
        <v>71601018</v>
      </c>
      <c r="Q582" s="263" t="str">
        <f t="shared" si="17"/>
        <v>AG - Security Contract Services</v>
      </c>
    </row>
    <row r="583" spans="1:17" x14ac:dyDescent="0.25">
      <c r="A583" s="24" t="s">
        <v>317</v>
      </c>
      <c r="B583" s="24" t="s">
        <v>20</v>
      </c>
      <c r="C583" s="24" t="s">
        <v>224</v>
      </c>
      <c r="D583" s="24" t="s">
        <v>0</v>
      </c>
      <c r="E583" s="24" t="s">
        <v>344</v>
      </c>
      <c r="F583" s="5" t="s">
        <v>474</v>
      </c>
      <c r="G583" s="2" t="s">
        <v>174</v>
      </c>
      <c r="H583" s="2" t="s">
        <v>23</v>
      </c>
      <c r="I583" s="24" t="s">
        <v>908</v>
      </c>
      <c r="J583" s="24" t="s">
        <v>908</v>
      </c>
      <c r="K583" s="24" t="s">
        <v>908</v>
      </c>
      <c r="M583" s="24" t="s">
        <v>908</v>
      </c>
      <c r="N583" s="24"/>
      <c r="P583" s="1" t="str">
        <f t="shared" si="18"/>
        <v>71601019</v>
      </c>
      <c r="Q583" s="263" t="str">
        <f t="shared" si="17"/>
        <v>AG - Telephone &amp; Fax</v>
      </c>
    </row>
    <row r="584" spans="1:17" x14ac:dyDescent="0.25">
      <c r="A584" s="24" t="s">
        <v>317</v>
      </c>
      <c r="B584" s="24" t="s">
        <v>20</v>
      </c>
      <c r="C584" s="24" t="s">
        <v>224</v>
      </c>
      <c r="D584" s="24" t="s">
        <v>0</v>
      </c>
      <c r="E584" s="24" t="s">
        <v>346</v>
      </c>
      <c r="F584" s="5" t="s">
        <v>475</v>
      </c>
      <c r="G584" s="2" t="s">
        <v>174</v>
      </c>
      <c r="H584" s="2" t="s">
        <v>23</v>
      </c>
      <c r="I584" s="24" t="s">
        <v>908</v>
      </c>
      <c r="J584" s="24" t="s">
        <v>908</v>
      </c>
      <c r="K584" s="24" t="s">
        <v>908</v>
      </c>
      <c r="M584" s="24" t="s">
        <v>908</v>
      </c>
      <c r="N584" s="24"/>
      <c r="P584" s="1" t="str">
        <f t="shared" si="18"/>
        <v>71601020</v>
      </c>
      <c r="Q584" s="263" t="str">
        <f t="shared" si="17"/>
        <v>AG - Training</v>
      </c>
    </row>
    <row r="585" spans="1:17" x14ac:dyDescent="0.25">
      <c r="A585" s="24" t="s">
        <v>317</v>
      </c>
      <c r="B585" s="24" t="s">
        <v>20</v>
      </c>
      <c r="C585" s="24" t="s">
        <v>224</v>
      </c>
      <c r="D585" s="24" t="s">
        <v>0</v>
      </c>
      <c r="E585" s="24" t="s">
        <v>348</v>
      </c>
      <c r="F585" s="5" t="s">
        <v>876</v>
      </c>
      <c r="G585" s="2" t="s">
        <v>174</v>
      </c>
      <c r="H585" s="2" t="s">
        <v>23</v>
      </c>
      <c r="I585" s="24" t="s">
        <v>908</v>
      </c>
      <c r="J585" s="24" t="s">
        <v>908</v>
      </c>
      <c r="K585" s="24" t="s">
        <v>908</v>
      </c>
      <c r="M585" s="24" t="s">
        <v>908</v>
      </c>
      <c r="N585" s="24"/>
      <c r="P585" s="1" t="str">
        <f t="shared" si="18"/>
        <v>71601021</v>
      </c>
      <c r="Q585" s="263" t="str">
        <f t="shared" ref="Q585:Q648" si="19">F585</f>
        <v>AG - Traveling</v>
      </c>
    </row>
    <row r="586" spans="1:17" x14ac:dyDescent="0.25">
      <c r="A586" s="24" t="s">
        <v>317</v>
      </c>
      <c r="B586" s="24" t="s">
        <v>20</v>
      </c>
      <c r="C586" s="24" t="s">
        <v>224</v>
      </c>
      <c r="D586" s="24" t="s">
        <v>0</v>
      </c>
      <c r="E586" s="24" t="s">
        <v>350</v>
      </c>
      <c r="F586" s="5" t="s">
        <v>476</v>
      </c>
      <c r="G586" s="2" t="s">
        <v>174</v>
      </c>
      <c r="H586" s="2" t="s">
        <v>23</v>
      </c>
      <c r="I586" s="24" t="s">
        <v>908</v>
      </c>
      <c r="J586" s="24" t="s">
        <v>908</v>
      </c>
      <c r="K586" s="24" t="s">
        <v>908</v>
      </c>
      <c r="M586" s="24" t="s">
        <v>908</v>
      </c>
      <c r="N586" s="24"/>
      <c r="P586" s="1" t="str">
        <f t="shared" si="18"/>
        <v>71601022</v>
      </c>
      <c r="Q586" s="263" t="str">
        <f t="shared" si="19"/>
        <v>AG - Uniform Laundry</v>
      </c>
    </row>
    <row r="587" spans="1:17" x14ac:dyDescent="0.25">
      <c r="A587" s="24" t="s">
        <v>317</v>
      </c>
      <c r="B587" s="24" t="s">
        <v>20</v>
      </c>
      <c r="C587" s="24" t="s">
        <v>224</v>
      </c>
      <c r="D587" s="24" t="s">
        <v>0</v>
      </c>
      <c r="E587" s="24" t="s">
        <v>414</v>
      </c>
      <c r="F587" s="5" t="s">
        <v>477</v>
      </c>
      <c r="G587" s="2" t="s">
        <v>174</v>
      </c>
      <c r="H587" s="2" t="s">
        <v>23</v>
      </c>
      <c r="I587" s="24" t="s">
        <v>908</v>
      </c>
      <c r="J587" s="24" t="s">
        <v>908</v>
      </c>
      <c r="K587" s="24" t="s">
        <v>908</v>
      </c>
      <c r="M587" s="24" t="s">
        <v>908</v>
      </c>
      <c r="N587" s="24"/>
      <c r="P587" s="1" t="str">
        <f t="shared" si="18"/>
        <v>71601023</v>
      </c>
      <c r="Q587" s="263" t="str">
        <f t="shared" si="19"/>
        <v>AG - Rent</v>
      </c>
    </row>
    <row r="588" spans="1:17" x14ac:dyDescent="0.25">
      <c r="A588" s="24" t="s">
        <v>317</v>
      </c>
      <c r="B588" s="24" t="s">
        <v>20</v>
      </c>
      <c r="C588" s="24" t="s">
        <v>224</v>
      </c>
      <c r="D588" s="24" t="s">
        <v>0</v>
      </c>
      <c r="E588" s="24" t="s">
        <v>416</v>
      </c>
      <c r="F588" s="26" t="s">
        <v>478</v>
      </c>
      <c r="G588" s="2" t="s">
        <v>174</v>
      </c>
      <c r="H588" s="2" t="s">
        <v>23</v>
      </c>
      <c r="I588" s="24" t="s">
        <v>908</v>
      </c>
      <c r="J588" s="24" t="s">
        <v>908</v>
      </c>
      <c r="K588" s="24" t="s">
        <v>908</v>
      </c>
      <c r="M588" s="24" t="s">
        <v>908</v>
      </c>
      <c r="N588" s="2"/>
      <c r="P588" s="1" t="str">
        <f t="shared" si="18"/>
        <v>71601024</v>
      </c>
      <c r="Q588" s="263" t="str">
        <f t="shared" si="19"/>
        <v>AG - Non Capitalized Asset</v>
      </c>
    </row>
    <row r="589" spans="1:17" x14ac:dyDescent="0.25">
      <c r="A589" s="24" t="s">
        <v>317</v>
      </c>
      <c r="B589" s="24" t="s">
        <v>20</v>
      </c>
      <c r="C589" s="24" t="s">
        <v>224</v>
      </c>
      <c r="D589" s="24" t="s">
        <v>0</v>
      </c>
      <c r="E589" s="24" t="s">
        <v>418</v>
      </c>
      <c r="F589" s="26" t="s">
        <v>772</v>
      </c>
      <c r="G589" s="2" t="s">
        <v>174</v>
      </c>
      <c r="H589" s="2" t="s">
        <v>23</v>
      </c>
      <c r="I589" s="24" t="s">
        <v>908</v>
      </c>
      <c r="J589" s="24" t="s">
        <v>908</v>
      </c>
      <c r="K589" s="24" t="s">
        <v>908</v>
      </c>
      <c r="M589" s="24" t="s">
        <v>908</v>
      </c>
      <c r="N589" s="2"/>
      <c r="P589" s="1" t="str">
        <f t="shared" si="18"/>
        <v>71601025</v>
      </c>
      <c r="Q589" s="263" t="str">
        <f t="shared" si="19"/>
        <v>AG - Bank Charges</v>
      </c>
    </row>
    <row r="590" spans="1:17" x14ac:dyDescent="0.25">
      <c r="A590" s="24" t="s">
        <v>317</v>
      </c>
      <c r="B590" s="24" t="s">
        <v>20</v>
      </c>
      <c r="C590" s="24" t="s">
        <v>224</v>
      </c>
      <c r="D590" s="24" t="s">
        <v>0</v>
      </c>
      <c r="E590" s="24" t="s">
        <v>420</v>
      </c>
      <c r="F590" s="26" t="s">
        <v>773</v>
      </c>
      <c r="G590" s="2" t="s">
        <v>174</v>
      </c>
      <c r="H590" s="2" t="s">
        <v>23</v>
      </c>
      <c r="I590" s="24" t="s">
        <v>908</v>
      </c>
      <c r="J590" s="24" t="s">
        <v>908</v>
      </c>
      <c r="K590" s="24" t="s">
        <v>908</v>
      </c>
      <c r="M590" s="24" t="s">
        <v>908</v>
      </c>
      <c r="N590" s="2"/>
      <c r="P590" s="1" t="str">
        <f t="shared" si="18"/>
        <v>71601026</v>
      </c>
      <c r="Q590" s="263" t="str">
        <f t="shared" si="19"/>
        <v>AG - Credit Card Charge</v>
      </c>
    </row>
    <row r="591" spans="1:17" x14ac:dyDescent="0.25">
      <c r="A591" s="24" t="s">
        <v>317</v>
      </c>
      <c r="B591" s="24" t="s">
        <v>20</v>
      </c>
      <c r="C591" s="24" t="s">
        <v>224</v>
      </c>
      <c r="D591" s="24" t="s">
        <v>0</v>
      </c>
      <c r="E591" s="24" t="s">
        <v>422</v>
      </c>
      <c r="F591" s="5" t="s">
        <v>774</v>
      </c>
      <c r="G591" s="2" t="s">
        <v>174</v>
      </c>
      <c r="H591" s="2" t="s">
        <v>23</v>
      </c>
      <c r="I591" s="24" t="s">
        <v>908</v>
      </c>
      <c r="J591" s="24" t="s">
        <v>908</v>
      </c>
      <c r="K591" s="24" t="s">
        <v>908</v>
      </c>
      <c r="M591" s="24" t="s">
        <v>908</v>
      </c>
      <c r="N591" s="24"/>
      <c r="P591" s="1" t="str">
        <f t="shared" si="18"/>
        <v>71601027</v>
      </c>
      <c r="Q591" s="263" t="str">
        <f t="shared" si="19"/>
        <v>AG - Bad Debt Expense</v>
      </c>
    </row>
    <row r="592" spans="1:17" x14ac:dyDescent="0.25">
      <c r="A592" s="24" t="s">
        <v>317</v>
      </c>
      <c r="B592" s="24" t="s">
        <v>20</v>
      </c>
      <c r="C592" s="24" t="s">
        <v>224</v>
      </c>
      <c r="D592" s="24" t="s">
        <v>0</v>
      </c>
      <c r="E592" s="24" t="s">
        <v>43</v>
      </c>
      <c r="F592" s="5" t="s">
        <v>479</v>
      </c>
      <c r="G592" s="2" t="s">
        <v>174</v>
      </c>
      <c r="H592" s="2" t="s">
        <v>23</v>
      </c>
      <c r="I592" s="24" t="s">
        <v>908</v>
      </c>
      <c r="J592" s="24" t="s">
        <v>908</v>
      </c>
      <c r="K592" s="24" t="s">
        <v>908</v>
      </c>
      <c r="M592" s="24" t="s">
        <v>908</v>
      </c>
      <c r="N592" s="24"/>
      <c r="P592" s="1" t="str">
        <f t="shared" si="18"/>
        <v>71601999</v>
      </c>
      <c r="Q592" s="263" t="str">
        <f t="shared" si="19"/>
        <v>AG - Other Operating Expenses</v>
      </c>
    </row>
    <row r="593" spans="1:17" x14ac:dyDescent="0.25">
      <c r="A593" s="20" t="s">
        <v>317</v>
      </c>
      <c r="B593" s="20" t="s">
        <v>20</v>
      </c>
      <c r="C593" s="20" t="s">
        <v>224</v>
      </c>
      <c r="D593" s="20" t="s">
        <v>2</v>
      </c>
      <c r="E593" s="20"/>
      <c r="F593" s="22" t="s">
        <v>574</v>
      </c>
      <c r="G593" s="23" t="s">
        <v>174</v>
      </c>
      <c r="H593" s="23" t="s">
        <v>23</v>
      </c>
      <c r="I593" s="23" t="s">
        <v>907</v>
      </c>
      <c r="J593" s="23" t="s">
        <v>907</v>
      </c>
      <c r="K593" s="23" t="s">
        <v>907</v>
      </c>
      <c r="M593" s="23" t="s">
        <v>907</v>
      </c>
      <c r="N593" s="23"/>
      <c r="P593" s="1" t="str">
        <f t="shared" si="18"/>
        <v>71602</v>
      </c>
      <c r="Q593" s="263" t="str">
        <f t="shared" si="19"/>
        <v>Administrasi &amp; General - Provision for Replacement</v>
      </c>
    </row>
    <row r="594" spans="1:17" x14ac:dyDescent="0.25">
      <c r="A594" s="24" t="s">
        <v>317</v>
      </c>
      <c r="B594" s="24" t="s">
        <v>20</v>
      </c>
      <c r="C594" s="24" t="s">
        <v>224</v>
      </c>
      <c r="D594" s="24" t="s">
        <v>2</v>
      </c>
      <c r="E594" s="24" t="s">
        <v>1</v>
      </c>
      <c r="F594" s="5" t="s">
        <v>575</v>
      </c>
      <c r="G594" s="2" t="s">
        <v>174</v>
      </c>
      <c r="H594" s="2" t="s">
        <v>23</v>
      </c>
      <c r="I594" s="24" t="s">
        <v>908</v>
      </c>
      <c r="J594" s="24" t="s">
        <v>908</v>
      </c>
      <c r="K594" s="24" t="s">
        <v>908</v>
      </c>
      <c r="M594" s="24" t="s">
        <v>908</v>
      </c>
      <c r="N594" s="24"/>
      <c r="P594" s="1" t="str">
        <f t="shared" si="18"/>
        <v>71602001</v>
      </c>
      <c r="Q594" s="263" t="str">
        <f t="shared" si="19"/>
        <v>AG - Provision for Replacement Uniform</v>
      </c>
    </row>
    <row r="595" spans="1:17" x14ac:dyDescent="0.25">
      <c r="A595" s="8" t="s">
        <v>480</v>
      </c>
      <c r="B595" s="8"/>
      <c r="C595" s="8"/>
      <c r="D595" s="8"/>
      <c r="E595" s="8"/>
      <c r="F595" s="9" t="s">
        <v>481</v>
      </c>
      <c r="G595" s="10" t="s">
        <v>174</v>
      </c>
      <c r="H595" s="10" t="s">
        <v>23</v>
      </c>
      <c r="I595" s="10" t="s">
        <v>907</v>
      </c>
      <c r="J595" s="10" t="s">
        <v>907</v>
      </c>
      <c r="K595" s="10" t="s">
        <v>907</v>
      </c>
      <c r="M595" s="10" t="s">
        <v>907</v>
      </c>
      <c r="N595" s="10"/>
      <c r="P595" s="1" t="str">
        <f t="shared" si="18"/>
        <v>8</v>
      </c>
      <c r="Q595" s="263" t="str">
        <f t="shared" si="19"/>
        <v>OTHER INCOME &amp; EXPENSES</v>
      </c>
    </row>
    <row r="596" spans="1:17" x14ac:dyDescent="0.25">
      <c r="A596" s="12" t="s">
        <v>480</v>
      </c>
      <c r="B596" s="12" t="s">
        <v>20</v>
      </c>
      <c r="C596" s="12"/>
      <c r="D596" s="12"/>
      <c r="E596" s="12"/>
      <c r="F596" s="13" t="s">
        <v>560</v>
      </c>
      <c r="G596" s="14" t="s">
        <v>174</v>
      </c>
      <c r="H596" s="14" t="s">
        <v>23</v>
      </c>
      <c r="I596" s="14" t="s">
        <v>907</v>
      </c>
      <c r="J596" s="14" t="s">
        <v>907</v>
      </c>
      <c r="K596" s="14" t="s">
        <v>907</v>
      </c>
      <c r="M596" s="14" t="s">
        <v>907</v>
      </c>
      <c r="N596" s="14"/>
      <c r="P596" s="1" t="str">
        <f t="shared" si="18"/>
        <v>81</v>
      </c>
      <c r="Q596" s="263" t="str">
        <f t="shared" si="19"/>
        <v>Other Income &amp; Expense</v>
      </c>
    </row>
    <row r="597" spans="1:17" x14ac:dyDescent="0.25">
      <c r="A597" s="16" t="s">
        <v>480</v>
      </c>
      <c r="B597" s="16" t="s">
        <v>20</v>
      </c>
      <c r="C597" s="16" t="s">
        <v>20</v>
      </c>
      <c r="D597" s="16"/>
      <c r="E597" s="16"/>
      <c r="F597" s="18" t="s">
        <v>483</v>
      </c>
      <c r="G597" s="19" t="s">
        <v>174</v>
      </c>
      <c r="H597" s="19" t="s">
        <v>86</v>
      </c>
      <c r="I597" s="19" t="s">
        <v>907</v>
      </c>
      <c r="J597" s="19" t="s">
        <v>907</v>
      </c>
      <c r="K597" s="19" t="s">
        <v>907</v>
      </c>
      <c r="M597" s="19" t="s">
        <v>907</v>
      </c>
      <c r="N597" s="19"/>
      <c r="P597" s="1" t="str">
        <f t="shared" si="18"/>
        <v>811</v>
      </c>
      <c r="Q597" s="263" t="str">
        <f t="shared" si="19"/>
        <v>Other Income*</v>
      </c>
    </row>
    <row r="598" spans="1:17" x14ac:dyDescent="0.25">
      <c r="A598" s="20" t="s">
        <v>480</v>
      </c>
      <c r="B598" s="20" t="s">
        <v>20</v>
      </c>
      <c r="C598" s="20" t="s">
        <v>20</v>
      </c>
      <c r="D598" s="20" t="s">
        <v>0</v>
      </c>
      <c r="E598" s="20"/>
      <c r="F598" s="22" t="s">
        <v>482</v>
      </c>
      <c r="G598" s="23" t="s">
        <v>174</v>
      </c>
      <c r="H598" s="23" t="s">
        <v>86</v>
      </c>
      <c r="I598" s="23" t="s">
        <v>907</v>
      </c>
      <c r="J598" s="23" t="s">
        <v>907</v>
      </c>
      <c r="K598" s="23" t="s">
        <v>907</v>
      </c>
      <c r="M598" s="23" t="s">
        <v>907</v>
      </c>
      <c r="N598" s="23"/>
      <c r="P598" s="1" t="str">
        <f t="shared" si="18"/>
        <v>81101</v>
      </c>
      <c r="Q598" s="263" t="str">
        <f t="shared" si="19"/>
        <v>Other Income</v>
      </c>
    </row>
    <row r="599" spans="1:17" x14ac:dyDescent="0.25">
      <c r="A599" s="24" t="s">
        <v>480</v>
      </c>
      <c r="B599" s="24" t="s">
        <v>20</v>
      </c>
      <c r="C599" s="24" t="s">
        <v>20</v>
      </c>
      <c r="D599" s="24" t="s">
        <v>0</v>
      </c>
      <c r="E599" s="3" t="s">
        <v>1</v>
      </c>
      <c r="F599" s="5" t="s">
        <v>589</v>
      </c>
      <c r="G599" s="2" t="s">
        <v>174</v>
      </c>
      <c r="H599" s="2" t="s">
        <v>86</v>
      </c>
      <c r="I599" s="24" t="s">
        <v>908</v>
      </c>
      <c r="J599" s="24" t="s">
        <v>908</v>
      </c>
      <c r="K599" s="24" t="s">
        <v>908</v>
      </c>
      <c r="M599" s="24" t="s">
        <v>908</v>
      </c>
      <c r="N599" s="24"/>
      <c r="P599" s="1" t="str">
        <f t="shared" si="18"/>
        <v>81101001</v>
      </c>
      <c r="Q599" s="263" t="str">
        <f t="shared" si="19"/>
        <v>Gain/Loss on Disposal Asset</v>
      </c>
    </row>
    <row r="600" spans="1:17" x14ac:dyDescent="0.25">
      <c r="A600" s="24" t="s">
        <v>480</v>
      </c>
      <c r="B600" s="24" t="s">
        <v>20</v>
      </c>
      <c r="C600" s="24" t="s">
        <v>20</v>
      </c>
      <c r="D600" s="24" t="s">
        <v>0</v>
      </c>
      <c r="E600" s="3" t="s">
        <v>3</v>
      </c>
      <c r="F600" s="5" t="s">
        <v>485</v>
      </c>
      <c r="G600" s="2" t="s">
        <v>174</v>
      </c>
      <c r="H600" s="2" t="s">
        <v>86</v>
      </c>
      <c r="I600" s="24" t="s">
        <v>908</v>
      </c>
      <c r="J600" s="24" t="s">
        <v>908</v>
      </c>
      <c r="K600" s="24" t="s">
        <v>908</v>
      </c>
      <c r="M600" s="24" t="s">
        <v>908</v>
      </c>
      <c r="N600" s="24"/>
      <c r="P600" s="1" t="str">
        <f t="shared" si="18"/>
        <v>81101002</v>
      </c>
      <c r="Q600" s="263" t="str">
        <f t="shared" si="19"/>
        <v>Deferred Tax</v>
      </c>
    </row>
    <row r="601" spans="1:17" x14ac:dyDescent="0.25">
      <c r="A601" s="24" t="s">
        <v>480</v>
      </c>
      <c r="B601" s="24" t="s">
        <v>20</v>
      </c>
      <c r="C601" s="24" t="s">
        <v>20</v>
      </c>
      <c r="D601" s="24" t="s">
        <v>0</v>
      </c>
      <c r="E601" s="3" t="s">
        <v>5</v>
      </c>
      <c r="F601" s="5" t="s">
        <v>484</v>
      </c>
      <c r="G601" s="2" t="s">
        <v>174</v>
      </c>
      <c r="H601" s="2" t="s">
        <v>86</v>
      </c>
      <c r="I601" s="24" t="s">
        <v>908</v>
      </c>
      <c r="J601" s="24" t="s">
        <v>908</v>
      </c>
      <c r="K601" s="24" t="s">
        <v>908</v>
      </c>
      <c r="M601" s="24" t="s">
        <v>908</v>
      </c>
      <c r="N601" s="24"/>
      <c r="P601" s="1" t="str">
        <f t="shared" si="18"/>
        <v>81101003</v>
      </c>
      <c r="Q601" s="263" t="str">
        <f t="shared" si="19"/>
        <v>Interest Income</v>
      </c>
    </row>
    <row r="602" spans="1:17" x14ac:dyDescent="0.25">
      <c r="A602" s="24" t="s">
        <v>480</v>
      </c>
      <c r="B602" s="24" t="s">
        <v>20</v>
      </c>
      <c r="C602" s="24" t="s">
        <v>20</v>
      </c>
      <c r="D602" s="24" t="s">
        <v>0</v>
      </c>
      <c r="E602" s="3" t="s">
        <v>7</v>
      </c>
      <c r="F602" s="5" t="s">
        <v>488</v>
      </c>
      <c r="G602" s="2" t="s">
        <v>174</v>
      </c>
      <c r="H602" s="2" t="s">
        <v>86</v>
      </c>
      <c r="I602" s="24" t="s">
        <v>908</v>
      </c>
      <c r="J602" s="24" t="s">
        <v>908</v>
      </c>
      <c r="K602" s="24" t="s">
        <v>908</v>
      </c>
      <c r="M602" s="24" t="s">
        <v>908</v>
      </c>
      <c r="N602" s="24"/>
      <c r="P602" s="1" t="str">
        <f t="shared" si="18"/>
        <v>81101004</v>
      </c>
      <c r="Q602" s="263" t="str">
        <f t="shared" si="19"/>
        <v>Exchange Rates</v>
      </c>
    </row>
    <row r="603" spans="1:17" x14ac:dyDescent="0.25">
      <c r="A603" s="24" t="s">
        <v>480</v>
      </c>
      <c r="B603" s="24" t="s">
        <v>20</v>
      </c>
      <c r="C603" s="24" t="s">
        <v>20</v>
      </c>
      <c r="D603" s="24" t="s">
        <v>0</v>
      </c>
      <c r="E603" s="2">
        <v>999</v>
      </c>
      <c r="F603" s="5" t="s">
        <v>486</v>
      </c>
      <c r="G603" s="2" t="s">
        <v>174</v>
      </c>
      <c r="H603" s="2" t="s">
        <v>86</v>
      </c>
      <c r="I603" s="24" t="s">
        <v>908</v>
      </c>
      <c r="J603" s="24" t="s">
        <v>908</v>
      </c>
      <c r="K603" s="24" t="s">
        <v>908</v>
      </c>
      <c r="M603" s="24" t="s">
        <v>908</v>
      </c>
      <c r="N603" s="24"/>
      <c r="P603" s="1" t="str">
        <f t="shared" si="18"/>
        <v>81101999</v>
      </c>
      <c r="Q603" s="263" t="str">
        <f t="shared" si="19"/>
        <v>Other - Other Income</v>
      </c>
    </row>
    <row r="604" spans="1:17" x14ac:dyDescent="0.25">
      <c r="A604" s="16" t="s">
        <v>480</v>
      </c>
      <c r="B604" s="16" t="s">
        <v>20</v>
      </c>
      <c r="C604" s="16" t="s">
        <v>33</v>
      </c>
      <c r="D604" s="16"/>
      <c r="E604" s="16"/>
      <c r="F604" s="18" t="s">
        <v>487</v>
      </c>
      <c r="G604" s="19" t="s">
        <v>174</v>
      </c>
      <c r="H604" s="19" t="s">
        <v>23</v>
      </c>
      <c r="I604" s="19" t="s">
        <v>907</v>
      </c>
      <c r="J604" s="19" t="s">
        <v>907</v>
      </c>
      <c r="K604" s="19" t="s">
        <v>907</v>
      </c>
      <c r="M604" s="19" t="s">
        <v>907</v>
      </c>
      <c r="N604" s="19"/>
      <c r="P604" s="1" t="str">
        <f t="shared" si="18"/>
        <v>812</v>
      </c>
      <c r="Q604" s="263" t="str">
        <f t="shared" si="19"/>
        <v>Other Expenses</v>
      </c>
    </row>
    <row r="605" spans="1:17" x14ac:dyDescent="0.25">
      <c r="A605" s="20" t="s">
        <v>480</v>
      </c>
      <c r="B605" s="20" t="s">
        <v>20</v>
      </c>
      <c r="C605" s="20" t="s">
        <v>33</v>
      </c>
      <c r="D605" s="20" t="s">
        <v>0</v>
      </c>
      <c r="E605" s="20"/>
      <c r="F605" s="22" t="s">
        <v>561</v>
      </c>
      <c r="G605" s="23" t="s">
        <v>174</v>
      </c>
      <c r="H605" s="23" t="s">
        <v>23</v>
      </c>
      <c r="I605" s="23" t="s">
        <v>907</v>
      </c>
      <c r="J605" s="23" t="s">
        <v>907</v>
      </c>
      <c r="K605" s="23" t="s">
        <v>907</v>
      </c>
      <c r="M605" s="23" t="s">
        <v>907</v>
      </c>
      <c r="N605" s="23"/>
      <c r="P605" s="1" t="str">
        <f t="shared" si="18"/>
        <v>81201</v>
      </c>
      <c r="Q605" s="263" t="str">
        <f t="shared" si="19"/>
        <v>Other Expense</v>
      </c>
    </row>
    <row r="606" spans="1:17" x14ac:dyDescent="0.25">
      <c r="A606" s="24" t="s">
        <v>480</v>
      </c>
      <c r="B606" s="24" t="s">
        <v>20</v>
      </c>
      <c r="C606" s="24" t="s">
        <v>33</v>
      </c>
      <c r="D606" s="24" t="s">
        <v>0</v>
      </c>
      <c r="E606" s="3" t="s">
        <v>1</v>
      </c>
      <c r="F606" s="5" t="s">
        <v>489</v>
      </c>
      <c r="G606" s="2" t="s">
        <v>174</v>
      </c>
      <c r="H606" s="2" t="s">
        <v>23</v>
      </c>
      <c r="I606" s="24" t="s">
        <v>908</v>
      </c>
      <c r="J606" s="24" t="s">
        <v>908</v>
      </c>
      <c r="K606" s="24" t="s">
        <v>908</v>
      </c>
      <c r="M606" s="24" t="s">
        <v>908</v>
      </c>
      <c r="N606" s="24"/>
      <c r="P606" s="1" t="str">
        <f t="shared" si="18"/>
        <v>81201001</v>
      </c>
      <c r="Q606" s="263" t="str">
        <f t="shared" si="19"/>
        <v>Loss and Breakage</v>
      </c>
    </row>
    <row r="607" spans="1:17" x14ac:dyDescent="0.25">
      <c r="A607" s="24" t="s">
        <v>480</v>
      </c>
      <c r="B607" s="24" t="s">
        <v>20</v>
      </c>
      <c r="C607" s="24" t="s">
        <v>33</v>
      </c>
      <c r="D607" s="24" t="s">
        <v>0</v>
      </c>
      <c r="E607" s="3" t="s">
        <v>3</v>
      </c>
      <c r="F607" s="5" t="s">
        <v>490</v>
      </c>
      <c r="G607" s="2" t="s">
        <v>174</v>
      </c>
      <c r="H607" s="2" t="s">
        <v>23</v>
      </c>
      <c r="I607" s="24" t="s">
        <v>908</v>
      </c>
      <c r="J607" s="24" t="s">
        <v>908</v>
      </c>
      <c r="K607" s="24" t="s">
        <v>908</v>
      </c>
      <c r="M607" s="24" t="s">
        <v>908</v>
      </c>
      <c r="N607" s="24"/>
      <c r="P607" s="1" t="str">
        <f t="shared" si="18"/>
        <v>81201002</v>
      </c>
      <c r="Q607" s="263" t="str">
        <f t="shared" si="19"/>
        <v>Owners Expenses</v>
      </c>
    </row>
    <row r="608" spans="1:17" x14ac:dyDescent="0.25">
      <c r="A608" s="24" t="s">
        <v>480</v>
      </c>
      <c r="B608" s="24" t="s">
        <v>20</v>
      </c>
      <c r="C608" s="24" t="s">
        <v>33</v>
      </c>
      <c r="D608" s="24" t="s">
        <v>0</v>
      </c>
      <c r="E608" s="3" t="s">
        <v>5</v>
      </c>
      <c r="F608" s="5" t="s">
        <v>491</v>
      </c>
      <c r="G608" s="2" t="s">
        <v>174</v>
      </c>
      <c r="H608" s="2" t="s">
        <v>23</v>
      </c>
      <c r="I608" s="24" t="s">
        <v>908</v>
      </c>
      <c r="J608" s="24" t="s">
        <v>908</v>
      </c>
      <c r="K608" s="24" t="s">
        <v>908</v>
      </c>
      <c r="M608" s="24" t="s">
        <v>908</v>
      </c>
      <c r="N608" s="24"/>
      <c r="P608" s="1" t="str">
        <f t="shared" si="18"/>
        <v>81201003</v>
      </c>
      <c r="Q608" s="263" t="str">
        <f t="shared" si="19"/>
        <v>Property Insurance</v>
      </c>
    </row>
    <row r="609" spans="1:17" x14ac:dyDescent="0.25">
      <c r="A609" s="24" t="s">
        <v>480</v>
      </c>
      <c r="B609" s="24" t="s">
        <v>20</v>
      </c>
      <c r="C609" s="24" t="s">
        <v>33</v>
      </c>
      <c r="D609" s="24" t="s">
        <v>0</v>
      </c>
      <c r="E609" s="3" t="s">
        <v>7</v>
      </c>
      <c r="F609" s="5" t="s">
        <v>492</v>
      </c>
      <c r="G609" s="2" t="s">
        <v>174</v>
      </c>
      <c r="H609" s="2" t="s">
        <v>23</v>
      </c>
      <c r="I609" s="24" t="s">
        <v>908</v>
      </c>
      <c r="J609" s="24" t="s">
        <v>908</v>
      </c>
      <c r="K609" s="24" t="s">
        <v>908</v>
      </c>
      <c r="M609" s="24" t="s">
        <v>908</v>
      </c>
      <c r="N609" s="24"/>
      <c r="P609" s="1" t="str">
        <f t="shared" si="18"/>
        <v>81201004</v>
      </c>
      <c r="Q609" s="263" t="str">
        <f t="shared" si="19"/>
        <v>Property Tax</v>
      </c>
    </row>
    <row r="610" spans="1:17" x14ac:dyDescent="0.25">
      <c r="A610" s="24" t="s">
        <v>480</v>
      </c>
      <c r="B610" s="24" t="s">
        <v>20</v>
      </c>
      <c r="C610" s="24" t="s">
        <v>33</v>
      </c>
      <c r="D610" s="24" t="s">
        <v>0</v>
      </c>
      <c r="E610" s="3" t="s">
        <v>9</v>
      </c>
      <c r="F610" s="5" t="s">
        <v>914</v>
      </c>
      <c r="G610" s="2" t="s">
        <v>174</v>
      </c>
      <c r="H610" s="2" t="s">
        <v>23</v>
      </c>
      <c r="I610" s="2" t="s">
        <v>910</v>
      </c>
      <c r="J610" s="2" t="s">
        <v>910</v>
      </c>
      <c r="K610" s="2" t="s">
        <v>910</v>
      </c>
      <c r="M610" s="2" t="s">
        <v>908</v>
      </c>
      <c r="N610" s="24"/>
      <c r="P610" s="1" t="str">
        <f t="shared" si="18"/>
        <v>81201005</v>
      </c>
      <c r="Q610" s="263" t="str">
        <f t="shared" si="19"/>
        <v>Property Rent / Land Assessment</v>
      </c>
    </row>
    <row r="611" spans="1:17" x14ac:dyDescent="0.25">
      <c r="A611" s="24" t="s">
        <v>480</v>
      </c>
      <c r="B611" s="24" t="s">
        <v>20</v>
      </c>
      <c r="C611" s="24" t="s">
        <v>33</v>
      </c>
      <c r="D611" s="24" t="s">
        <v>0</v>
      </c>
      <c r="E611" s="3" t="s">
        <v>10</v>
      </c>
      <c r="F611" s="5" t="s">
        <v>494</v>
      </c>
      <c r="G611" s="2" t="s">
        <v>174</v>
      </c>
      <c r="H611" s="2" t="s">
        <v>23</v>
      </c>
      <c r="I611" s="24" t="s">
        <v>908</v>
      </c>
      <c r="J611" s="24" t="s">
        <v>908</v>
      </c>
      <c r="K611" s="24" t="s">
        <v>908</v>
      </c>
      <c r="M611" s="24" t="s">
        <v>908</v>
      </c>
      <c r="N611" s="24"/>
      <c r="P611" s="1" t="str">
        <f t="shared" si="18"/>
        <v>81201006</v>
      </c>
      <c r="Q611" s="263" t="str">
        <f t="shared" si="19"/>
        <v>Project &amp; Building Renovation</v>
      </c>
    </row>
    <row r="612" spans="1:17" x14ac:dyDescent="0.25">
      <c r="A612" s="24" t="s">
        <v>480</v>
      </c>
      <c r="B612" s="24" t="s">
        <v>20</v>
      </c>
      <c r="C612" s="24" t="s">
        <v>33</v>
      </c>
      <c r="D612" s="24" t="s">
        <v>0</v>
      </c>
      <c r="E612" s="3" t="s">
        <v>11</v>
      </c>
      <c r="F612" s="5" t="s">
        <v>549</v>
      </c>
      <c r="G612" s="2" t="s">
        <v>174</v>
      </c>
      <c r="H612" s="2" t="s">
        <v>23</v>
      </c>
      <c r="I612" s="24" t="s">
        <v>908</v>
      </c>
      <c r="J612" s="24" t="s">
        <v>908</v>
      </c>
      <c r="K612" s="24" t="s">
        <v>908</v>
      </c>
      <c r="M612" s="24" t="s">
        <v>908</v>
      </c>
      <c r="N612" s="24"/>
      <c r="P612" s="1" t="str">
        <f t="shared" si="18"/>
        <v>81201007</v>
      </c>
      <c r="Q612" s="263" t="str">
        <f t="shared" si="19"/>
        <v>Consultant Fee</v>
      </c>
    </row>
    <row r="613" spans="1:17" x14ac:dyDescent="0.25">
      <c r="A613" s="24" t="s">
        <v>480</v>
      </c>
      <c r="B613" s="24" t="s">
        <v>20</v>
      </c>
      <c r="C613" s="24" t="s">
        <v>33</v>
      </c>
      <c r="D613" s="24" t="s">
        <v>0</v>
      </c>
      <c r="E613" s="2">
        <v>999</v>
      </c>
      <c r="F613" s="5" t="s">
        <v>495</v>
      </c>
      <c r="G613" s="2" t="s">
        <v>174</v>
      </c>
      <c r="H613" s="2" t="s">
        <v>23</v>
      </c>
      <c r="I613" s="24" t="s">
        <v>908</v>
      </c>
      <c r="J613" s="24" t="s">
        <v>908</v>
      </c>
      <c r="K613" s="24" t="s">
        <v>908</v>
      </c>
      <c r="M613" s="24" t="s">
        <v>908</v>
      </c>
      <c r="N613" s="24"/>
      <c r="P613" s="1" t="str">
        <f t="shared" si="18"/>
        <v>81201999</v>
      </c>
      <c r="Q613" s="263" t="str">
        <f t="shared" si="19"/>
        <v>Other - Other Expense</v>
      </c>
    </row>
    <row r="614" spans="1:17" x14ac:dyDescent="0.25">
      <c r="A614" s="20" t="s">
        <v>480</v>
      </c>
      <c r="B614" s="20" t="s">
        <v>20</v>
      </c>
      <c r="C614" s="20" t="s">
        <v>33</v>
      </c>
      <c r="D614" s="20" t="s">
        <v>2</v>
      </c>
      <c r="E614" s="20"/>
      <c r="F614" s="22" t="s">
        <v>562</v>
      </c>
      <c r="G614" s="23" t="s">
        <v>174</v>
      </c>
      <c r="H614" s="23" t="s">
        <v>23</v>
      </c>
      <c r="I614" s="23" t="s">
        <v>907</v>
      </c>
      <c r="J614" s="23" t="s">
        <v>907</v>
      </c>
      <c r="K614" s="23" t="s">
        <v>907</v>
      </c>
      <c r="M614" s="23" t="s">
        <v>907</v>
      </c>
      <c r="N614" s="23"/>
      <c r="P614" s="1" t="str">
        <f t="shared" si="18"/>
        <v>81202</v>
      </c>
      <c r="Q614" s="263" t="str">
        <f t="shared" si="19"/>
        <v>Operator Fee</v>
      </c>
    </row>
    <row r="615" spans="1:17" x14ac:dyDescent="0.25">
      <c r="A615" s="24" t="s">
        <v>480</v>
      </c>
      <c r="B615" s="24" t="s">
        <v>20</v>
      </c>
      <c r="C615" s="24" t="s">
        <v>33</v>
      </c>
      <c r="D615" s="24" t="s">
        <v>2</v>
      </c>
      <c r="E615" s="2" t="s">
        <v>1</v>
      </c>
      <c r="F615" s="5" t="s">
        <v>496</v>
      </c>
      <c r="G615" s="2" t="s">
        <v>174</v>
      </c>
      <c r="H615" s="2" t="s">
        <v>23</v>
      </c>
      <c r="I615" s="24" t="s">
        <v>908</v>
      </c>
      <c r="J615" s="24" t="s">
        <v>908</v>
      </c>
      <c r="K615" s="24" t="s">
        <v>908</v>
      </c>
      <c r="M615" s="24" t="s">
        <v>908</v>
      </c>
      <c r="N615" s="24"/>
      <c r="P615" s="1" t="str">
        <f t="shared" si="18"/>
        <v>81202001</v>
      </c>
      <c r="Q615" s="263" t="str">
        <f t="shared" si="19"/>
        <v>Management Fee</v>
      </c>
    </row>
    <row r="616" spans="1:17" x14ac:dyDescent="0.25">
      <c r="A616" s="24" t="s">
        <v>480</v>
      </c>
      <c r="B616" s="24" t="s">
        <v>20</v>
      </c>
      <c r="C616" s="24" t="s">
        <v>33</v>
      </c>
      <c r="D616" s="24" t="s">
        <v>2</v>
      </c>
      <c r="E616" s="2" t="s">
        <v>3</v>
      </c>
      <c r="F616" s="5" t="s">
        <v>497</v>
      </c>
      <c r="G616" s="2" t="s">
        <v>174</v>
      </c>
      <c r="H616" s="2" t="s">
        <v>23</v>
      </c>
      <c r="I616" s="24" t="s">
        <v>908</v>
      </c>
      <c r="J616" s="24" t="s">
        <v>908</v>
      </c>
      <c r="K616" s="24" t="s">
        <v>908</v>
      </c>
      <c r="M616" s="24" t="s">
        <v>908</v>
      </c>
      <c r="N616" s="24"/>
      <c r="P616" s="1" t="str">
        <f t="shared" si="18"/>
        <v>81202002</v>
      </c>
      <c r="Q616" s="263" t="str">
        <f t="shared" si="19"/>
        <v>Marketing Fee</v>
      </c>
    </row>
    <row r="617" spans="1:17" x14ac:dyDescent="0.25">
      <c r="A617" s="24" t="s">
        <v>480</v>
      </c>
      <c r="B617" s="24" t="s">
        <v>20</v>
      </c>
      <c r="C617" s="24" t="s">
        <v>33</v>
      </c>
      <c r="D617" s="24" t="s">
        <v>2</v>
      </c>
      <c r="E617" s="2" t="s">
        <v>5</v>
      </c>
      <c r="F617" s="5" t="s">
        <v>498</v>
      </c>
      <c r="G617" s="2" t="s">
        <v>174</v>
      </c>
      <c r="H617" s="2" t="s">
        <v>23</v>
      </c>
      <c r="I617" s="24" t="s">
        <v>908</v>
      </c>
      <c r="J617" s="24" t="s">
        <v>908</v>
      </c>
      <c r="K617" s="24" t="s">
        <v>908</v>
      </c>
      <c r="M617" s="24" t="s">
        <v>908</v>
      </c>
      <c r="N617" s="24"/>
      <c r="P617" s="1" t="str">
        <f t="shared" si="18"/>
        <v>81202003</v>
      </c>
      <c r="Q617" s="263" t="str">
        <f t="shared" si="19"/>
        <v>Royalty Fee</v>
      </c>
    </row>
    <row r="618" spans="1:17" x14ac:dyDescent="0.25">
      <c r="A618" s="20" t="s">
        <v>480</v>
      </c>
      <c r="B618" s="20" t="s">
        <v>20</v>
      </c>
      <c r="C618" s="20" t="s">
        <v>33</v>
      </c>
      <c r="D618" s="20" t="s">
        <v>4</v>
      </c>
      <c r="E618" s="20"/>
      <c r="F618" s="22" t="s">
        <v>583</v>
      </c>
      <c r="G618" s="23" t="s">
        <v>174</v>
      </c>
      <c r="H618" s="23" t="s">
        <v>23</v>
      </c>
      <c r="I618" s="23" t="s">
        <v>907</v>
      </c>
      <c r="J618" s="23" t="s">
        <v>907</v>
      </c>
      <c r="K618" s="23" t="s">
        <v>907</v>
      </c>
      <c r="M618" s="23" t="s">
        <v>907</v>
      </c>
      <c r="N618" s="23"/>
      <c r="P618" s="1" t="str">
        <f t="shared" si="18"/>
        <v>81203</v>
      </c>
      <c r="Q618" s="263" t="str">
        <f t="shared" si="19"/>
        <v>Other Provision</v>
      </c>
    </row>
    <row r="619" spans="1:17" x14ac:dyDescent="0.25">
      <c r="A619" s="24" t="s">
        <v>480</v>
      </c>
      <c r="B619" s="24" t="s">
        <v>20</v>
      </c>
      <c r="C619" s="24" t="s">
        <v>33</v>
      </c>
      <c r="D619" s="24" t="s">
        <v>4</v>
      </c>
      <c r="E619" s="2" t="s">
        <v>1</v>
      </c>
      <c r="F619" s="5" t="s">
        <v>499</v>
      </c>
      <c r="G619" s="2" t="s">
        <v>174</v>
      </c>
      <c r="H619" s="2" t="s">
        <v>23</v>
      </c>
      <c r="I619" s="2" t="s">
        <v>907</v>
      </c>
      <c r="J619" s="2" t="s">
        <v>907</v>
      </c>
      <c r="K619" s="2" t="s">
        <v>907</v>
      </c>
      <c r="M619" s="2" t="s">
        <v>907</v>
      </c>
      <c r="N619" s="24"/>
      <c r="P619" s="1" t="str">
        <f t="shared" si="18"/>
        <v>81203001</v>
      </c>
      <c r="Q619" s="263" t="str">
        <f t="shared" si="19"/>
        <v>Provision for THR</v>
      </c>
    </row>
    <row r="620" spans="1:17" x14ac:dyDescent="0.25">
      <c r="A620" s="24" t="s">
        <v>480</v>
      </c>
      <c r="B620" s="24" t="s">
        <v>20</v>
      </c>
      <c r="C620" s="24" t="s">
        <v>33</v>
      </c>
      <c r="D620" s="24" t="s">
        <v>4</v>
      </c>
      <c r="E620" s="2" t="s">
        <v>3</v>
      </c>
      <c r="F620" s="5" t="s">
        <v>500</v>
      </c>
      <c r="G620" s="2" t="s">
        <v>174</v>
      </c>
      <c r="H620" s="2" t="s">
        <v>23</v>
      </c>
      <c r="I620" s="2" t="s">
        <v>907</v>
      </c>
      <c r="J620" s="2" t="s">
        <v>907</v>
      </c>
      <c r="K620" s="2" t="s">
        <v>907</v>
      </c>
      <c r="M620" s="2" t="s">
        <v>907</v>
      </c>
      <c r="N620" s="24"/>
      <c r="P620" s="1" t="str">
        <f t="shared" si="18"/>
        <v>81203002</v>
      </c>
      <c r="Q620" s="263" t="str">
        <f t="shared" si="19"/>
        <v>Provision for Bonus</v>
      </c>
    </row>
    <row r="621" spans="1:17" x14ac:dyDescent="0.25">
      <c r="A621" s="24" t="s">
        <v>480</v>
      </c>
      <c r="B621" s="24" t="s">
        <v>20</v>
      </c>
      <c r="C621" s="24" t="s">
        <v>33</v>
      </c>
      <c r="D621" s="24" t="s">
        <v>4</v>
      </c>
      <c r="E621" s="2" t="s">
        <v>5</v>
      </c>
      <c r="F621" s="5" t="s">
        <v>501</v>
      </c>
      <c r="G621" s="2" t="s">
        <v>174</v>
      </c>
      <c r="H621" s="2" t="s">
        <v>23</v>
      </c>
      <c r="I621" s="24" t="s">
        <v>908</v>
      </c>
      <c r="J621" s="24" t="s">
        <v>908</v>
      </c>
      <c r="K621" s="24" t="s">
        <v>908</v>
      </c>
      <c r="M621" s="24" t="s">
        <v>908</v>
      </c>
      <c r="N621" s="24"/>
      <c r="P621" s="1" t="str">
        <f t="shared" si="18"/>
        <v>81203003</v>
      </c>
      <c r="Q621" s="263" t="str">
        <f t="shared" si="19"/>
        <v>Provision for Replacement FFE</v>
      </c>
    </row>
    <row r="622" spans="1:17" x14ac:dyDescent="0.25">
      <c r="A622" s="12" t="s">
        <v>480</v>
      </c>
      <c r="B622" s="12" t="s">
        <v>33</v>
      </c>
      <c r="C622" s="12"/>
      <c r="D622" s="12"/>
      <c r="E622" s="12"/>
      <c r="F622" s="13" t="s">
        <v>506</v>
      </c>
      <c r="G622" s="14" t="s">
        <v>174</v>
      </c>
      <c r="H622" s="14" t="s">
        <v>23</v>
      </c>
      <c r="I622" s="14" t="s">
        <v>907</v>
      </c>
      <c r="J622" s="14" t="s">
        <v>907</v>
      </c>
      <c r="K622" s="14" t="s">
        <v>907</v>
      </c>
      <c r="M622" s="14" t="s">
        <v>907</v>
      </c>
      <c r="N622" s="14"/>
      <c r="P622" s="1" t="str">
        <f t="shared" si="18"/>
        <v>82</v>
      </c>
      <c r="Q622" s="263" t="str">
        <f t="shared" si="19"/>
        <v>Depreciation &amp; Amortization Expenses</v>
      </c>
    </row>
    <row r="623" spans="1:17" x14ac:dyDescent="0.25">
      <c r="A623" s="16" t="s">
        <v>480</v>
      </c>
      <c r="B623" s="16" t="s">
        <v>33</v>
      </c>
      <c r="C623" s="16" t="s">
        <v>20</v>
      </c>
      <c r="D623" s="16"/>
      <c r="E623" s="16"/>
      <c r="F623" s="18" t="s">
        <v>507</v>
      </c>
      <c r="G623" s="19" t="s">
        <v>174</v>
      </c>
      <c r="H623" s="19" t="s">
        <v>23</v>
      </c>
      <c r="I623" s="19" t="s">
        <v>907</v>
      </c>
      <c r="J623" s="19" t="s">
        <v>907</v>
      </c>
      <c r="K623" s="19" t="s">
        <v>907</v>
      </c>
      <c r="M623" s="19" t="s">
        <v>907</v>
      </c>
      <c r="N623" s="19"/>
      <c r="P623" s="1" t="str">
        <f t="shared" si="18"/>
        <v>821</v>
      </c>
      <c r="Q623" s="263" t="str">
        <f t="shared" si="19"/>
        <v>Depreciation Expenses</v>
      </c>
    </row>
    <row r="624" spans="1:17" x14ac:dyDescent="0.25">
      <c r="A624" s="20" t="s">
        <v>480</v>
      </c>
      <c r="B624" s="20" t="s">
        <v>33</v>
      </c>
      <c r="C624" s="20" t="s">
        <v>20</v>
      </c>
      <c r="D624" s="20" t="s">
        <v>0</v>
      </c>
      <c r="E624" s="20"/>
      <c r="F624" s="22" t="s">
        <v>581</v>
      </c>
      <c r="G624" s="23" t="s">
        <v>174</v>
      </c>
      <c r="H624" s="23" t="s">
        <v>23</v>
      </c>
      <c r="I624" s="23" t="s">
        <v>907</v>
      </c>
      <c r="J624" s="23" t="s">
        <v>907</v>
      </c>
      <c r="K624" s="23" t="s">
        <v>907</v>
      </c>
      <c r="M624" s="23" t="s">
        <v>907</v>
      </c>
      <c r="N624" s="23"/>
      <c r="P624" s="1" t="str">
        <f t="shared" si="18"/>
        <v>82101</v>
      </c>
      <c r="Q624" s="263" t="str">
        <f t="shared" si="19"/>
        <v>Depreciation of Building*</v>
      </c>
    </row>
    <row r="625" spans="1:17" x14ac:dyDescent="0.25">
      <c r="A625" s="24" t="s">
        <v>480</v>
      </c>
      <c r="B625" s="24" t="s">
        <v>33</v>
      </c>
      <c r="C625" s="24" t="s">
        <v>20</v>
      </c>
      <c r="D625" s="24" t="s">
        <v>0</v>
      </c>
      <c r="E625" s="24" t="s">
        <v>1</v>
      </c>
      <c r="F625" s="5" t="s">
        <v>508</v>
      </c>
      <c r="G625" s="2" t="s">
        <v>174</v>
      </c>
      <c r="H625" s="2" t="s">
        <v>23</v>
      </c>
      <c r="I625" s="24" t="s">
        <v>908</v>
      </c>
      <c r="J625" s="24" t="s">
        <v>908</v>
      </c>
      <c r="K625" s="24" t="s">
        <v>908</v>
      </c>
      <c r="M625" s="24" t="s">
        <v>908</v>
      </c>
      <c r="N625" s="24"/>
      <c r="P625" s="1" t="str">
        <f t="shared" si="18"/>
        <v>82101001</v>
      </c>
      <c r="Q625" s="263" t="str">
        <f t="shared" si="19"/>
        <v>Depreciation of Building</v>
      </c>
    </row>
    <row r="626" spans="1:17" x14ac:dyDescent="0.25">
      <c r="A626" s="24" t="s">
        <v>480</v>
      </c>
      <c r="B626" s="24" t="s">
        <v>33</v>
      </c>
      <c r="C626" s="24" t="s">
        <v>20</v>
      </c>
      <c r="D626" s="24" t="s">
        <v>0</v>
      </c>
      <c r="E626" s="24" t="s">
        <v>3</v>
      </c>
      <c r="F626" s="5" t="s">
        <v>510</v>
      </c>
      <c r="G626" s="2" t="s">
        <v>174</v>
      </c>
      <c r="H626" s="2" t="s">
        <v>23</v>
      </c>
      <c r="I626" s="24" t="s">
        <v>908</v>
      </c>
      <c r="J626" s="24" t="s">
        <v>908</v>
      </c>
      <c r="K626" s="24" t="s">
        <v>908</v>
      </c>
      <c r="M626" s="24" t="s">
        <v>908</v>
      </c>
      <c r="N626" s="24"/>
      <c r="P626" s="1" t="str">
        <f t="shared" si="18"/>
        <v>82101002</v>
      </c>
      <c r="Q626" s="263" t="str">
        <f t="shared" si="19"/>
        <v>Depreciation of Machine</v>
      </c>
    </row>
    <row r="627" spans="1:17" x14ac:dyDescent="0.25">
      <c r="A627" s="24" t="s">
        <v>480</v>
      </c>
      <c r="B627" s="24" t="s">
        <v>33</v>
      </c>
      <c r="C627" s="24" t="s">
        <v>20</v>
      </c>
      <c r="D627" s="24" t="s">
        <v>0</v>
      </c>
      <c r="E627" s="24" t="s">
        <v>5</v>
      </c>
      <c r="F627" s="5" t="s">
        <v>546</v>
      </c>
      <c r="G627" s="2" t="s">
        <v>174</v>
      </c>
      <c r="H627" s="2" t="s">
        <v>23</v>
      </c>
      <c r="I627" s="24" t="s">
        <v>908</v>
      </c>
      <c r="J627" s="24" t="s">
        <v>908</v>
      </c>
      <c r="K627" s="24" t="s">
        <v>908</v>
      </c>
      <c r="M627" s="24" t="s">
        <v>908</v>
      </c>
      <c r="N627" s="24"/>
      <c r="P627" s="1" t="str">
        <f t="shared" si="18"/>
        <v>82101003</v>
      </c>
      <c r="Q627" s="263" t="str">
        <f t="shared" si="19"/>
        <v>Depreciation of General Building System Equipment</v>
      </c>
    </row>
    <row r="628" spans="1:17" x14ac:dyDescent="0.25">
      <c r="A628" s="24" t="s">
        <v>480</v>
      </c>
      <c r="B628" s="24" t="s">
        <v>33</v>
      </c>
      <c r="C628" s="24" t="s">
        <v>20</v>
      </c>
      <c r="D628" s="24" t="s">
        <v>0</v>
      </c>
      <c r="E628" s="24" t="s">
        <v>7</v>
      </c>
      <c r="F628" s="5" t="s">
        <v>511</v>
      </c>
      <c r="G628" s="2" t="s">
        <v>174</v>
      </c>
      <c r="H628" s="2" t="s">
        <v>23</v>
      </c>
      <c r="I628" s="24" t="s">
        <v>908</v>
      </c>
      <c r="J628" s="24" t="s">
        <v>908</v>
      </c>
      <c r="K628" s="24" t="s">
        <v>908</v>
      </c>
      <c r="M628" s="24" t="s">
        <v>908</v>
      </c>
      <c r="N628" s="24"/>
      <c r="P628" s="1" t="str">
        <f t="shared" si="18"/>
        <v>82101004</v>
      </c>
      <c r="Q628" s="263" t="str">
        <f t="shared" si="19"/>
        <v>Depreciation of Furniture &amp; Fixture</v>
      </c>
    </row>
    <row r="629" spans="1:17" x14ac:dyDescent="0.25">
      <c r="A629" s="24" t="s">
        <v>480</v>
      </c>
      <c r="B629" s="24" t="s">
        <v>33</v>
      </c>
      <c r="C629" s="24" t="s">
        <v>20</v>
      </c>
      <c r="D629" s="24" t="s">
        <v>0</v>
      </c>
      <c r="E629" s="24" t="s">
        <v>9</v>
      </c>
      <c r="F629" s="5" t="s">
        <v>513</v>
      </c>
      <c r="G629" s="2" t="s">
        <v>174</v>
      </c>
      <c r="H629" s="2" t="s">
        <v>23</v>
      </c>
      <c r="I629" s="24" t="s">
        <v>908</v>
      </c>
      <c r="J629" s="24" t="s">
        <v>908</v>
      </c>
      <c r="K629" s="24" t="s">
        <v>908</v>
      </c>
      <c r="M629" s="24" t="s">
        <v>908</v>
      </c>
      <c r="N629" s="24"/>
      <c r="P629" s="1" t="str">
        <f t="shared" si="18"/>
        <v>82101005</v>
      </c>
      <c r="Q629" s="263" t="str">
        <f t="shared" si="19"/>
        <v>Depreciation of Vehicle</v>
      </c>
    </row>
    <row r="630" spans="1:17" x14ac:dyDescent="0.25">
      <c r="A630" s="24" t="s">
        <v>480</v>
      </c>
      <c r="B630" s="24" t="s">
        <v>33</v>
      </c>
      <c r="C630" s="24" t="s">
        <v>20</v>
      </c>
      <c r="D630" s="24" t="s">
        <v>0</v>
      </c>
      <c r="E630" s="24" t="s">
        <v>43</v>
      </c>
      <c r="F630" s="5" t="s">
        <v>512</v>
      </c>
      <c r="G630" s="2" t="s">
        <v>174</v>
      </c>
      <c r="H630" s="2" t="s">
        <v>23</v>
      </c>
      <c r="I630" s="24" t="s">
        <v>908</v>
      </c>
      <c r="J630" s="24" t="s">
        <v>908</v>
      </c>
      <c r="K630" s="24" t="s">
        <v>908</v>
      </c>
      <c r="M630" s="24" t="s">
        <v>908</v>
      </c>
      <c r="N630" s="24"/>
      <c r="P630" s="1" t="str">
        <f t="shared" si="18"/>
        <v>82101999</v>
      </c>
      <c r="Q630" s="263" t="str">
        <f t="shared" si="19"/>
        <v>Depreciation of Other Equipment</v>
      </c>
    </row>
    <row r="631" spans="1:17" x14ac:dyDescent="0.25">
      <c r="A631" s="16" t="s">
        <v>480</v>
      </c>
      <c r="B631" s="16" t="s">
        <v>33</v>
      </c>
      <c r="C631" s="16" t="s">
        <v>33</v>
      </c>
      <c r="D631" s="16"/>
      <c r="E631" s="16"/>
      <c r="F631" s="18" t="s">
        <v>515</v>
      </c>
      <c r="G631" s="19" t="s">
        <v>174</v>
      </c>
      <c r="H631" s="19" t="s">
        <v>23</v>
      </c>
      <c r="I631" s="19" t="s">
        <v>907</v>
      </c>
      <c r="J631" s="19" t="s">
        <v>907</v>
      </c>
      <c r="K631" s="19" t="s">
        <v>907</v>
      </c>
      <c r="M631" s="19" t="s">
        <v>907</v>
      </c>
      <c r="N631" s="19"/>
      <c r="P631" s="1" t="str">
        <f t="shared" si="18"/>
        <v>822</v>
      </c>
      <c r="Q631" s="263" t="str">
        <f t="shared" si="19"/>
        <v>Amortization Expenses</v>
      </c>
    </row>
    <row r="632" spans="1:17" x14ac:dyDescent="0.25">
      <c r="A632" s="20" t="s">
        <v>480</v>
      </c>
      <c r="B632" s="20" t="s">
        <v>33</v>
      </c>
      <c r="C632" s="20" t="s">
        <v>33</v>
      </c>
      <c r="D632" s="20" t="s">
        <v>0</v>
      </c>
      <c r="E632" s="20"/>
      <c r="F632" s="22" t="s">
        <v>516</v>
      </c>
      <c r="G632" s="23" t="s">
        <v>174</v>
      </c>
      <c r="H632" s="23" t="s">
        <v>23</v>
      </c>
      <c r="I632" s="23" t="s">
        <v>907</v>
      </c>
      <c r="J632" s="23" t="s">
        <v>907</v>
      </c>
      <c r="K632" s="23" t="s">
        <v>907</v>
      </c>
      <c r="M632" s="23" t="s">
        <v>907</v>
      </c>
      <c r="N632" s="23"/>
      <c r="P632" s="1" t="str">
        <f t="shared" si="18"/>
        <v>82201</v>
      </c>
      <c r="Q632" s="263" t="str">
        <f t="shared" si="19"/>
        <v>Amortization of Intangible Asset</v>
      </c>
    </row>
    <row r="633" spans="1:17" x14ac:dyDescent="0.25">
      <c r="A633" s="24" t="s">
        <v>480</v>
      </c>
      <c r="B633" s="24" t="s">
        <v>33</v>
      </c>
      <c r="C633" s="24" t="s">
        <v>33</v>
      </c>
      <c r="D633" s="24" t="s">
        <v>0</v>
      </c>
      <c r="E633" s="2" t="s">
        <v>1</v>
      </c>
      <c r="F633" s="5" t="s">
        <v>517</v>
      </c>
      <c r="G633" s="2" t="s">
        <v>174</v>
      </c>
      <c r="H633" s="2" t="s">
        <v>23</v>
      </c>
      <c r="I633" s="24" t="s">
        <v>908</v>
      </c>
      <c r="J633" s="24" t="s">
        <v>908</v>
      </c>
      <c r="K633" s="24" t="s">
        <v>908</v>
      </c>
      <c r="M633" s="24" t="s">
        <v>908</v>
      </c>
      <c r="N633" s="24"/>
      <c r="P633" s="1" t="str">
        <f t="shared" si="18"/>
        <v>82201001</v>
      </c>
      <c r="Q633" s="263" t="str">
        <f t="shared" si="19"/>
        <v>Amortization of Software</v>
      </c>
    </row>
    <row r="634" spans="1:17" x14ac:dyDescent="0.25">
      <c r="A634" s="24" t="s">
        <v>480</v>
      </c>
      <c r="B634" s="24" t="s">
        <v>33</v>
      </c>
      <c r="C634" s="24" t="s">
        <v>33</v>
      </c>
      <c r="D634" s="24" t="s">
        <v>0</v>
      </c>
      <c r="E634" s="2" t="s">
        <v>3</v>
      </c>
      <c r="F634" s="5" t="s">
        <v>518</v>
      </c>
      <c r="G634" s="2" t="s">
        <v>174</v>
      </c>
      <c r="H634" s="2" t="s">
        <v>23</v>
      </c>
      <c r="I634" s="24" t="s">
        <v>908</v>
      </c>
      <c r="J634" s="24" t="s">
        <v>908</v>
      </c>
      <c r="K634" s="24" t="s">
        <v>908</v>
      </c>
      <c r="M634" s="24" t="s">
        <v>908</v>
      </c>
      <c r="N634" s="24"/>
      <c r="P634" s="1" t="str">
        <f t="shared" si="18"/>
        <v>82201002</v>
      </c>
      <c r="Q634" s="263" t="str">
        <f t="shared" si="19"/>
        <v>Amortization of Goodwill</v>
      </c>
    </row>
    <row r="635" spans="1:17" x14ac:dyDescent="0.25">
      <c r="A635" s="24" t="s">
        <v>480</v>
      </c>
      <c r="B635" s="24" t="s">
        <v>33</v>
      </c>
      <c r="C635" s="24" t="s">
        <v>33</v>
      </c>
      <c r="D635" s="24" t="s">
        <v>0</v>
      </c>
      <c r="E635" s="2" t="s">
        <v>5</v>
      </c>
      <c r="F635" s="5" t="s">
        <v>519</v>
      </c>
      <c r="G635" s="2" t="s">
        <v>174</v>
      </c>
      <c r="H635" s="2" t="s">
        <v>23</v>
      </c>
      <c r="I635" s="24" t="s">
        <v>908</v>
      </c>
      <c r="J635" s="24" t="s">
        <v>908</v>
      </c>
      <c r="K635" s="24" t="s">
        <v>908</v>
      </c>
      <c r="M635" s="24" t="s">
        <v>908</v>
      </c>
      <c r="N635" s="24"/>
      <c r="P635" s="1" t="str">
        <f t="shared" si="18"/>
        <v>82201003</v>
      </c>
      <c r="Q635" s="263" t="str">
        <f t="shared" si="19"/>
        <v>Amortization of License</v>
      </c>
    </row>
    <row r="636" spans="1:17" x14ac:dyDescent="0.25">
      <c r="A636" s="24" t="s">
        <v>480</v>
      </c>
      <c r="B636" s="24" t="s">
        <v>33</v>
      </c>
      <c r="C636" s="24" t="s">
        <v>33</v>
      </c>
      <c r="D636" s="24" t="s">
        <v>0</v>
      </c>
      <c r="E636" s="2" t="s">
        <v>7</v>
      </c>
      <c r="F636" s="5" t="s">
        <v>520</v>
      </c>
      <c r="G636" s="2" t="s">
        <v>174</v>
      </c>
      <c r="H636" s="2" t="s">
        <v>23</v>
      </c>
      <c r="I636" s="24" t="s">
        <v>908</v>
      </c>
      <c r="J636" s="24" t="s">
        <v>908</v>
      </c>
      <c r="K636" s="24" t="s">
        <v>908</v>
      </c>
      <c r="M636" s="24" t="s">
        <v>908</v>
      </c>
      <c r="N636" s="24"/>
      <c r="P636" s="1" t="str">
        <f t="shared" si="18"/>
        <v>82201004</v>
      </c>
      <c r="Q636" s="263" t="str">
        <f t="shared" si="19"/>
        <v>Amortization of Building Rights on Land</v>
      </c>
    </row>
    <row r="637" spans="1:17" x14ac:dyDescent="0.25">
      <c r="A637" s="24" t="s">
        <v>480</v>
      </c>
      <c r="B637" s="24" t="s">
        <v>33</v>
      </c>
      <c r="C637" s="24" t="s">
        <v>33</v>
      </c>
      <c r="D637" s="24" t="s">
        <v>0</v>
      </c>
      <c r="E637" s="2">
        <v>999</v>
      </c>
      <c r="F637" s="5" t="s">
        <v>547</v>
      </c>
      <c r="G637" s="2" t="s">
        <v>174</v>
      </c>
      <c r="H637" s="2" t="s">
        <v>23</v>
      </c>
      <c r="I637" s="24" t="s">
        <v>908</v>
      </c>
      <c r="J637" s="24" t="s">
        <v>908</v>
      </c>
      <c r="K637" s="24" t="s">
        <v>908</v>
      </c>
      <c r="M637" s="24" t="s">
        <v>908</v>
      </c>
      <c r="N637" s="24"/>
      <c r="P637" s="1" t="str">
        <f t="shared" si="18"/>
        <v>82201999</v>
      </c>
      <c r="Q637" s="263" t="str">
        <f t="shared" si="19"/>
        <v>Amortization of Other Intangible Asset</v>
      </c>
    </row>
    <row r="638" spans="1:17" x14ac:dyDescent="0.25">
      <c r="A638" s="20" t="s">
        <v>480</v>
      </c>
      <c r="B638" s="20" t="s">
        <v>33</v>
      </c>
      <c r="C638" s="20" t="s">
        <v>33</v>
      </c>
      <c r="D638" s="21" t="s">
        <v>2</v>
      </c>
      <c r="E638" s="20"/>
      <c r="F638" s="22" t="s">
        <v>521</v>
      </c>
      <c r="G638" s="23" t="s">
        <v>174</v>
      </c>
      <c r="H638" s="23" t="s">
        <v>23</v>
      </c>
      <c r="I638" s="23" t="s">
        <v>907</v>
      </c>
      <c r="J638" s="23" t="s">
        <v>907</v>
      </c>
      <c r="K638" s="23" t="s">
        <v>907</v>
      </c>
      <c r="M638" s="23" t="s">
        <v>907</v>
      </c>
      <c r="N638" s="23"/>
      <c r="P638" s="1" t="str">
        <f t="shared" si="18"/>
        <v>82202</v>
      </c>
      <c r="Q638" s="263" t="str">
        <f t="shared" si="19"/>
        <v>Amortization Of Other Asset</v>
      </c>
    </row>
    <row r="639" spans="1:17" x14ac:dyDescent="0.25">
      <c r="A639" s="24" t="s">
        <v>480</v>
      </c>
      <c r="B639" s="24" t="s">
        <v>33</v>
      </c>
      <c r="C639" s="24" t="s">
        <v>33</v>
      </c>
      <c r="D639" s="24" t="s">
        <v>2</v>
      </c>
      <c r="E639" s="24" t="s">
        <v>1</v>
      </c>
      <c r="F639" s="5" t="s">
        <v>877</v>
      </c>
      <c r="G639" s="2" t="s">
        <v>174</v>
      </c>
      <c r="H639" s="2" t="s">
        <v>23</v>
      </c>
      <c r="I639" s="24" t="s">
        <v>908</v>
      </c>
      <c r="J639" s="24" t="s">
        <v>908</v>
      </c>
      <c r="K639" s="24" t="s">
        <v>908</v>
      </c>
      <c r="M639" s="24" t="s">
        <v>908</v>
      </c>
      <c r="N639" s="24"/>
      <c r="P639" s="1" t="str">
        <f t="shared" ref="P639:P649" si="20">CONCATENATE(A639,B639,C639,D639,E639)</f>
        <v>82202001</v>
      </c>
      <c r="Q639" s="263" t="str">
        <f t="shared" si="19"/>
        <v>Amortization Of Pre Opening Expenses</v>
      </c>
    </row>
    <row r="640" spans="1:17" x14ac:dyDescent="0.25">
      <c r="A640" s="12" t="s">
        <v>480</v>
      </c>
      <c r="B640" s="12" t="s">
        <v>44</v>
      </c>
      <c r="C640" s="12"/>
      <c r="D640" s="12"/>
      <c r="E640" s="12"/>
      <c r="F640" s="13" t="s">
        <v>1554</v>
      </c>
      <c r="G640" s="14" t="s">
        <v>174</v>
      </c>
      <c r="H640" s="14" t="s">
        <v>23</v>
      </c>
      <c r="I640" s="14" t="s">
        <v>907</v>
      </c>
      <c r="J640" s="14" t="s">
        <v>907</v>
      </c>
      <c r="K640" s="14" t="s">
        <v>907</v>
      </c>
      <c r="M640" s="14" t="s">
        <v>907</v>
      </c>
      <c r="N640" s="14"/>
      <c r="P640" s="1" t="str">
        <f t="shared" ref="P640:P645" si="21">CONCATENATE(A640,B640,C640,D640,E640)</f>
        <v>83</v>
      </c>
      <c r="Q640" s="263" t="str">
        <f t="shared" si="19"/>
        <v>Interest Expense**</v>
      </c>
    </row>
    <row r="641" spans="1:17" x14ac:dyDescent="0.25">
      <c r="A641" s="16" t="s">
        <v>480</v>
      </c>
      <c r="B641" s="16" t="s">
        <v>44</v>
      </c>
      <c r="C641" s="16" t="s">
        <v>20</v>
      </c>
      <c r="D641" s="16"/>
      <c r="E641" s="16"/>
      <c r="F641" s="18" t="s">
        <v>1555</v>
      </c>
      <c r="G641" s="19" t="s">
        <v>174</v>
      </c>
      <c r="H641" s="19" t="s">
        <v>23</v>
      </c>
      <c r="I641" s="19" t="s">
        <v>907</v>
      </c>
      <c r="J641" s="19" t="s">
        <v>907</v>
      </c>
      <c r="K641" s="19" t="s">
        <v>907</v>
      </c>
      <c r="M641" s="19" t="s">
        <v>907</v>
      </c>
      <c r="N641" s="19"/>
      <c r="P641" s="1" t="str">
        <f t="shared" si="21"/>
        <v>831</v>
      </c>
      <c r="Q641" s="263" t="str">
        <f t="shared" si="19"/>
        <v>Interest Expense*</v>
      </c>
    </row>
    <row r="642" spans="1:17" x14ac:dyDescent="0.25">
      <c r="A642" s="20" t="s">
        <v>480</v>
      </c>
      <c r="B642" s="20" t="s">
        <v>44</v>
      </c>
      <c r="C642" s="20" t="s">
        <v>20</v>
      </c>
      <c r="D642" s="20" t="s">
        <v>0</v>
      </c>
      <c r="E642" s="20"/>
      <c r="F642" s="15" t="s">
        <v>502</v>
      </c>
      <c r="G642" s="23" t="s">
        <v>174</v>
      </c>
      <c r="H642" s="23" t="s">
        <v>23</v>
      </c>
      <c r="I642" s="20" t="s">
        <v>907</v>
      </c>
      <c r="J642" s="20" t="s">
        <v>907</v>
      </c>
      <c r="K642" s="20" t="s">
        <v>907</v>
      </c>
      <c r="M642" s="20" t="s">
        <v>907</v>
      </c>
      <c r="N642" s="20"/>
      <c r="P642" s="1" t="str">
        <f t="shared" si="21"/>
        <v>83101</v>
      </c>
      <c r="Q642" s="263" t="str">
        <f t="shared" si="19"/>
        <v>Interest Expense</v>
      </c>
    </row>
    <row r="643" spans="1:17" x14ac:dyDescent="0.25">
      <c r="A643" s="24" t="s">
        <v>480</v>
      </c>
      <c r="B643" s="24" t="s">
        <v>44</v>
      </c>
      <c r="C643" s="24" t="s">
        <v>20</v>
      </c>
      <c r="D643" s="24" t="s">
        <v>0</v>
      </c>
      <c r="E643" s="2" t="s">
        <v>1</v>
      </c>
      <c r="F643" s="5" t="s">
        <v>503</v>
      </c>
      <c r="G643" s="2" t="s">
        <v>174</v>
      </c>
      <c r="H643" s="2" t="s">
        <v>23</v>
      </c>
      <c r="I643" s="24" t="s">
        <v>908</v>
      </c>
      <c r="J643" s="24" t="s">
        <v>908</v>
      </c>
      <c r="K643" s="24" t="s">
        <v>908</v>
      </c>
      <c r="M643" s="24" t="s">
        <v>908</v>
      </c>
      <c r="N643" s="24"/>
      <c r="P643" s="1" t="str">
        <f t="shared" si="21"/>
        <v>83101001</v>
      </c>
      <c r="Q643" s="263" t="str">
        <f t="shared" si="19"/>
        <v>Interest Bank Loan (IDR)</v>
      </c>
    </row>
    <row r="644" spans="1:17" x14ac:dyDescent="0.25">
      <c r="A644" s="24" t="s">
        <v>480</v>
      </c>
      <c r="B644" s="24" t="s">
        <v>44</v>
      </c>
      <c r="C644" s="24" t="s">
        <v>20</v>
      </c>
      <c r="D644" s="24" t="s">
        <v>0</v>
      </c>
      <c r="E644" s="2" t="s">
        <v>3</v>
      </c>
      <c r="F644" s="5" t="s">
        <v>504</v>
      </c>
      <c r="G644" s="2" t="s">
        <v>174</v>
      </c>
      <c r="H644" s="2" t="s">
        <v>23</v>
      </c>
      <c r="I644" s="24" t="s">
        <v>908</v>
      </c>
      <c r="J644" s="24" t="s">
        <v>908</v>
      </c>
      <c r="K644" s="24" t="s">
        <v>908</v>
      </c>
      <c r="M644" s="24" t="s">
        <v>908</v>
      </c>
      <c r="N644" s="24"/>
      <c r="P644" s="1" t="str">
        <f t="shared" si="21"/>
        <v>83101002</v>
      </c>
      <c r="Q644" s="263" t="str">
        <f t="shared" si="19"/>
        <v>Interest Bank Loan (IDR) - Provision Cost</v>
      </c>
    </row>
    <row r="645" spans="1:17" x14ac:dyDescent="0.25">
      <c r="A645" s="24" t="s">
        <v>480</v>
      </c>
      <c r="B645" s="24" t="s">
        <v>44</v>
      </c>
      <c r="C645" s="24" t="s">
        <v>20</v>
      </c>
      <c r="D645" s="24" t="s">
        <v>0</v>
      </c>
      <c r="E645" s="2" t="s">
        <v>5</v>
      </c>
      <c r="F645" s="5" t="s">
        <v>505</v>
      </c>
      <c r="G645" s="2" t="s">
        <v>174</v>
      </c>
      <c r="H645" s="2" t="s">
        <v>23</v>
      </c>
      <c r="I645" s="24" t="s">
        <v>908</v>
      </c>
      <c r="J645" s="24" t="s">
        <v>908</v>
      </c>
      <c r="K645" s="24" t="s">
        <v>908</v>
      </c>
      <c r="M645" s="24" t="s">
        <v>908</v>
      </c>
      <c r="N645" s="24"/>
      <c r="P645" s="1" t="str">
        <f t="shared" si="21"/>
        <v>83101003</v>
      </c>
      <c r="Q645" s="263" t="str">
        <f t="shared" si="19"/>
        <v>Interest Expense - Leased Assets</v>
      </c>
    </row>
    <row r="646" spans="1:17" x14ac:dyDescent="0.25">
      <c r="A646" s="12" t="s">
        <v>480</v>
      </c>
      <c r="B646" s="12" t="s">
        <v>54</v>
      </c>
      <c r="C646" s="12"/>
      <c r="D646" s="12"/>
      <c r="E646" s="12"/>
      <c r="F646" s="13" t="s">
        <v>553</v>
      </c>
      <c r="G646" s="14" t="s">
        <v>174</v>
      </c>
      <c r="H646" s="14" t="s">
        <v>23</v>
      </c>
      <c r="I646" s="14" t="s">
        <v>907</v>
      </c>
      <c r="J646" s="14" t="s">
        <v>907</v>
      </c>
      <c r="K646" s="14" t="s">
        <v>907</v>
      </c>
      <c r="M646" s="14" t="s">
        <v>907</v>
      </c>
      <c r="N646" s="14"/>
      <c r="P646" s="1" t="str">
        <f t="shared" si="20"/>
        <v>84</v>
      </c>
      <c r="Q646" s="263" t="str">
        <f t="shared" si="19"/>
        <v>Income Taxes***</v>
      </c>
    </row>
    <row r="647" spans="1:17" x14ac:dyDescent="0.25">
      <c r="A647" s="16" t="s">
        <v>480</v>
      </c>
      <c r="B647" s="16" t="s">
        <v>54</v>
      </c>
      <c r="C647" s="16" t="s">
        <v>20</v>
      </c>
      <c r="D647" s="16"/>
      <c r="E647" s="16"/>
      <c r="F647" s="18" t="s">
        <v>554</v>
      </c>
      <c r="G647" s="19" t="s">
        <v>174</v>
      </c>
      <c r="H647" s="19" t="s">
        <v>23</v>
      </c>
      <c r="I647" s="19" t="s">
        <v>907</v>
      </c>
      <c r="J647" s="19" t="s">
        <v>907</v>
      </c>
      <c r="K647" s="19" t="s">
        <v>907</v>
      </c>
      <c r="M647" s="19" t="s">
        <v>907</v>
      </c>
      <c r="N647" s="19"/>
      <c r="P647" s="1" t="str">
        <f t="shared" si="20"/>
        <v>841</v>
      </c>
      <c r="Q647" s="263" t="str">
        <f t="shared" si="19"/>
        <v>Income Taxes**</v>
      </c>
    </row>
    <row r="648" spans="1:17" x14ac:dyDescent="0.25">
      <c r="A648" s="20" t="s">
        <v>480</v>
      </c>
      <c r="B648" s="20" t="s">
        <v>54</v>
      </c>
      <c r="C648" s="20" t="s">
        <v>20</v>
      </c>
      <c r="D648" s="20" t="s">
        <v>0</v>
      </c>
      <c r="E648" s="20"/>
      <c r="F648" s="15" t="s">
        <v>555</v>
      </c>
      <c r="G648" s="23" t="s">
        <v>174</v>
      </c>
      <c r="H648" s="23" t="s">
        <v>23</v>
      </c>
      <c r="I648" s="20" t="s">
        <v>907</v>
      </c>
      <c r="J648" s="20" t="s">
        <v>907</v>
      </c>
      <c r="K648" s="20" t="s">
        <v>907</v>
      </c>
      <c r="M648" s="20" t="s">
        <v>907</v>
      </c>
      <c r="N648" s="20"/>
      <c r="P648" s="1" t="str">
        <f t="shared" si="20"/>
        <v>84101</v>
      </c>
      <c r="Q648" s="263" t="str">
        <f t="shared" si="19"/>
        <v>Income Taxes*</v>
      </c>
    </row>
    <row r="649" spans="1:17" x14ac:dyDescent="0.25">
      <c r="A649" s="24" t="s">
        <v>480</v>
      </c>
      <c r="B649" s="24" t="s">
        <v>54</v>
      </c>
      <c r="C649" s="24" t="s">
        <v>20</v>
      </c>
      <c r="D649" s="24" t="s">
        <v>0</v>
      </c>
      <c r="E649" s="24" t="s">
        <v>1</v>
      </c>
      <c r="F649" s="5" t="s">
        <v>523</v>
      </c>
      <c r="G649" s="2" t="s">
        <v>174</v>
      </c>
      <c r="H649" s="2" t="s">
        <v>23</v>
      </c>
      <c r="I649" s="24" t="s">
        <v>908</v>
      </c>
      <c r="J649" s="24" t="s">
        <v>908</v>
      </c>
      <c r="K649" s="24" t="s">
        <v>908</v>
      </c>
      <c r="M649" s="24" t="s">
        <v>908</v>
      </c>
      <c r="N649" s="24"/>
      <c r="P649" s="1" t="str">
        <f t="shared" si="20"/>
        <v>84101001</v>
      </c>
      <c r="Q649" s="263" t="str">
        <f>F649</f>
        <v>Income Taxes</v>
      </c>
    </row>
  </sheetData>
  <autoFilter ref="A3:K649" xr:uid="{00000000-0009-0000-0000-000000000000}"/>
  <mergeCells count="5">
    <mergeCell ref="I1:K1"/>
    <mergeCell ref="A1:E2"/>
    <mergeCell ref="F1:F2"/>
    <mergeCell ref="G1:G2"/>
    <mergeCell ref="H1:H2"/>
  </mergeCells>
  <pageMargins left="0.2" right="0.2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Q649"/>
  <sheetViews>
    <sheetView workbookViewId="0">
      <pane ySplit="3" topLeftCell="A8" activePane="bottomLeft" state="frozen"/>
      <selection pane="bottomLeft" activeCell="F644" sqref="F644"/>
    </sheetView>
  </sheetViews>
  <sheetFormatPr defaultRowHeight="10.5" x14ac:dyDescent="0.25"/>
  <cols>
    <col min="1" max="3" width="1.81640625" style="2" bestFit="1" customWidth="1"/>
    <col min="4" max="4" width="2.7265625" style="2" bestFit="1" customWidth="1"/>
    <col min="5" max="5" width="3.6328125" style="2" bestFit="1" customWidth="1"/>
    <col min="6" max="6" width="36.6328125" style="1" customWidth="1"/>
    <col min="7" max="7" width="5" style="220" bestFit="1" customWidth="1"/>
    <col min="8" max="8" width="4.08984375" style="220" bestFit="1" customWidth="1"/>
    <col min="9" max="9" width="0" style="220" hidden="1" customWidth="1"/>
    <col min="10" max="11" width="9.08984375" style="220"/>
    <col min="12" max="12" width="6" style="2" customWidth="1"/>
    <col min="13" max="13" width="6.6328125" style="1" customWidth="1"/>
    <col min="14" max="236" width="9.08984375" style="1"/>
    <col min="237" max="238" width="9.08984375" style="1" customWidth="1"/>
    <col min="239" max="241" width="1.81640625" style="1" bestFit="1" customWidth="1"/>
    <col min="242" max="242" width="2.7265625" style="1" bestFit="1" customWidth="1"/>
    <col min="243" max="243" width="3.6328125" style="1" bestFit="1" customWidth="1"/>
    <col min="244" max="244" width="55.6328125" style="1" bestFit="1" customWidth="1"/>
    <col min="245" max="245" width="5" style="1" bestFit="1" customWidth="1"/>
    <col min="246" max="246" width="11.26953125" style="1" bestFit="1" customWidth="1"/>
    <col min="247" max="247" width="13.26953125" style="1" bestFit="1" customWidth="1"/>
    <col min="248" max="248" width="7.08984375" style="1" customWidth="1"/>
    <col min="249" max="249" width="10.08984375" style="1" bestFit="1" customWidth="1"/>
    <col min="250" max="250" width="14.36328125" style="1" bestFit="1" customWidth="1"/>
    <col min="251" max="251" width="8.81640625" style="1" bestFit="1" customWidth="1"/>
    <col min="252" max="252" width="7.6328125" style="1" bestFit="1" customWidth="1"/>
    <col min="253" max="253" width="19" style="1" bestFit="1" customWidth="1"/>
    <col min="254" max="492" width="9.08984375" style="1"/>
    <col min="493" max="494" width="9.08984375" style="1" customWidth="1"/>
    <col min="495" max="497" width="1.81640625" style="1" bestFit="1" customWidth="1"/>
    <col min="498" max="498" width="2.7265625" style="1" bestFit="1" customWidth="1"/>
    <col min="499" max="499" width="3.6328125" style="1" bestFit="1" customWidth="1"/>
    <col min="500" max="500" width="55.6328125" style="1" bestFit="1" customWidth="1"/>
    <col min="501" max="501" width="5" style="1" bestFit="1" customWidth="1"/>
    <col min="502" max="502" width="11.26953125" style="1" bestFit="1" customWidth="1"/>
    <col min="503" max="503" width="13.26953125" style="1" bestFit="1" customWidth="1"/>
    <col min="504" max="504" width="7.08984375" style="1" customWidth="1"/>
    <col min="505" max="505" width="10.08984375" style="1" bestFit="1" customWidth="1"/>
    <col min="506" max="506" width="14.36328125" style="1" bestFit="1" customWidth="1"/>
    <col min="507" max="507" width="8.81640625" style="1" bestFit="1" customWidth="1"/>
    <col min="508" max="508" width="7.6328125" style="1" bestFit="1" customWidth="1"/>
    <col min="509" max="509" width="19" style="1" bestFit="1" customWidth="1"/>
    <col min="510" max="748" width="9.08984375" style="1"/>
    <col min="749" max="750" width="9.08984375" style="1" customWidth="1"/>
    <col min="751" max="753" width="1.81640625" style="1" bestFit="1" customWidth="1"/>
    <col min="754" max="754" width="2.7265625" style="1" bestFit="1" customWidth="1"/>
    <col min="755" max="755" width="3.6328125" style="1" bestFit="1" customWidth="1"/>
    <col min="756" max="756" width="55.6328125" style="1" bestFit="1" customWidth="1"/>
    <col min="757" max="757" width="5" style="1" bestFit="1" customWidth="1"/>
    <col min="758" max="758" width="11.26953125" style="1" bestFit="1" customWidth="1"/>
    <col min="759" max="759" width="13.26953125" style="1" bestFit="1" customWidth="1"/>
    <col min="760" max="760" width="7.08984375" style="1" customWidth="1"/>
    <col min="761" max="761" width="10.08984375" style="1" bestFit="1" customWidth="1"/>
    <col min="762" max="762" width="14.36328125" style="1" bestFit="1" customWidth="1"/>
    <col min="763" max="763" width="8.81640625" style="1" bestFit="1" customWidth="1"/>
    <col min="764" max="764" width="7.6328125" style="1" bestFit="1" customWidth="1"/>
    <col min="765" max="765" width="19" style="1" bestFit="1" customWidth="1"/>
    <col min="766" max="1004" width="9.08984375" style="1"/>
    <col min="1005" max="1006" width="9.08984375" style="1" customWidth="1"/>
    <col min="1007" max="1009" width="1.81640625" style="1" bestFit="1" customWidth="1"/>
    <col min="1010" max="1010" width="2.7265625" style="1" bestFit="1" customWidth="1"/>
    <col min="1011" max="1011" width="3.6328125" style="1" bestFit="1" customWidth="1"/>
    <col min="1012" max="1012" width="55.6328125" style="1" bestFit="1" customWidth="1"/>
    <col min="1013" max="1013" width="5" style="1" bestFit="1" customWidth="1"/>
    <col min="1014" max="1014" width="11.26953125" style="1" bestFit="1" customWidth="1"/>
    <col min="1015" max="1015" width="13.26953125" style="1" bestFit="1" customWidth="1"/>
    <col min="1016" max="1016" width="7.08984375" style="1" customWidth="1"/>
    <col min="1017" max="1017" width="10.08984375" style="1" bestFit="1" customWidth="1"/>
    <col min="1018" max="1018" width="14.36328125" style="1" bestFit="1" customWidth="1"/>
    <col min="1019" max="1019" width="8.81640625" style="1" bestFit="1" customWidth="1"/>
    <col min="1020" max="1020" width="7.6328125" style="1" bestFit="1" customWidth="1"/>
    <col min="1021" max="1021" width="19" style="1" bestFit="1" customWidth="1"/>
    <col min="1022" max="1260" width="9.08984375" style="1"/>
    <col min="1261" max="1262" width="9.08984375" style="1" customWidth="1"/>
    <col min="1263" max="1265" width="1.81640625" style="1" bestFit="1" customWidth="1"/>
    <col min="1266" max="1266" width="2.7265625" style="1" bestFit="1" customWidth="1"/>
    <col min="1267" max="1267" width="3.6328125" style="1" bestFit="1" customWidth="1"/>
    <col min="1268" max="1268" width="55.6328125" style="1" bestFit="1" customWidth="1"/>
    <col min="1269" max="1269" width="5" style="1" bestFit="1" customWidth="1"/>
    <col min="1270" max="1270" width="11.26953125" style="1" bestFit="1" customWidth="1"/>
    <col min="1271" max="1271" width="13.26953125" style="1" bestFit="1" customWidth="1"/>
    <col min="1272" max="1272" width="7.08984375" style="1" customWidth="1"/>
    <col min="1273" max="1273" width="10.08984375" style="1" bestFit="1" customWidth="1"/>
    <col min="1274" max="1274" width="14.36328125" style="1" bestFit="1" customWidth="1"/>
    <col min="1275" max="1275" width="8.81640625" style="1" bestFit="1" customWidth="1"/>
    <col min="1276" max="1276" width="7.6328125" style="1" bestFit="1" customWidth="1"/>
    <col min="1277" max="1277" width="19" style="1" bestFit="1" customWidth="1"/>
    <col min="1278" max="1516" width="9.08984375" style="1"/>
    <col min="1517" max="1518" width="9.08984375" style="1" customWidth="1"/>
    <col min="1519" max="1521" width="1.81640625" style="1" bestFit="1" customWidth="1"/>
    <col min="1522" max="1522" width="2.7265625" style="1" bestFit="1" customWidth="1"/>
    <col min="1523" max="1523" width="3.6328125" style="1" bestFit="1" customWidth="1"/>
    <col min="1524" max="1524" width="55.6328125" style="1" bestFit="1" customWidth="1"/>
    <col min="1525" max="1525" width="5" style="1" bestFit="1" customWidth="1"/>
    <col min="1526" max="1526" width="11.26953125" style="1" bestFit="1" customWidth="1"/>
    <col min="1527" max="1527" width="13.26953125" style="1" bestFit="1" customWidth="1"/>
    <col min="1528" max="1528" width="7.08984375" style="1" customWidth="1"/>
    <col min="1529" max="1529" width="10.08984375" style="1" bestFit="1" customWidth="1"/>
    <col min="1530" max="1530" width="14.36328125" style="1" bestFit="1" customWidth="1"/>
    <col min="1531" max="1531" width="8.81640625" style="1" bestFit="1" customWidth="1"/>
    <col min="1532" max="1532" width="7.6328125" style="1" bestFit="1" customWidth="1"/>
    <col min="1533" max="1533" width="19" style="1" bestFit="1" customWidth="1"/>
    <col min="1534" max="1772" width="9.08984375" style="1"/>
    <col min="1773" max="1774" width="9.08984375" style="1" customWidth="1"/>
    <col min="1775" max="1777" width="1.81640625" style="1" bestFit="1" customWidth="1"/>
    <col min="1778" max="1778" width="2.7265625" style="1" bestFit="1" customWidth="1"/>
    <col min="1779" max="1779" width="3.6328125" style="1" bestFit="1" customWidth="1"/>
    <col min="1780" max="1780" width="55.6328125" style="1" bestFit="1" customWidth="1"/>
    <col min="1781" max="1781" width="5" style="1" bestFit="1" customWidth="1"/>
    <col min="1782" max="1782" width="11.26953125" style="1" bestFit="1" customWidth="1"/>
    <col min="1783" max="1783" width="13.26953125" style="1" bestFit="1" customWidth="1"/>
    <col min="1784" max="1784" width="7.08984375" style="1" customWidth="1"/>
    <col min="1785" max="1785" width="10.08984375" style="1" bestFit="1" customWidth="1"/>
    <col min="1786" max="1786" width="14.36328125" style="1" bestFit="1" customWidth="1"/>
    <col min="1787" max="1787" width="8.81640625" style="1" bestFit="1" customWidth="1"/>
    <col min="1788" max="1788" width="7.6328125" style="1" bestFit="1" customWidth="1"/>
    <col min="1789" max="1789" width="19" style="1" bestFit="1" customWidth="1"/>
    <col min="1790" max="2028" width="9.08984375" style="1"/>
    <col min="2029" max="2030" width="9.08984375" style="1" customWidth="1"/>
    <col min="2031" max="2033" width="1.81640625" style="1" bestFit="1" customWidth="1"/>
    <col min="2034" max="2034" width="2.7265625" style="1" bestFit="1" customWidth="1"/>
    <col min="2035" max="2035" width="3.6328125" style="1" bestFit="1" customWidth="1"/>
    <col min="2036" max="2036" width="55.6328125" style="1" bestFit="1" customWidth="1"/>
    <col min="2037" max="2037" width="5" style="1" bestFit="1" customWidth="1"/>
    <col min="2038" max="2038" width="11.26953125" style="1" bestFit="1" customWidth="1"/>
    <col min="2039" max="2039" width="13.26953125" style="1" bestFit="1" customWidth="1"/>
    <col min="2040" max="2040" width="7.08984375" style="1" customWidth="1"/>
    <col min="2041" max="2041" width="10.08984375" style="1" bestFit="1" customWidth="1"/>
    <col min="2042" max="2042" width="14.36328125" style="1" bestFit="1" customWidth="1"/>
    <col min="2043" max="2043" width="8.81640625" style="1" bestFit="1" customWidth="1"/>
    <col min="2044" max="2044" width="7.6328125" style="1" bestFit="1" customWidth="1"/>
    <col min="2045" max="2045" width="19" style="1" bestFit="1" customWidth="1"/>
    <col min="2046" max="2284" width="9.08984375" style="1"/>
    <col min="2285" max="2286" width="9.08984375" style="1" customWidth="1"/>
    <col min="2287" max="2289" width="1.81640625" style="1" bestFit="1" customWidth="1"/>
    <col min="2290" max="2290" width="2.7265625" style="1" bestFit="1" customWidth="1"/>
    <col min="2291" max="2291" width="3.6328125" style="1" bestFit="1" customWidth="1"/>
    <col min="2292" max="2292" width="55.6328125" style="1" bestFit="1" customWidth="1"/>
    <col min="2293" max="2293" width="5" style="1" bestFit="1" customWidth="1"/>
    <col min="2294" max="2294" width="11.26953125" style="1" bestFit="1" customWidth="1"/>
    <col min="2295" max="2295" width="13.26953125" style="1" bestFit="1" customWidth="1"/>
    <col min="2296" max="2296" width="7.08984375" style="1" customWidth="1"/>
    <col min="2297" max="2297" width="10.08984375" style="1" bestFit="1" customWidth="1"/>
    <col min="2298" max="2298" width="14.36328125" style="1" bestFit="1" customWidth="1"/>
    <col min="2299" max="2299" width="8.81640625" style="1" bestFit="1" customWidth="1"/>
    <col min="2300" max="2300" width="7.6328125" style="1" bestFit="1" customWidth="1"/>
    <col min="2301" max="2301" width="19" style="1" bestFit="1" customWidth="1"/>
    <col min="2302" max="2540" width="9.08984375" style="1"/>
    <col min="2541" max="2542" width="9.08984375" style="1" customWidth="1"/>
    <col min="2543" max="2545" width="1.81640625" style="1" bestFit="1" customWidth="1"/>
    <col min="2546" max="2546" width="2.7265625" style="1" bestFit="1" customWidth="1"/>
    <col min="2547" max="2547" width="3.6328125" style="1" bestFit="1" customWidth="1"/>
    <col min="2548" max="2548" width="55.6328125" style="1" bestFit="1" customWidth="1"/>
    <col min="2549" max="2549" width="5" style="1" bestFit="1" customWidth="1"/>
    <col min="2550" max="2550" width="11.26953125" style="1" bestFit="1" customWidth="1"/>
    <col min="2551" max="2551" width="13.26953125" style="1" bestFit="1" customWidth="1"/>
    <col min="2552" max="2552" width="7.08984375" style="1" customWidth="1"/>
    <col min="2553" max="2553" width="10.08984375" style="1" bestFit="1" customWidth="1"/>
    <col min="2554" max="2554" width="14.36328125" style="1" bestFit="1" customWidth="1"/>
    <col min="2555" max="2555" width="8.81640625" style="1" bestFit="1" customWidth="1"/>
    <col min="2556" max="2556" width="7.6328125" style="1" bestFit="1" customWidth="1"/>
    <col min="2557" max="2557" width="19" style="1" bestFit="1" customWidth="1"/>
    <col min="2558" max="2796" width="9.08984375" style="1"/>
    <col min="2797" max="2798" width="9.08984375" style="1" customWidth="1"/>
    <col min="2799" max="2801" width="1.81640625" style="1" bestFit="1" customWidth="1"/>
    <col min="2802" max="2802" width="2.7265625" style="1" bestFit="1" customWidth="1"/>
    <col min="2803" max="2803" width="3.6328125" style="1" bestFit="1" customWidth="1"/>
    <col min="2804" max="2804" width="55.6328125" style="1" bestFit="1" customWidth="1"/>
    <col min="2805" max="2805" width="5" style="1" bestFit="1" customWidth="1"/>
    <col min="2806" max="2806" width="11.26953125" style="1" bestFit="1" customWidth="1"/>
    <col min="2807" max="2807" width="13.26953125" style="1" bestFit="1" customWidth="1"/>
    <col min="2808" max="2808" width="7.08984375" style="1" customWidth="1"/>
    <col min="2809" max="2809" width="10.08984375" style="1" bestFit="1" customWidth="1"/>
    <col min="2810" max="2810" width="14.36328125" style="1" bestFit="1" customWidth="1"/>
    <col min="2811" max="2811" width="8.81640625" style="1" bestFit="1" customWidth="1"/>
    <col min="2812" max="2812" width="7.6328125" style="1" bestFit="1" customWidth="1"/>
    <col min="2813" max="2813" width="19" style="1" bestFit="1" customWidth="1"/>
    <col min="2814" max="3052" width="9.08984375" style="1"/>
    <col min="3053" max="3054" width="9.08984375" style="1" customWidth="1"/>
    <col min="3055" max="3057" width="1.81640625" style="1" bestFit="1" customWidth="1"/>
    <col min="3058" max="3058" width="2.7265625" style="1" bestFit="1" customWidth="1"/>
    <col min="3059" max="3059" width="3.6328125" style="1" bestFit="1" customWidth="1"/>
    <col min="3060" max="3060" width="55.6328125" style="1" bestFit="1" customWidth="1"/>
    <col min="3061" max="3061" width="5" style="1" bestFit="1" customWidth="1"/>
    <col min="3062" max="3062" width="11.26953125" style="1" bestFit="1" customWidth="1"/>
    <col min="3063" max="3063" width="13.26953125" style="1" bestFit="1" customWidth="1"/>
    <col min="3064" max="3064" width="7.08984375" style="1" customWidth="1"/>
    <col min="3065" max="3065" width="10.08984375" style="1" bestFit="1" customWidth="1"/>
    <col min="3066" max="3066" width="14.36328125" style="1" bestFit="1" customWidth="1"/>
    <col min="3067" max="3067" width="8.81640625" style="1" bestFit="1" customWidth="1"/>
    <col min="3068" max="3068" width="7.6328125" style="1" bestFit="1" customWidth="1"/>
    <col min="3069" max="3069" width="19" style="1" bestFit="1" customWidth="1"/>
    <col min="3070" max="3308" width="9.08984375" style="1"/>
    <col min="3309" max="3310" width="9.08984375" style="1" customWidth="1"/>
    <col min="3311" max="3313" width="1.81640625" style="1" bestFit="1" customWidth="1"/>
    <col min="3314" max="3314" width="2.7265625" style="1" bestFit="1" customWidth="1"/>
    <col min="3315" max="3315" width="3.6328125" style="1" bestFit="1" customWidth="1"/>
    <col min="3316" max="3316" width="55.6328125" style="1" bestFit="1" customWidth="1"/>
    <col min="3317" max="3317" width="5" style="1" bestFit="1" customWidth="1"/>
    <col min="3318" max="3318" width="11.26953125" style="1" bestFit="1" customWidth="1"/>
    <col min="3319" max="3319" width="13.26953125" style="1" bestFit="1" customWidth="1"/>
    <col min="3320" max="3320" width="7.08984375" style="1" customWidth="1"/>
    <col min="3321" max="3321" width="10.08984375" style="1" bestFit="1" customWidth="1"/>
    <col min="3322" max="3322" width="14.36328125" style="1" bestFit="1" customWidth="1"/>
    <col min="3323" max="3323" width="8.81640625" style="1" bestFit="1" customWidth="1"/>
    <col min="3324" max="3324" width="7.6328125" style="1" bestFit="1" customWidth="1"/>
    <col min="3325" max="3325" width="19" style="1" bestFit="1" customWidth="1"/>
    <col min="3326" max="3564" width="9.08984375" style="1"/>
    <col min="3565" max="3566" width="9.08984375" style="1" customWidth="1"/>
    <col min="3567" max="3569" width="1.81640625" style="1" bestFit="1" customWidth="1"/>
    <col min="3570" max="3570" width="2.7265625" style="1" bestFit="1" customWidth="1"/>
    <col min="3571" max="3571" width="3.6328125" style="1" bestFit="1" customWidth="1"/>
    <col min="3572" max="3572" width="55.6328125" style="1" bestFit="1" customWidth="1"/>
    <col min="3573" max="3573" width="5" style="1" bestFit="1" customWidth="1"/>
    <col min="3574" max="3574" width="11.26953125" style="1" bestFit="1" customWidth="1"/>
    <col min="3575" max="3575" width="13.26953125" style="1" bestFit="1" customWidth="1"/>
    <col min="3576" max="3576" width="7.08984375" style="1" customWidth="1"/>
    <col min="3577" max="3577" width="10.08984375" style="1" bestFit="1" customWidth="1"/>
    <col min="3578" max="3578" width="14.36328125" style="1" bestFit="1" customWidth="1"/>
    <col min="3579" max="3579" width="8.81640625" style="1" bestFit="1" customWidth="1"/>
    <col min="3580" max="3580" width="7.6328125" style="1" bestFit="1" customWidth="1"/>
    <col min="3581" max="3581" width="19" style="1" bestFit="1" customWidth="1"/>
    <col min="3582" max="3820" width="9.08984375" style="1"/>
    <col min="3821" max="3822" width="9.08984375" style="1" customWidth="1"/>
    <col min="3823" max="3825" width="1.81640625" style="1" bestFit="1" customWidth="1"/>
    <col min="3826" max="3826" width="2.7265625" style="1" bestFit="1" customWidth="1"/>
    <col min="3827" max="3827" width="3.6328125" style="1" bestFit="1" customWidth="1"/>
    <col min="3828" max="3828" width="55.6328125" style="1" bestFit="1" customWidth="1"/>
    <col min="3829" max="3829" width="5" style="1" bestFit="1" customWidth="1"/>
    <col min="3830" max="3830" width="11.26953125" style="1" bestFit="1" customWidth="1"/>
    <col min="3831" max="3831" width="13.26953125" style="1" bestFit="1" customWidth="1"/>
    <col min="3832" max="3832" width="7.08984375" style="1" customWidth="1"/>
    <col min="3833" max="3833" width="10.08984375" style="1" bestFit="1" customWidth="1"/>
    <col min="3834" max="3834" width="14.36328125" style="1" bestFit="1" customWidth="1"/>
    <col min="3835" max="3835" width="8.81640625" style="1" bestFit="1" customWidth="1"/>
    <col min="3836" max="3836" width="7.6328125" style="1" bestFit="1" customWidth="1"/>
    <col min="3837" max="3837" width="19" style="1" bestFit="1" customWidth="1"/>
    <col min="3838" max="4076" width="9.08984375" style="1"/>
    <col min="4077" max="4078" width="9.08984375" style="1" customWidth="1"/>
    <col min="4079" max="4081" width="1.81640625" style="1" bestFit="1" customWidth="1"/>
    <col min="4082" max="4082" width="2.7265625" style="1" bestFit="1" customWidth="1"/>
    <col min="4083" max="4083" width="3.6328125" style="1" bestFit="1" customWidth="1"/>
    <col min="4084" max="4084" width="55.6328125" style="1" bestFit="1" customWidth="1"/>
    <col min="4085" max="4085" width="5" style="1" bestFit="1" customWidth="1"/>
    <col min="4086" max="4086" width="11.26953125" style="1" bestFit="1" customWidth="1"/>
    <col min="4087" max="4087" width="13.26953125" style="1" bestFit="1" customWidth="1"/>
    <col min="4088" max="4088" width="7.08984375" style="1" customWidth="1"/>
    <col min="4089" max="4089" width="10.08984375" style="1" bestFit="1" customWidth="1"/>
    <col min="4090" max="4090" width="14.36328125" style="1" bestFit="1" customWidth="1"/>
    <col min="4091" max="4091" width="8.81640625" style="1" bestFit="1" customWidth="1"/>
    <col min="4092" max="4092" width="7.6328125" style="1" bestFit="1" customWidth="1"/>
    <col min="4093" max="4093" width="19" style="1" bestFit="1" customWidth="1"/>
    <col min="4094" max="4332" width="9.08984375" style="1"/>
    <col min="4333" max="4334" width="9.08984375" style="1" customWidth="1"/>
    <col min="4335" max="4337" width="1.81640625" style="1" bestFit="1" customWidth="1"/>
    <col min="4338" max="4338" width="2.7265625" style="1" bestFit="1" customWidth="1"/>
    <col min="4339" max="4339" width="3.6328125" style="1" bestFit="1" customWidth="1"/>
    <col min="4340" max="4340" width="55.6328125" style="1" bestFit="1" customWidth="1"/>
    <col min="4341" max="4341" width="5" style="1" bestFit="1" customWidth="1"/>
    <col min="4342" max="4342" width="11.26953125" style="1" bestFit="1" customWidth="1"/>
    <col min="4343" max="4343" width="13.26953125" style="1" bestFit="1" customWidth="1"/>
    <col min="4344" max="4344" width="7.08984375" style="1" customWidth="1"/>
    <col min="4345" max="4345" width="10.08984375" style="1" bestFit="1" customWidth="1"/>
    <col min="4346" max="4346" width="14.36328125" style="1" bestFit="1" customWidth="1"/>
    <col min="4347" max="4347" width="8.81640625" style="1" bestFit="1" customWidth="1"/>
    <col min="4348" max="4348" width="7.6328125" style="1" bestFit="1" customWidth="1"/>
    <col min="4349" max="4349" width="19" style="1" bestFit="1" customWidth="1"/>
    <col min="4350" max="4588" width="9.08984375" style="1"/>
    <col min="4589" max="4590" width="9.08984375" style="1" customWidth="1"/>
    <col min="4591" max="4593" width="1.81640625" style="1" bestFit="1" customWidth="1"/>
    <col min="4594" max="4594" width="2.7265625" style="1" bestFit="1" customWidth="1"/>
    <col min="4595" max="4595" width="3.6328125" style="1" bestFit="1" customWidth="1"/>
    <col min="4596" max="4596" width="55.6328125" style="1" bestFit="1" customWidth="1"/>
    <col min="4597" max="4597" width="5" style="1" bestFit="1" customWidth="1"/>
    <col min="4598" max="4598" width="11.26953125" style="1" bestFit="1" customWidth="1"/>
    <col min="4599" max="4599" width="13.26953125" style="1" bestFit="1" customWidth="1"/>
    <col min="4600" max="4600" width="7.08984375" style="1" customWidth="1"/>
    <col min="4601" max="4601" width="10.08984375" style="1" bestFit="1" customWidth="1"/>
    <col min="4602" max="4602" width="14.36328125" style="1" bestFit="1" customWidth="1"/>
    <col min="4603" max="4603" width="8.81640625" style="1" bestFit="1" customWidth="1"/>
    <col min="4604" max="4604" width="7.6328125" style="1" bestFit="1" customWidth="1"/>
    <col min="4605" max="4605" width="19" style="1" bestFit="1" customWidth="1"/>
    <col min="4606" max="4844" width="9.08984375" style="1"/>
    <col min="4845" max="4846" width="9.08984375" style="1" customWidth="1"/>
    <col min="4847" max="4849" width="1.81640625" style="1" bestFit="1" customWidth="1"/>
    <col min="4850" max="4850" width="2.7265625" style="1" bestFit="1" customWidth="1"/>
    <col min="4851" max="4851" width="3.6328125" style="1" bestFit="1" customWidth="1"/>
    <col min="4852" max="4852" width="55.6328125" style="1" bestFit="1" customWidth="1"/>
    <col min="4853" max="4853" width="5" style="1" bestFit="1" customWidth="1"/>
    <col min="4854" max="4854" width="11.26953125" style="1" bestFit="1" customWidth="1"/>
    <col min="4855" max="4855" width="13.26953125" style="1" bestFit="1" customWidth="1"/>
    <col min="4856" max="4856" width="7.08984375" style="1" customWidth="1"/>
    <col min="4857" max="4857" width="10.08984375" style="1" bestFit="1" customWidth="1"/>
    <col min="4858" max="4858" width="14.36328125" style="1" bestFit="1" customWidth="1"/>
    <col min="4859" max="4859" width="8.81640625" style="1" bestFit="1" customWidth="1"/>
    <col min="4860" max="4860" width="7.6328125" style="1" bestFit="1" customWidth="1"/>
    <col min="4861" max="4861" width="19" style="1" bestFit="1" customWidth="1"/>
    <col min="4862" max="5100" width="9.08984375" style="1"/>
    <col min="5101" max="5102" width="9.08984375" style="1" customWidth="1"/>
    <col min="5103" max="5105" width="1.81640625" style="1" bestFit="1" customWidth="1"/>
    <col min="5106" max="5106" width="2.7265625" style="1" bestFit="1" customWidth="1"/>
    <col min="5107" max="5107" width="3.6328125" style="1" bestFit="1" customWidth="1"/>
    <col min="5108" max="5108" width="55.6328125" style="1" bestFit="1" customWidth="1"/>
    <col min="5109" max="5109" width="5" style="1" bestFit="1" customWidth="1"/>
    <col min="5110" max="5110" width="11.26953125" style="1" bestFit="1" customWidth="1"/>
    <col min="5111" max="5111" width="13.26953125" style="1" bestFit="1" customWidth="1"/>
    <col min="5112" max="5112" width="7.08984375" style="1" customWidth="1"/>
    <col min="5113" max="5113" width="10.08984375" style="1" bestFit="1" customWidth="1"/>
    <col min="5114" max="5114" width="14.36328125" style="1" bestFit="1" customWidth="1"/>
    <col min="5115" max="5115" width="8.81640625" style="1" bestFit="1" customWidth="1"/>
    <col min="5116" max="5116" width="7.6328125" style="1" bestFit="1" customWidth="1"/>
    <col min="5117" max="5117" width="19" style="1" bestFit="1" customWidth="1"/>
    <col min="5118" max="5356" width="9.08984375" style="1"/>
    <col min="5357" max="5358" width="9.08984375" style="1" customWidth="1"/>
    <col min="5359" max="5361" width="1.81640625" style="1" bestFit="1" customWidth="1"/>
    <col min="5362" max="5362" width="2.7265625" style="1" bestFit="1" customWidth="1"/>
    <col min="5363" max="5363" width="3.6328125" style="1" bestFit="1" customWidth="1"/>
    <col min="5364" max="5364" width="55.6328125" style="1" bestFit="1" customWidth="1"/>
    <col min="5365" max="5365" width="5" style="1" bestFit="1" customWidth="1"/>
    <col min="5366" max="5366" width="11.26953125" style="1" bestFit="1" customWidth="1"/>
    <col min="5367" max="5367" width="13.26953125" style="1" bestFit="1" customWidth="1"/>
    <col min="5368" max="5368" width="7.08984375" style="1" customWidth="1"/>
    <col min="5369" max="5369" width="10.08984375" style="1" bestFit="1" customWidth="1"/>
    <col min="5370" max="5370" width="14.36328125" style="1" bestFit="1" customWidth="1"/>
    <col min="5371" max="5371" width="8.81640625" style="1" bestFit="1" customWidth="1"/>
    <col min="5372" max="5372" width="7.6328125" style="1" bestFit="1" customWidth="1"/>
    <col min="5373" max="5373" width="19" style="1" bestFit="1" customWidth="1"/>
    <col min="5374" max="5612" width="9.08984375" style="1"/>
    <col min="5613" max="5614" width="9.08984375" style="1" customWidth="1"/>
    <col min="5615" max="5617" width="1.81640625" style="1" bestFit="1" customWidth="1"/>
    <col min="5618" max="5618" width="2.7265625" style="1" bestFit="1" customWidth="1"/>
    <col min="5619" max="5619" width="3.6328125" style="1" bestFit="1" customWidth="1"/>
    <col min="5620" max="5620" width="55.6328125" style="1" bestFit="1" customWidth="1"/>
    <col min="5621" max="5621" width="5" style="1" bestFit="1" customWidth="1"/>
    <col min="5622" max="5622" width="11.26953125" style="1" bestFit="1" customWidth="1"/>
    <col min="5623" max="5623" width="13.26953125" style="1" bestFit="1" customWidth="1"/>
    <col min="5624" max="5624" width="7.08984375" style="1" customWidth="1"/>
    <col min="5625" max="5625" width="10.08984375" style="1" bestFit="1" customWidth="1"/>
    <col min="5626" max="5626" width="14.36328125" style="1" bestFit="1" customWidth="1"/>
    <col min="5627" max="5627" width="8.81640625" style="1" bestFit="1" customWidth="1"/>
    <col min="5628" max="5628" width="7.6328125" style="1" bestFit="1" customWidth="1"/>
    <col min="5629" max="5629" width="19" style="1" bestFit="1" customWidth="1"/>
    <col min="5630" max="5868" width="9.08984375" style="1"/>
    <col min="5869" max="5870" width="9.08984375" style="1" customWidth="1"/>
    <col min="5871" max="5873" width="1.81640625" style="1" bestFit="1" customWidth="1"/>
    <col min="5874" max="5874" width="2.7265625" style="1" bestFit="1" customWidth="1"/>
    <col min="5875" max="5875" width="3.6328125" style="1" bestFit="1" customWidth="1"/>
    <col min="5876" max="5876" width="55.6328125" style="1" bestFit="1" customWidth="1"/>
    <col min="5877" max="5877" width="5" style="1" bestFit="1" customWidth="1"/>
    <col min="5878" max="5878" width="11.26953125" style="1" bestFit="1" customWidth="1"/>
    <col min="5879" max="5879" width="13.26953125" style="1" bestFit="1" customWidth="1"/>
    <col min="5880" max="5880" width="7.08984375" style="1" customWidth="1"/>
    <col min="5881" max="5881" width="10.08984375" style="1" bestFit="1" customWidth="1"/>
    <col min="5882" max="5882" width="14.36328125" style="1" bestFit="1" customWidth="1"/>
    <col min="5883" max="5883" width="8.81640625" style="1" bestFit="1" customWidth="1"/>
    <col min="5884" max="5884" width="7.6328125" style="1" bestFit="1" customWidth="1"/>
    <col min="5885" max="5885" width="19" style="1" bestFit="1" customWidth="1"/>
    <col min="5886" max="6124" width="9.08984375" style="1"/>
    <col min="6125" max="6126" width="9.08984375" style="1" customWidth="1"/>
    <col min="6127" max="6129" width="1.81640625" style="1" bestFit="1" customWidth="1"/>
    <col min="6130" max="6130" width="2.7265625" style="1" bestFit="1" customWidth="1"/>
    <col min="6131" max="6131" width="3.6328125" style="1" bestFit="1" customWidth="1"/>
    <col min="6132" max="6132" width="55.6328125" style="1" bestFit="1" customWidth="1"/>
    <col min="6133" max="6133" width="5" style="1" bestFit="1" customWidth="1"/>
    <col min="6134" max="6134" width="11.26953125" style="1" bestFit="1" customWidth="1"/>
    <col min="6135" max="6135" width="13.26953125" style="1" bestFit="1" customWidth="1"/>
    <col min="6136" max="6136" width="7.08984375" style="1" customWidth="1"/>
    <col min="6137" max="6137" width="10.08984375" style="1" bestFit="1" customWidth="1"/>
    <col min="6138" max="6138" width="14.36328125" style="1" bestFit="1" customWidth="1"/>
    <col min="6139" max="6139" width="8.81640625" style="1" bestFit="1" customWidth="1"/>
    <col min="6140" max="6140" width="7.6328125" style="1" bestFit="1" customWidth="1"/>
    <col min="6141" max="6141" width="19" style="1" bestFit="1" customWidth="1"/>
    <col min="6142" max="6380" width="9.08984375" style="1"/>
    <col min="6381" max="6382" width="9.08984375" style="1" customWidth="1"/>
    <col min="6383" max="6385" width="1.81640625" style="1" bestFit="1" customWidth="1"/>
    <col min="6386" max="6386" width="2.7265625" style="1" bestFit="1" customWidth="1"/>
    <col min="6387" max="6387" width="3.6328125" style="1" bestFit="1" customWidth="1"/>
    <col min="6388" max="6388" width="55.6328125" style="1" bestFit="1" customWidth="1"/>
    <col min="6389" max="6389" width="5" style="1" bestFit="1" customWidth="1"/>
    <col min="6390" max="6390" width="11.26953125" style="1" bestFit="1" customWidth="1"/>
    <col min="6391" max="6391" width="13.26953125" style="1" bestFit="1" customWidth="1"/>
    <col min="6392" max="6392" width="7.08984375" style="1" customWidth="1"/>
    <col min="6393" max="6393" width="10.08984375" style="1" bestFit="1" customWidth="1"/>
    <col min="6394" max="6394" width="14.36328125" style="1" bestFit="1" customWidth="1"/>
    <col min="6395" max="6395" width="8.81640625" style="1" bestFit="1" customWidth="1"/>
    <col min="6396" max="6396" width="7.6328125" style="1" bestFit="1" customWidth="1"/>
    <col min="6397" max="6397" width="19" style="1" bestFit="1" customWidth="1"/>
    <col min="6398" max="6636" width="9.08984375" style="1"/>
    <col min="6637" max="6638" width="9.08984375" style="1" customWidth="1"/>
    <col min="6639" max="6641" width="1.81640625" style="1" bestFit="1" customWidth="1"/>
    <col min="6642" max="6642" width="2.7265625" style="1" bestFit="1" customWidth="1"/>
    <col min="6643" max="6643" width="3.6328125" style="1" bestFit="1" customWidth="1"/>
    <col min="6644" max="6644" width="55.6328125" style="1" bestFit="1" customWidth="1"/>
    <col min="6645" max="6645" width="5" style="1" bestFit="1" customWidth="1"/>
    <col min="6646" max="6646" width="11.26953125" style="1" bestFit="1" customWidth="1"/>
    <col min="6647" max="6647" width="13.26953125" style="1" bestFit="1" customWidth="1"/>
    <col min="6648" max="6648" width="7.08984375" style="1" customWidth="1"/>
    <col min="6649" max="6649" width="10.08984375" style="1" bestFit="1" customWidth="1"/>
    <col min="6650" max="6650" width="14.36328125" style="1" bestFit="1" customWidth="1"/>
    <col min="6651" max="6651" width="8.81640625" style="1" bestFit="1" customWidth="1"/>
    <col min="6652" max="6652" width="7.6328125" style="1" bestFit="1" customWidth="1"/>
    <col min="6653" max="6653" width="19" style="1" bestFit="1" customWidth="1"/>
    <col min="6654" max="6892" width="9.08984375" style="1"/>
    <col min="6893" max="6894" width="9.08984375" style="1" customWidth="1"/>
    <col min="6895" max="6897" width="1.81640625" style="1" bestFit="1" customWidth="1"/>
    <col min="6898" max="6898" width="2.7265625" style="1" bestFit="1" customWidth="1"/>
    <col min="6899" max="6899" width="3.6328125" style="1" bestFit="1" customWidth="1"/>
    <col min="6900" max="6900" width="55.6328125" style="1" bestFit="1" customWidth="1"/>
    <col min="6901" max="6901" width="5" style="1" bestFit="1" customWidth="1"/>
    <col min="6902" max="6902" width="11.26953125" style="1" bestFit="1" customWidth="1"/>
    <col min="6903" max="6903" width="13.26953125" style="1" bestFit="1" customWidth="1"/>
    <col min="6904" max="6904" width="7.08984375" style="1" customWidth="1"/>
    <col min="6905" max="6905" width="10.08984375" style="1" bestFit="1" customWidth="1"/>
    <col min="6906" max="6906" width="14.36328125" style="1" bestFit="1" customWidth="1"/>
    <col min="6907" max="6907" width="8.81640625" style="1" bestFit="1" customWidth="1"/>
    <col min="6908" max="6908" width="7.6328125" style="1" bestFit="1" customWidth="1"/>
    <col min="6909" max="6909" width="19" style="1" bestFit="1" customWidth="1"/>
    <col min="6910" max="7148" width="9.08984375" style="1"/>
    <col min="7149" max="7150" width="9.08984375" style="1" customWidth="1"/>
    <col min="7151" max="7153" width="1.81640625" style="1" bestFit="1" customWidth="1"/>
    <col min="7154" max="7154" width="2.7265625" style="1" bestFit="1" customWidth="1"/>
    <col min="7155" max="7155" width="3.6328125" style="1" bestFit="1" customWidth="1"/>
    <col min="7156" max="7156" width="55.6328125" style="1" bestFit="1" customWidth="1"/>
    <col min="7157" max="7157" width="5" style="1" bestFit="1" customWidth="1"/>
    <col min="7158" max="7158" width="11.26953125" style="1" bestFit="1" customWidth="1"/>
    <col min="7159" max="7159" width="13.26953125" style="1" bestFit="1" customWidth="1"/>
    <col min="7160" max="7160" width="7.08984375" style="1" customWidth="1"/>
    <col min="7161" max="7161" width="10.08984375" style="1" bestFit="1" customWidth="1"/>
    <col min="7162" max="7162" width="14.36328125" style="1" bestFit="1" customWidth="1"/>
    <col min="7163" max="7163" width="8.81640625" style="1" bestFit="1" customWidth="1"/>
    <col min="7164" max="7164" width="7.6328125" style="1" bestFit="1" customWidth="1"/>
    <col min="7165" max="7165" width="19" style="1" bestFit="1" customWidth="1"/>
    <col min="7166" max="7404" width="9.08984375" style="1"/>
    <col min="7405" max="7406" width="9.08984375" style="1" customWidth="1"/>
    <col min="7407" max="7409" width="1.81640625" style="1" bestFit="1" customWidth="1"/>
    <col min="7410" max="7410" width="2.7265625" style="1" bestFit="1" customWidth="1"/>
    <col min="7411" max="7411" width="3.6328125" style="1" bestFit="1" customWidth="1"/>
    <col min="7412" max="7412" width="55.6328125" style="1" bestFit="1" customWidth="1"/>
    <col min="7413" max="7413" width="5" style="1" bestFit="1" customWidth="1"/>
    <col min="7414" max="7414" width="11.26953125" style="1" bestFit="1" customWidth="1"/>
    <col min="7415" max="7415" width="13.26953125" style="1" bestFit="1" customWidth="1"/>
    <col min="7416" max="7416" width="7.08984375" style="1" customWidth="1"/>
    <col min="7417" max="7417" width="10.08984375" style="1" bestFit="1" customWidth="1"/>
    <col min="7418" max="7418" width="14.36328125" style="1" bestFit="1" customWidth="1"/>
    <col min="7419" max="7419" width="8.81640625" style="1" bestFit="1" customWidth="1"/>
    <col min="7420" max="7420" width="7.6328125" style="1" bestFit="1" customWidth="1"/>
    <col min="7421" max="7421" width="19" style="1" bestFit="1" customWidth="1"/>
    <col min="7422" max="7660" width="9.08984375" style="1"/>
    <col min="7661" max="7662" width="9.08984375" style="1" customWidth="1"/>
    <col min="7663" max="7665" width="1.81640625" style="1" bestFit="1" customWidth="1"/>
    <col min="7666" max="7666" width="2.7265625" style="1" bestFit="1" customWidth="1"/>
    <col min="7667" max="7667" width="3.6328125" style="1" bestFit="1" customWidth="1"/>
    <col min="7668" max="7668" width="55.6328125" style="1" bestFit="1" customWidth="1"/>
    <col min="7669" max="7669" width="5" style="1" bestFit="1" customWidth="1"/>
    <col min="7670" max="7670" width="11.26953125" style="1" bestFit="1" customWidth="1"/>
    <col min="7671" max="7671" width="13.26953125" style="1" bestFit="1" customWidth="1"/>
    <col min="7672" max="7672" width="7.08984375" style="1" customWidth="1"/>
    <col min="7673" max="7673" width="10.08984375" style="1" bestFit="1" customWidth="1"/>
    <col min="7674" max="7674" width="14.36328125" style="1" bestFit="1" customWidth="1"/>
    <col min="7675" max="7675" width="8.81640625" style="1" bestFit="1" customWidth="1"/>
    <col min="7676" max="7676" width="7.6328125" style="1" bestFit="1" customWidth="1"/>
    <col min="7677" max="7677" width="19" style="1" bestFit="1" customWidth="1"/>
    <col min="7678" max="7916" width="9.08984375" style="1"/>
    <col min="7917" max="7918" width="9.08984375" style="1" customWidth="1"/>
    <col min="7919" max="7921" width="1.81640625" style="1" bestFit="1" customWidth="1"/>
    <col min="7922" max="7922" width="2.7265625" style="1" bestFit="1" customWidth="1"/>
    <col min="7923" max="7923" width="3.6328125" style="1" bestFit="1" customWidth="1"/>
    <col min="7924" max="7924" width="55.6328125" style="1" bestFit="1" customWidth="1"/>
    <col min="7925" max="7925" width="5" style="1" bestFit="1" customWidth="1"/>
    <col min="7926" max="7926" width="11.26953125" style="1" bestFit="1" customWidth="1"/>
    <col min="7927" max="7927" width="13.26953125" style="1" bestFit="1" customWidth="1"/>
    <col min="7928" max="7928" width="7.08984375" style="1" customWidth="1"/>
    <col min="7929" max="7929" width="10.08984375" style="1" bestFit="1" customWidth="1"/>
    <col min="7930" max="7930" width="14.36328125" style="1" bestFit="1" customWidth="1"/>
    <col min="7931" max="7931" width="8.81640625" style="1" bestFit="1" customWidth="1"/>
    <col min="7932" max="7932" width="7.6328125" style="1" bestFit="1" customWidth="1"/>
    <col min="7933" max="7933" width="19" style="1" bestFit="1" customWidth="1"/>
    <col min="7934" max="8172" width="9.08984375" style="1"/>
    <col min="8173" max="8174" width="9.08984375" style="1" customWidth="1"/>
    <col min="8175" max="8177" width="1.81640625" style="1" bestFit="1" customWidth="1"/>
    <col min="8178" max="8178" width="2.7265625" style="1" bestFit="1" customWidth="1"/>
    <col min="8179" max="8179" width="3.6328125" style="1" bestFit="1" customWidth="1"/>
    <col min="8180" max="8180" width="55.6328125" style="1" bestFit="1" customWidth="1"/>
    <col min="8181" max="8181" width="5" style="1" bestFit="1" customWidth="1"/>
    <col min="8182" max="8182" width="11.26953125" style="1" bestFit="1" customWidth="1"/>
    <col min="8183" max="8183" width="13.26953125" style="1" bestFit="1" customWidth="1"/>
    <col min="8184" max="8184" width="7.08984375" style="1" customWidth="1"/>
    <col min="8185" max="8185" width="10.08984375" style="1" bestFit="1" customWidth="1"/>
    <col min="8186" max="8186" width="14.36328125" style="1" bestFit="1" customWidth="1"/>
    <col min="8187" max="8187" width="8.81640625" style="1" bestFit="1" customWidth="1"/>
    <col min="8188" max="8188" width="7.6328125" style="1" bestFit="1" customWidth="1"/>
    <col min="8189" max="8189" width="19" style="1" bestFit="1" customWidth="1"/>
    <col min="8190" max="8428" width="9.08984375" style="1"/>
    <col min="8429" max="8430" width="9.08984375" style="1" customWidth="1"/>
    <col min="8431" max="8433" width="1.81640625" style="1" bestFit="1" customWidth="1"/>
    <col min="8434" max="8434" width="2.7265625" style="1" bestFit="1" customWidth="1"/>
    <col min="8435" max="8435" width="3.6328125" style="1" bestFit="1" customWidth="1"/>
    <col min="8436" max="8436" width="55.6328125" style="1" bestFit="1" customWidth="1"/>
    <col min="8437" max="8437" width="5" style="1" bestFit="1" customWidth="1"/>
    <col min="8438" max="8438" width="11.26953125" style="1" bestFit="1" customWidth="1"/>
    <col min="8439" max="8439" width="13.26953125" style="1" bestFit="1" customWidth="1"/>
    <col min="8440" max="8440" width="7.08984375" style="1" customWidth="1"/>
    <col min="8441" max="8441" width="10.08984375" style="1" bestFit="1" customWidth="1"/>
    <col min="8442" max="8442" width="14.36328125" style="1" bestFit="1" customWidth="1"/>
    <col min="8443" max="8443" width="8.81640625" style="1" bestFit="1" customWidth="1"/>
    <col min="8444" max="8444" width="7.6328125" style="1" bestFit="1" customWidth="1"/>
    <col min="8445" max="8445" width="19" style="1" bestFit="1" customWidth="1"/>
    <col min="8446" max="8684" width="9.08984375" style="1"/>
    <col min="8685" max="8686" width="9.08984375" style="1" customWidth="1"/>
    <col min="8687" max="8689" width="1.81640625" style="1" bestFit="1" customWidth="1"/>
    <col min="8690" max="8690" width="2.7265625" style="1" bestFit="1" customWidth="1"/>
    <col min="8691" max="8691" width="3.6328125" style="1" bestFit="1" customWidth="1"/>
    <col min="8692" max="8692" width="55.6328125" style="1" bestFit="1" customWidth="1"/>
    <col min="8693" max="8693" width="5" style="1" bestFit="1" customWidth="1"/>
    <col min="8694" max="8694" width="11.26953125" style="1" bestFit="1" customWidth="1"/>
    <col min="8695" max="8695" width="13.26953125" style="1" bestFit="1" customWidth="1"/>
    <col min="8696" max="8696" width="7.08984375" style="1" customWidth="1"/>
    <col min="8697" max="8697" width="10.08984375" style="1" bestFit="1" customWidth="1"/>
    <col min="8698" max="8698" width="14.36328125" style="1" bestFit="1" customWidth="1"/>
    <col min="8699" max="8699" width="8.81640625" style="1" bestFit="1" customWidth="1"/>
    <col min="8700" max="8700" width="7.6328125" style="1" bestFit="1" customWidth="1"/>
    <col min="8701" max="8701" width="19" style="1" bestFit="1" customWidth="1"/>
    <col min="8702" max="8940" width="9.08984375" style="1"/>
    <col min="8941" max="8942" width="9.08984375" style="1" customWidth="1"/>
    <col min="8943" max="8945" width="1.81640625" style="1" bestFit="1" customWidth="1"/>
    <col min="8946" max="8946" width="2.7265625" style="1" bestFit="1" customWidth="1"/>
    <col min="8947" max="8947" width="3.6328125" style="1" bestFit="1" customWidth="1"/>
    <col min="8948" max="8948" width="55.6328125" style="1" bestFit="1" customWidth="1"/>
    <col min="8949" max="8949" width="5" style="1" bestFit="1" customWidth="1"/>
    <col min="8950" max="8950" width="11.26953125" style="1" bestFit="1" customWidth="1"/>
    <col min="8951" max="8951" width="13.26953125" style="1" bestFit="1" customWidth="1"/>
    <col min="8952" max="8952" width="7.08984375" style="1" customWidth="1"/>
    <col min="8953" max="8953" width="10.08984375" style="1" bestFit="1" customWidth="1"/>
    <col min="8954" max="8954" width="14.36328125" style="1" bestFit="1" customWidth="1"/>
    <col min="8955" max="8955" width="8.81640625" style="1" bestFit="1" customWidth="1"/>
    <col min="8956" max="8956" width="7.6328125" style="1" bestFit="1" customWidth="1"/>
    <col min="8957" max="8957" width="19" style="1" bestFit="1" customWidth="1"/>
    <col min="8958" max="9196" width="9.08984375" style="1"/>
    <col min="9197" max="9198" width="9.08984375" style="1" customWidth="1"/>
    <col min="9199" max="9201" width="1.81640625" style="1" bestFit="1" customWidth="1"/>
    <col min="9202" max="9202" width="2.7265625" style="1" bestFit="1" customWidth="1"/>
    <col min="9203" max="9203" width="3.6328125" style="1" bestFit="1" customWidth="1"/>
    <col min="9204" max="9204" width="55.6328125" style="1" bestFit="1" customWidth="1"/>
    <col min="9205" max="9205" width="5" style="1" bestFit="1" customWidth="1"/>
    <col min="9206" max="9206" width="11.26953125" style="1" bestFit="1" customWidth="1"/>
    <col min="9207" max="9207" width="13.26953125" style="1" bestFit="1" customWidth="1"/>
    <col min="9208" max="9208" width="7.08984375" style="1" customWidth="1"/>
    <col min="9209" max="9209" width="10.08984375" style="1" bestFit="1" customWidth="1"/>
    <col min="9210" max="9210" width="14.36328125" style="1" bestFit="1" customWidth="1"/>
    <col min="9211" max="9211" width="8.81640625" style="1" bestFit="1" customWidth="1"/>
    <col min="9212" max="9212" width="7.6328125" style="1" bestFit="1" customWidth="1"/>
    <col min="9213" max="9213" width="19" style="1" bestFit="1" customWidth="1"/>
    <col min="9214" max="9452" width="9.08984375" style="1"/>
    <col min="9453" max="9454" width="9.08984375" style="1" customWidth="1"/>
    <col min="9455" max="9457" width="1.81640625" style="1" bestFit="1" customWidth="1"/>
    <col min="9458" max="9458" width="2.7265625" style="1" bestFit="1" customWidth="1"/>
    <col min="9459" max="9459" width="3.6328125" style="1" bestFit="1" customWidth="1"/>
    <col min="9460" max="9460" width="55.6328125" style="1" bestFit="1" customWidth="1"/>
    <col min="9461" max="9461" width="5" style="1" bestFit="1" customWidth="1"/>
    <col min="9462" max="9462" width="11.26953125" style="1" bestFit="1" customWidth="1"/>
    <col min="9463" max="9463" width="13.26953125" style="1" bestFit="1" customWidth="1"/>
    <col min="9464" max="9464" width="7.08984375" style="1" customWidth="1"/>
    <col min="9465" max="9465" width="10.08984375" style="1" bestFit="1" customWidth="1"/>
    <col min="9466" max="9466" width="14.36328125" style="1" bestFit="1" customWidth="1"/>
    <col min="9467" max="9467" width="8.81640625" style="1" bestFit="1" customWidth="1"/>
    <col min="9468" max="9468" width="7.6328125" style="1" bestFit="1" customWidth="1"/>
    <col min="9469" max="9469" width="19" style="1" bestFit="1" customWidth="1"/>
    <col min="9470" max="9708" width="9.08984375" style="1"/>
    <col min="9709" max="9710" width="9.08984375" style="1" customWidth="1"/>
    <col min="9711" max="9713" width="1.81640625" style="1" bestFit="1" customWidth="1"/>
    <col min="9714" max="9714" width="2.7265625" style="1" bestFit="1" customWidth="1"/>
    <col min="9715" max="9715" width="3.6328125" style="1" bestFit="1" customWidth="1"/>
    <col min="9716" max="9716" width="55.6328125" style="1" bestFit="1" customWidth="1"/>
    <col min="9717" max="9717" width="5" style="1" bestFit="1" customWidth="1"/>
    <col min="9718" max="9718" width="11.26953125" style="1" bestFit="1" customWidth="1"/>
    <col min="9719" max="9719" width="13.26953125" style="1" bestFit="1" customWidth="1"/>
    <col min="9720" max="9720" width="7.08984375" style="1" customWidth="1"/>
    <col min="9721" max="9721" width="10.08984375" style="1" bestFit="1" customWidth="1"/>
    <col min="9722" max="9722" width="14.36328125" style="1" bestFit="1" customWidth="1"/>
    <col min="9723" max="9723" width="8.81640625" style="1" bestFit="1" customWidth="1"/>
    <col min="9724" max="9724" width="7.6328125" style="1" bestFit="1" customWidth="1"/>
    <col min="9725" max="9725" width="19" style="1" bestFit="1" customWidth="1"/>
    <col min="9726" max="9964" width="9.08984375" style="1"/>
    <col min="9965" max="9966" width="9.08984375" style="1" customWidth="1"/>
    <col min="9967" max="9969" width="1.81640625" style="1" bestFit="1" customWidth="1"/>
    <col min="9970" max="9970" width="2.7265625" style="1" bestFit="1" customWidth="1"/>
    <col min="9971" max="9971" width="3.6328125" style="1" bestFit="1" customWidth="1"/>
    <col min="9972" max="9972" width="55.6328125" style="1" bestFit="1" customWidth="1"/>
    <col min="9973" max="9973" width="5" style="1" bestFit="1" customWidth="1"/>
    <col min="9974" max="9974" width="11.26953125" style="1" bestFit="1" customWidth="1"/>
    <col min="9975" max="9975" width="13.26953125" style="1" bestFit="1" customWidth="1"/>
    <col min="9976" max="9976" width="7.08984375" style="1" customWidth="1"/>
    <col min="9977" max="9977" width="10.08984375" style="1" bestFit="1" customWidth="1"/>
    <col min="9978" max="9978" width="14.36328125" style="1" bestFit="1" customWidth="1"/>
    <col min="9979" max="9979" width="8.81640625" style="1" bestFit="1" customWidth="1"/>
    <col min="9980" max="9980" width="7.6328125" style="1" bestFit="1" customWidth="1"/>
    <col min="9981" max="9981" width="19" style="1" bestFit="1" customWidth="1"/>
    <col min="9982" max="10220" width="9.08984375" style="1"/>
    <col min="10221" max="10222" width="9.08984375" style="1" customWidth="1"/>
    <col min="10223" max="10225" width="1.81640625" style="1" bestFit="1" customWidth="1"/>
    <col min="10226" max="10226" width="2.7265625" style="1" bestFit="1" customWidth="1"/>
    <col min="10227" max="10227" width="3.6328125" style="1" bestFit="1" customWidth="1"/>
    <col min="10228" max="10228" width="55.6328125" style="1" bestFit="1" customWidth="1"/>
    <col min="10229" max="10229" width="5" style="1" bestFit="1" customWidth="1"/>
    <col min="10230" max="10230" width="11.26953125" style="1" bestFit="1" customWidth="1"/>
    <col min="10231" max="10231" width="13.26953125" style="1" bestFit="1" customWidth="1"/>
    <col min="10232" max="10232" width="7.08984375" style="1" customWidth="1"/>
    <col min="10233" max="10233" width="10.08984375" style="1" bestFit="1" customWidth="1"/>
    <col min="10234" max="10234" width="14.36328125" style="1" bestFit="1" customWidth="1"/>
    <col min="10235" max="10235" width="8.81640625" style="1" bestFit="1" customWidth="1"/>
    <col min="10236" max="10236" width="7.6328125" style="1" bestFit="1" customWidth="1"/>
    <col min="10237" max="10237" width="19" style="1" bestFit="1" customWidth="1"/>
    <col min="10238" max="10476" width="9.08984375" style="1"/>
    <col min="10477" max="10478" width="9.08984375" style="1" customWidth="1"/>
    <col min="10479" max="10481" width="1.81640625" style="1" bestFit="1" customWidth="1"/>
    <col min="10482" max="10482" width="2.7265625" style="1" bestFit="1" customWidth="1"/>
    <col min="10483" max="10483" width="3.6328125" style="1" bestFit="1" customWidth="1"/>
    <col min="10484" max="10484" width="55.6328125" style="1" bestFit="1" customWidth="1"/>
    <col min="10485" max="10485" width="5" style="1" bestFit="1" customWidth="1"/>
    <col min="10486" max="10486" width="11.26953125" style="1" bestFit="1" customWidth="1"/>
    <col min="10487" max="10487" width="13.26953125" style="1" bestFit="1" customWidth="1"/>
    <col min="10488" max="10488" width="7.08984375" style="1" customWidth="1"/>
    <col min="10489" max="10489" width="10.08984375" style="1" bestFit="1" customWidth="1"/>
    <col min="10490" max="10490" width="14.36328125" style="1" bestFit="1" customWidth="1"/>
    <col min="10491" max="10491" width="8.81640625" style="1" bestFit="1" customWidth="1"/>
    <col min="10492" max="10492" width="7.6328125" style="1" bestFit="1" customWidth="1"/>
    <col min="10493" max="10493" width="19" style="1" bestFit="1" customWidth="1"/>
    <col min="10494" max="10732" width="9.08984375" style="1"/>
    <col min="10733" max="10734" width="9.08984375" style="1" customWidth="1"/>
    <col min="10735" max="10737" width="1.81640625" style="1" bestFit="1" customWidth="1"/>
    <col min="10738" max="10738" width="2.7265625" style="1" bestFit="1" customWidth="1"/>
    <col min="10739" max="10739" width="3.6328125" style="1" bestFit="1" customWidth="1"/>
    <col min="10740" max="10740" width="55.6328125" style="1" bestFit="1" customWidth="1"/>
    <col min="10741" max="10741" width="5" style="1" bestFit="1" customWidth="1"/>
    <col min="10742" max="10742" width="11.26953125" style="1" bestFit="1" customWidth="1"/>
    <col min="10743" max="10743" width="13.26953125" style="1" bestFit="1" customWidth="1"/>
    <col min="10744" max="10744" width="7.08984375" style="1" customWidth="1"/>
    <col min="10745" max="10745" width="10.08984375" style="1" bestFit="1" customWidth="1"/>
    <col min="10746" max="10746" width="14.36328125" style="1" bestFit="1" customWidth="1"/>
    <col min="10747" max="10747" width="8.81640625" style="1" bestFit="1" customWidth="1"/>
    <col min="10748" max="10748" width="7.6328125" style="1" bestFit="1" customWidth="1"/>
    <col min="10749" max="10749" width="19" style="1" bestFit="1" customWidth="1"/>
    <col min="10750" max="10988" width="9.08984375" style="1"/>
    <col min="10989" max="10990" width="9.08984375" style="1" customWidth="1"/>
    <col min="10991" max="10993" width="1.81640625" style="1" bestFit="1" customWidth="1"/>
    <col min="10994" max="10994" width="2.7265625" style="1" bestFit="1" customWidth="1"/>
    <col min="10995" max="10995" width="3.6328125" style="1" bestFit="1" customWidth="1"/>
    <col min="10996" max="10996" width="55.6328125" style="1" bestFit="1" customWidth="1"/>
    <col min="10997" max="10997" width="5" style="1" bestFit="1" customWidth="1"/>
    <col min="10998" max="10998" width="11.26953125" style="1" bestFit="1" customWidth="1"/>
    <col min="10999" max="10999" width="13.26953125" style="1" bestFit="1" customWidth="1"/>
    <col min="11000" max="11000" width="7.08984375" style="1" customWidth="1"/>
    <col min="11001" max="11001" width="10.08984375" style="1" bestFit="1" customWidth="1"/>
    <col min="11002" max="11002" width="14.36328125" style="1" bestFit="1" customWidth="1"/>
    <col min="11003" max="11003" width="8.81640625" style="1" bestFit="1" customWidth="1"/>
    <col min="11004" max="11004" width="7.6328125" style="1" bestFit="1" customWidth="1"/>
    <col min="11005" max="11005" width="19" style="1" bestFit="1" customWidth="1"/>
    <col min="11006" max="11244" width="9.08984375" style="1"/>
    <col min="11245" max="11246" width="9.08984375" style="1" customWidth="1"/>
    <col min="11247" max="11249" width="1.81640625" style="1" bestFit="1" customWidth="1"/>
    <col min="11250" max="11250" width="2.7265625" style="1" bestFit="1" customWidth="1"/>
    <col min="11251" max="11251" width="3.6328125" style="1" bestFit="1" customWidth="1"/>
    <col min="11252" max="11252" width="55.6328125" style="1" bestFit="1" customWidth="1"/>
    <col min="11253" max="11253" width="5" style="1" bestFit="1" customWidth="1"/>
    <col min="11254" max="11254" width="11.26953125" style="1" bestFit="1" customWidth="1"/>
    <col min="11255" max="11255" width="13.26953125" style="1" bestFit="1" customWidth="1"/>
    <col min="11256" max="11256" width="7.08984375" style="1" customWidth="1"/>
    <col min="11257" max="11257" width="10.08984375" style="1" bestFit="1" customWidth="1"/>
    <col min="11258" max="11258" width="14.36328125" style="1" bestFit="1" customWidth="1"/>
    <col min="11259" max="11259" width="8.81640625" style="1" bestFit="1" customWidth="1"/>
    <col min="11260" max="11260" width="7.6328125" style="1" bestFit="1" customWidth="1"/>
    <col min="11261" max="11261" width="19" style="1" bestFit="1" customWidth="1"/>
    <col min="11262" max="11500" width="9.08984375" style="1"/>
    <col min="11501" max="11502" width="9.08984375" style="1" customWidth="1"/>
    <col min="11503" max="11505" width="1.81640625" style="1" bestFit="1" customWidth="1"/>
    <col min="11506" max="11506" width="2.7265625" style="1" bestFit="1" customWidth="1"/>
    <col min="11507" max="11507" width="3.6328125" style="1" bestFit="1" customWidth="1"/>
    <col min="11508" max="11508" width="55.6328125" style="1" bestFit="1" customWidth="1"/>
    <col min="11509" max="11509" width="5" style="1" bestFit="1" customWidth="1"/>
    <col min="11510" max="11510" width="11.26953125" style="1" bestFit="1" customWidth="1"/>
    <col min="11511" max="11511" width="13.26953125" style="1" bestFit="1" customWidth="1"/>
    <col min="11512" max="11512" width="7.08984375" style="1" customWidth="1"/>
    <col min="11513" max="11513" width="10.08984375" style="1" bestFit="1" customWidth="1"/>
    <col min="11514" max="11514" width="14.36328125" style="1" bestFit="1" customWidth="1"/>
    <col min="11515" max="11515" width="8.81640625" style="1" bestFit="1" customWidth="1"/>
    <col min="11516" max="11516" width="7.6328125" style="1" bestFit="1" customWidth="1"/>
    <col min="11517" max="11517" width="19" style="1" bestFit="1" customWidth="1"/>
    <col min="11518" max="11756" width="9.08984375" style="1"/>
    <col min="11757" max="11758" width="9.08984375" style="1" customWidth="1"/>
    <col min="11759" max="11761" width="1.81640625" style="1" bestFit="1" customWidth="1"/>
    <col min="11762" max="11762" width="2.7265625" style="1" bestFit="1" customWidth="1"/>
    <col min="11763" max="11763" width="3.6328125" style="1" bestFit="1" customWidth="1"/>
    <col min="11764" max="11764" width="55.6328125" style="1" bestFit="1" customWidth="1"/>
    <col min="11765" max="11765" width="5" style="1" bestFit="1" customWidth="1"/>
    <col min="11766" max="11766" width="11.26953125" style="1" bestFit="1" customWidth="1"/>
    <col min="11767" max="11767" width="13.26953125" style="1" bestFit="1" customWidth="1"/>
    <col min="11768" max="11768" width="7.08984375" style="1" customWidth="1"/>
    <col min="11769" max="11769" width="10.08984375" style="1" bestFit="1" customWidth="1"/>
    <col min="11770" max="11770" width="14.36328125" style="1" bestFit="1" customWidth="1"/>
    <col min="11771" max="11771" width="8.81640625" style="1" bestFit="1" customWidth="1"/>
    <col min="11772" max="11772" width="7.6328125" style="1" bestFit="1" customWidth="1"/>
    <col min="11773" max="11773" width="19" style="1" bestFit="1" customWidth="1"/>
    <col min="11774" max="12012" width="9.08984375" style="1"/>
    <col min="12013" max="12014" width="9.08984375" style="1" customWidth="1"/>
    <col min="12015" max="12017" width="1.81640625" style="1" bestFit="1" customWidth="1"/>
    <col min="12018" max="12018" width="2.7265625" style="1" bestFit="1" customWidth="1"/>
    <col min="12019" max="12019" width="3.6328125" style="1" bestFit="1" customWidth="1"/>
    <col min="12020" max="12020" width="55.6328125" style="1" bestFit="1" customWidth="1"/>
    <col min="12021" max="12021" width="5" style="1" bestFit="1" customWidth="1"/>
    <col min="12022" max="12022" width="11.26953125" style="1" bestFit="1" customWidth="1"/>
    <col min="12023" max="12023" width="13.26953125" style="1" bestFit="1" customWidth="1"/>
    <col min="12024" max="12024" width="7.08984375" style="1" customWidth="1"/>
    <col min="12025" max="12025" width="10.08984375" style="1" bestFit="1" customWidth="1"/>
    <col min="12026" max="12026" width="14.36328125" style="1" bestFit="1" customWidth="1"/>
    <col min="12027" max="12027" width="8.81640625" style="1" bestFit="1" customWidth="1"/>
    <col min="12028" max="12028" width="7.6328125" style="1" bestFit="1" customWidth="1"/>
    <col min="12029" max="12029" width="19" style="1" bestFit="1" customWidth="1"/>
    <col min="12030" max="12268" width="9.08984375" style="1"/>
    <col min="12269" max="12270" width="9.08984375" style="1" customWidth="1"/>
    <col min="12271" max="12273" width="1.81640625" style="1" bestFit="1" customWidth="1"/>
    <col min="12274" max="12274" width="2.7265625" style="1" bestFit="1" customWidth="1"/>
    <col min="12275" max="12275" width="3.6328125" style="1" bestFit="1" customWidth="1"/>
    <col min="12276" max="12276" width="55.6328125" style="1" bestFit="1" customWidth="1"/>
    <col min="12277" max="12277" width="5" style="1" bestFit="1" customWidth="1"/>
    <col min="12278" max="12278" width="11.26953125" style="1" bestFit="1" customWidth="1"/>
    <col min="12279" max="12279" width="13.26953125" style="1" bestFit="1" customWidth="1"/>
    <col min="12280" max="12280" width="7.08984375" style="1" customWidth="1"/>
    <col min="12281" max="12281" width="10.08984375" style="1" bestFit="1" customWidth="1"/>
    <col min="12282" max="12282" width="14.36328125" style="1" bestFit="1" customWidth="1"/>
    <col min="12283" max="12283" width="8.81640625" style="1" bestFit="1" customWidth="1"/>
    <col min="12284" max="12284" width="7.6328125" style="1" bestFit="1" customWidth="1"/>
    <col min="12285" max="12285" width="19" style="1" bestFit="1" customWidth="1"/>
    <col min="12286" max="12524" width="9.08984375" style="1"/>
    <col min="12525" max="12526" width="9.08984375" style="1" customWidth="1"/>
    <col min="12527" max="12529" width="1.81640625" style="1" bestFit="1" customWidth="1"/>
    <col min="12530" max="12530" width="2.7265625" style="1" bestFit="1" customWidth="1"/>
    <col min="12531" max="12531" width="3.6328125" style="1" bestFit="1" customWidth="1"/>
    <col min="12532" max="12532" width="55.6328125" style="1" bestFit="1" customWidth="1"/>
    <col min="12533" max="12533" width="5" style="1" bestFit="1" customWidth="1"/>
    <col min="12534" max="12534" width="11.26953125" style="1" bestFit="1" customWidth="1"/>
    <col min="12535" max="12535" width="13.26953125" style="1" bestFit="1" customWidth="1"/>
    <col min="12536" max="12536" width="7.08984375" style="1" customWidth="1"/>
    <col min="12537" max="12537" width="10.08984375" style="1" bestFit="1" customWidth="1"/>
    <col min="12538" max="12538" width="14.36328125" style="1" bestFit="1" customWidth="1"/>
    <col min="12539" max="12539" width="8.81640625" style="1" bestFit="1" customWidth="1"/>
    <col min="12540" max="12540" width="7.6328125" style="1" bestFit="1" customWidth="1"/>
    <col min="12541" max="12541" width="19" style="1" bestFit="1" customWidth="1"/>
    <col min="12542" max="12780" width="9.08984375" style="1"/>
    <col min="12781" max="12782" width="9.08984375" style="1" customWidth="1"/>
    <col min="12783" max="12785" width="1.81640625" style="1" bestFit="1" customWidth="1"/>
    <col min="12786" max="12786" width="2.7265625" style="1" bestFit="1" customWidth="1"/>
    <col min="12787" max="12787" width="3.6328125" style="1" bestFit="1" customWidth="1"/>
    <col min="12788" max="12788" width="55.6328125" style="1" bestFit="1" customWidth="1"/>
    <col min="12789" max="12789" width="5" style="1" bestFit="1" customWidth="1"/>
    <col min="12790" max="12790" width="11.26953125" style="1" bestFit="1" customWidth="1"/>
    <col min="12791" max="12791" width="13.26953125" style="1" bestFit="1" customWidth="1"/>
    <col min="12792" max="12792" width="7.08984375" style="1" customWidth="1"/>
    <col min="12793" max="12793" width="10.08984375" style="1" bestFit="1" customWidth="1"/>
    <col min="12794" max="12794" width="14.36328125" style="1" bestFit="1" customWidth="1"/>
    <col min="12795" max="12795" width="8.81640625" style="1" bestFit="1" customWidth="1"/>
    <col min="12796" max="12796" width="7.6328125" style="1" bestFit="1" customWidth="1"/>
    <col min="12797" max="12797" width="19" style="1" bestFit="1" customWidth="1"/>
    <col min="12798" max="13036" width="9.08984375" style="1"/>
    <col min="13037" max="13038" width="9.08984375" style="1" customWidth="1"/>
    <col min="13039" max="13041" width="1.81640625" style="1" bestFit="1" customWidth="1"/>
    <col min="13042" max="13042" width="2.7265625" style="1" bestFit="1" customWidth="1"/>
    <col min="13043" max="13043" width="3.6328125" style="1" bestFit="1" customWidth="1"/>
    <col min="13044" max="13044" width="55.6328125" style="1" bestFit="1" customWidth="1"/>
    <col min="13045" max="13045" width="5" style="1" bestFit="1" customWidth="1"/>
    <col min="13046" max="13046" width="11.26953125" style="1" bestFit="1" customWidth="1"/>
    <col min="13047" max="13047" width="13.26953125" style="1" bestFit="1" customWidth="1"/>
    <col min="13048" max="13048" width="7.08984375" style="1" customWidth="1"/>
    <col min="13049" max="13049" width="10.08984375" style="1" bestFit="1" customWidth="1"/>
    <col min="13050" max="13050" width="14.36328125" style="1" bestFit="1" customWidth="1"/>
    <col min="13051" max="13051" width="8.81640625" style="1" bestFit="1" customWidth="1"/>
    <col min="13052" max="13052" width="7.6328125" style="1" bestFit="1" customWidth="1"/>
    <col min="13053" max="13053" width="19" style="1" bestFit="1" customWidth="1"/>
    <col min="13054" max="13292" width="9.08984375" style="1"/>
    <col min="13293" max="13294" width="9.08984375" style="1" customWidth="1"/>
    <col min="13295" max="13297" width="1.81640625" style="1" bestFit="1" customWidth="1"/>
    <col min="13298" max="13298" width="2.7265625" style="1" bestFit="1" customWidth="1"/>
    <col min="13299" max="13299" width="3.6328125" style="1" bestFit="1" customWidth="1"/>
    <col min="13300" max="13300" width="55.6328125" style="1" bestFit="1" customWidth="1"/>
    <col min="13301" max="13301" width="5" style="1" bestFit="1" customWidth="1"/>
    <col min="13302" max="13302" width="11.26953125" style="1" bestFit="1" customWidth="1"/>
    <col min="13303" max="13303" width="13.26953125" style="1" bestFit="1" customWidth="1"/>
    <col min="13304" max="13304" width="7.08984375" style="1" customWidth="1"/>
    <col min="13305" max="13305" width="10.08984375" style="1" bestFit="1" customWidth="1"/>
    <col min="13306" max="13306" width="14.36328125" style="1" bestFit="1" customWidth="1"/>
    <col min="13307" max="13307" width="8.81640625" style="1" bestFit="1" customWidth="1"/>
    <col min="13308" max="13308" width="7.6328125" style="1" bestFit="1" customWidth="1"/>
    <col min="13309" max="13309" width="19" style="1" bestFit="1" customWidth="1"/>
    <col min="13310" max="13548" width="9.08984375" style="1"/>
    <col min="13549" max="13550" width="9.08984375" style="1" customWidth="1"/>
    <col min="13551" max="13553" width="1.81640625" style="1" bestFit="1" customWidth="1"/>
    <col min="13554" max="13554" width="2.7265625" style="1" bestFit="1" customWidth="1"/>
    <col min="13555" max="13555" width="3.6328125" style="1" bestFit="1" customWidth="1"/>
    <col min="13556" max="13556" width="55.6328125" style="1" bestFit="1" customWidth="1"/>
    <col min="13557" max="13557" width="5" style="1" bestFit="1" customWidth="1"/>
    <col min="13558" max="13558" width="11.26953125" style="1" bestFit="1" customWidth="1"/>
    <col min="13559" max="13559" width="13.26953125" style="1" bestFit="1" customWidth="1"/>
    <col min="13560" max="13560" width="7.08984375" style="1" customWidth="1"/>
    <col min="13561" max="13561" width="10.08984375" style="1" bestFit="1" customWidth="1"/>
    <col min="13562" max="13562" width="14.36328125" style="1" bestFit="1" customWidth="1"/>
    <col min="13563" max="13563" width="8.81640625" style="1" bestFit="1" customWidth="1"/>
    <col min="13564" max="13564" width="7.6328125" style="1" bestFit="1" customWidth="1"/>
    <col min="13565" max="13565" width="19" style="1" bestFit="1" customWidth="1"/>
    <col min="13566" max="13804" width="9.08984375" style="1"/>
    <col min="13805" max="13806" width="9.08984375" style="1" customWidth="1"/>
    <col min="13807" max="13809" width="1.81640625" style="1" bestFit="1" customWidth="1"/>
    <col min="13810" max="13810" width="2.7265625" style="1" bestFit="1" customWidth="1"/>
    <col min="13811" max="13811" width="3.6328125" style="1" bestFit="1" customWidth="1"/>
    <col min="13812" max="13812" width="55.6328125" style="1" bestFit="1" customWidth="1"/>
    <col min="13813" max="13813" width="5" style="1" bestFit="1" customWidth="1"/>
    <col min="13814" max="13814" width="11.26953125" style="1" bestFit="1" customWidth="1"/>
    <col min="13815" max="13815" width="13.26953125" style="1" bestFit="1" customWidth="1"/>
    <col min="13816" max="13816" width="7.08984375" style="1" customWidth="1"/>
    <col min="13817" max="13817" width="10.08984375" style="1" bestFit="1" customWidth="1"/>
    <col min="13818" max="13818" width="14.36328125" style="1" bestFit="1" customWidth="1"/>
    <col min="13819" max="13819" width="8.81640625" style="1" bestFit="1" customWidth="1"/>
    <col min="13820" max="13820" width="7.6328125" style="1" bestFit="1" customWidth="1"/>
    <col min="13821" max="13821" width="19" style="1" bestFit="1" customWidth="1"/>
    <col min="13822" max="14060" width="9.08984375" style="1"/>
    <col min="14061" max="14062" width="9.08984375" style="1" customWidth="1"/>
    <col min="14063" max="14065" width="1.81640625" style="1" bestFit="1" customWidth="1"/>
    <col min="14066" max="14066" width="2.7265625" style="1" bestFit="1" customWidth="1"/>
    <col min="14067" max="14067" width="3.6328125" style="1" bestFit="1" customWidth="1"/>
    <col min="14068" max="14068" width="55.6328125" style="1" bestFit="1" customWidth="1"/>
    <col min="14069" max="14069" width="5" style="1" bestFit="1" customWidth="1"/>
    <col min="14070" max="14070" width="11.26953125" style="1" bestFit="1" customWidth="1"/>
    <col min="14071" max="14071" width="13.26953125" style="1" bestFit="1" customWidth="1"/>
    <col min="14072" max="14072" width="7.08984375" style="1" customWidth="1"/>
    <col min="14073" max="14073" width="10.08984375" style="1" bestFit="1" customWidth="1"/>
    <col min="14074" max="14074" width="14.36328125" style="1" bestFit="1" customWidth="1"/>
    <col min="14075" max="14075" width="8.81640625" style="1" bestFit="1" customWidth="1"/>
    <col min="14076" max="14076" width="7.6328125" style="1" bestFit="1" customWidth="1"/>
    <col min="14077" max="14077" width="19" style="1" bestFit="1" customWidth="1"/>
    <col min="14078" max="14316" width="9.08984375" style="1"/>
    <col min="14317" max="14318" width="9.08984375" style="1" customWidth="1"/>
    <col min="14319" max="14321" width="1.81640625" style="1" bestFit="1" customWidth="1"/>
    <col min="14322" max="14322" width="2.7265625" style="1" bestFit="1" customWidth="1"/>
    <col min="14323" max="14323" width="3.6328125" style="1" bestFit="1" customWidth="1"/>
    <col min="14324" max="14324" width="55.6328125" style="1" bestFit="1" customWidth="1"/>
    <col min="14325" max="14325" width="5" style="1" bestFit="1" customWidth="1"/>
    <col min="14326" max="14326" width="11.26953125" style="1" bestFit="1" customWidth="1"/>
    <col min="14327" max="14327" width="13.26953125" style="1" bestFit="1" customWidth="1"/>
    <col min="14328" max="14328" width="7.08984375" style="1" customWidth="1"/>
    <col min="14329" max="14329" width="10.08984375" style="1" bestFit="1" customWidth="1"/>
    <col min="14330" max="14330" width="14.36328125" style="1" bestFit="1" customWidth="1"/>
    <col min="14331" max="14331" width="8.81640625" style="1" bestFit="1" customWidth="1"/>
    <col min="14332" max="14332" width="7.6328125" style="1" bestFit="1" customWidth="1"/>
    <col min="14333" max="14333" width="19" style="1" bestFit="1" customWidth="1"/>
    <col min="14334" max="14572" width="9.08984375" style="1"/>
    <col min="14573" max="14574" width="9.08984375" style="1" customWidth="1"/>
    <col min="14575" max="14577" width="1.81640625" style="1" bestFit="1" customWidth="1"/>
    <col min="14578" max="14578" width="2.7265625" style="1" bestFit="1" customWidth="1"/>
    <col min="14579" max="14579" width="3.6328125" style="1" bestFit="1" customWidth="1"/>
    <col min="14580" max="14580" width="55.6328125" style="1" bestFit="1" customWidth="1"/>
    <col min="14581" max="14581" width="5" style="1" bestFit="1" customWidth="1"/>
    <col min="14582" max="14582" width="11.26953125" style="1" bestFit="1" customWidth="1"/>
    <col min="14583" max="14583" width="13.26953125" style="1" bestFit="1" customWidth="1"/>
    <col min="14584" max="14584" width="7.08984375" style="1" customWidth="1"/>
    <col min="14585" max="14585" width="10.08984375" style="1" bestFit="1" customWidth="1"/>
    <col min="14586" max="14586" width="14.36328125" style="1" bestFit="1" customWidth="1"/>
    <col min="14587" max="14587" width="8.81640625" style="1" bestFit="1" customWidth="1"/>
    <col min="14588" max="14588" width="7.6328125" style="1" bestFit="1" customWidth="1"/>
    <col min="14589" max="14589" width="19" style="1" bestFit="1" customWidth="1"/>
    <col min="14590" max="14828" width="9.08984375" style="1"/>
    <col min="14829" max="14830" width="9.08984375" style="1" customWidth="1"/>
    <col min="14831" max="14833" width="1.81640625" style="1" bestFit="1" customWidth="1"/>
    <col min="14834" max="14834" width="2.7265625" style="1" bestFit="1" customWidth="1"/>
    <col min="14835" max="14835" width="3.6328125" style="1" bestFit="1" customWidth="1"/>
    <col min="14836" max="14836" width="55.6328125" style="1" bestFit="1" customWidth="1"/>
    <col min="14837" max="14837" width="5" style="1" bestFit="1" customWidth="1"/>
    <col min="14838" max="14838" width="11.26953125" style="1" bestFit="1" customWidth="1"/>
    <col min="14839" max="14839" width="13.26953125" style="1" bestFit="1" customWidth="1"/>
    <col min="14840" max="14840" width="7.08984375" style="1" customWidth="1"/>
    <col min="14841" max="14841" width="10.08984375" style="1" bestFit="1" customWidth="1"/>
    <col min="14842" max="14842" width="14.36328125" style="1" bestFit="1" customWidth="1"/>
    <col min="14843" max="14843" width="8.81640625" style="1" bestFit="1" customWidth="1"/>
    <col min="14844" max="14844" width="7.6328125" style="1" bestFit="1" customWidth="1"/>
    <col min="14845" max="14845" width="19" style="1" bestFit="1" customWidth="1"/>
    <col min="14846" max="15084" width="9.08984375" style="1"/>
    <col min="15085" max="15086" width="9.08984375" style="1" customWidth="1"/>
    <col min="15087" max="15089" width="1.81640625" style="1" bestFit="1" customWidth="1"/>
    <col min="15090" max="15090" width="2.7265625" style="1" bestFit="1" customWidth="1"/>
    <col min="15091" max="15091" width="3.6328125" style="1" bestFit="1" customWidth="1"/>
    <col min="15092" max="15092" width="55.6328125" style="1" bestFit="1" customWidth="1"/>
    <col min="15093" max="15093" width="5" style="1" bestFit="1" customWidth="1"/>
    <col min="15094" max="15094" width="11.26953125" style="1" bestFit="1" customWidth="1"/>
    <col min="15095" max="15095" width="13.26953125" style="1" bestFit="1" customWidth="1"/>
    <col min="15096" max="15096" width="7.08984375" style="1" customWidth="1"/>
    <col min="15097" max="15097" width="10.08984375" style="1" bestFit="1" customWidth="1"/>
    <col min="15098" max="15098" width="14.36328125" style="1" bestFit="1" customWidth="1"/>
    <col min="15099" max="15099" width="8.81640625" style="1" bestFit="1" customWidth="1"/>
    <col min="15100" max="15100" width="7.6328125" style="1" bestFit="1" customWidth="1"/>
    <col min="15101" max="15101" width="19" style="1" bestFit="1" customWidth="1"/>
    <col min="15102" max="15340" width="9.08984375" style="1"/>
    <col min="15341" max="15342" width="9.08984375" style="1" customWidth="1"/>
    <col min="15343" max="15345" width="1.81640625" style="1" bestFit="1" customWidth="1"/>
    <col min="15346" max="15346" width="2.7265625" style="1" bestFit="1" customWidth="1"/>
    <col min="15347" max="15347" width="3.6328125" style="1" bestFit="1" customWidth="1"/>
    <col min="15348" max="15348" width="55.6328125" style="1" bestFit="1" customWidth="1"/>
    <col min="15349" max="15349" width="5" style="1" bestFit="1" customWidth="1"/>
    <col min="15350" max="15350" width="11.26953125" style="1" bestFit="1" customWidth="1"/>
    <col min="15351" max="15351" width="13.26953125" style="1" bestFit="1" customWidth="1"/>
    <col min="15352" max="15352" width="7.08984375" style="1" customWidth="1"/>
    <col min="15353" max="15353" width="10.08984375" style="1" bestFit="1" customWidth="1"/>
    <col min="15354" max="15354" width="14.36328125" style="1" bestFit="1" customWidth="1"/>
    <col min="15355" max="15355" width="8.81640625" style="1" bestFit="1" customWidth="1"/>
    <col min="15356" max="15356" width="7.6328125" style="1" bestFit="1" customWidth="1"/>
    <col min="15357" max="15357" width="19" style="1" bestFit="1" customWidth="1"/>
    <col min="15358" max="15596" width="9.08984375" style="1"/>
    <col min="15597" max="15598" width="9.08984375" style="1" customWidth="1"/>
    <col min="15599" max="15601" width="1.81640625" style="1" bestFit="1" customWidth="1"/>
    <col min="15602" max="15602" width="2.7265625" style="1" bestFit="1" customWidth="1"/>
    <col min="15603" max="15603" width="3.6328125" style="1" bestFit="1" customWidth="1"/>
    <col min="15604" max="15604" width="55.6328125" style="1" bestFit="1" customWidth="1"/>
    <col min="15605" max="15605" width="5" style="1" bestFit="1" customWidth="1"/>
    <col min="15606" max="15606" width="11.26953125" style="1" bestFit="1" customWidth="1"/>
    <col min="15607" max="15607" width="13.26953125" style="1" bestFit="1" customWidth="1"/>
    <col min="15608" max="15608" width="7.08984375" style="1" customWidth="1"/>
    <col min="15609" max="15609" width="10.08984375" style="1" bestFit="1" customWidth="1"/>
    <col min="15610" max="15610" width="14.36328125" style="1" bestFit="1" customWidth="1"/>
    <col min="15611" max="15611" width="8.81640625" style="1" bestFit="1" customWidth="1"/>
    <col min="15612" max="15612" width="7.6328125" style="1" bestFit="1" customWidth="1"/>
    <col min="15613" max="15613" width="19" style="1" bestFit="1" customWidth="1"/>
    <col min="15614" max="15852" width="9.08984375" style="1"/>
    <col min="15853" max="15854" width="9.08984375" style="1" customWidth="1"/>
    <col min="15855" max="15857" width="1.81640625" style="1" bestFit="1" customWidth="1"/>
    <col min="15858" max="15858" width="2.7265625" style="1" bestFit="1" customWidth="1"/>
    <col min="15859" max="15859" width="3.6328125" style="1" bestFit="1" customWidth="1"/>
    <col min="15860" max="15860" width="55.6328125" style="1" bestFit="1" customWidth="1"/>
    <col min="15861" max="15861" width="5" style="1" bestFit="1" customWidth="1"/>
    <col min="15862" max="15862" width="11.26953125" style="1" bestFit="1" customWidth="1"/>
    <col min="15863" max="15863" width="13.26953125" style="1" bestFit="1" customWidth="1"/>
    <col min="15864" max="15864" width="7.08984375" style="1" customWidth="1"/>
    <col min="15865" max="15865" width="10.08984375" style="1" bestFit="1" customWidth="1"/>
    <col min="15866" max="15866" width="14.36328125" style="1" bestFit="1" customWidth="1"/>
    <col min="15867" max="15867" width="8.81640625" style="1" bestFit="1" customWidth="1"/>
    <col min="15868" max="15868" width="7.6328125" style="1" bestFit="1" customWidth="1"/>
    <col min="15869" max="15869" width="19" style="1" bestFit="1" customWidth="1"/>
    <col min="15870" max="16108" width="9.08984375" style="1"/>
    <col min="16109" max="16110" width="9.08984375" style="1" customWidth="1"/>
    <col min="16111" max="16113" width="1.81640625" style="1" bestFit="1" customWidth="1"/>
    <col min="16114" max="16114" width="2.7265625" style="1" bestFit="1" customWidth="1"/>
    <col min="16115" max="16115" width="3.6328125" style="1" bestFit="1" customWidth="1"/>
    <col min="16116" max="16116" width="55.6328125" style="1" bestFit="1" customWidth="1"/>
    <col min="16117" max="16117" width="5" style="1" bestFit="1" customWidth="1"/>
    <col min="16118" max="16118" width="11.26953125" style="1" bestFit="1" customWidth="1"/>
    <col min="16119" max="16119" width="13.26953125" style="1" bestFit="1" customWidth="1"/>
    <col min="16120" max="16120" width="7.08984375" style="1" customWidth="1"/>
    <col min="16121" max="16121" width="10.08984375" style="1" bestFit="1" customWidth="1"/>
    <col min="16122" max="16122" width="14.36328125" style="1" bestFit="1" customWidth="1"/>
    <col min="16123" max="16123" width="8.81640625" style="1" bestFit="1" customWidth="1"/>
    <col min="16124" max="16124" width="7.6328125" style="1" bestFit="1" customWidth="1"/>
    <col min="16125" max="16125" width="19" style="1" bestFit="1" customWidth="1"/>
    <col min="16126" max="16384" width="9.08984375" style="1"/>
  </cols>
  <sheetData>
    <row r="1" spans="1:17" ht="15" customHeight="1" x14ac:dyDescent="0.25">
      <c r="A1" s="317" t="s">
        <v>16</v>
      </c>
      <c r="B1" s="317"/>
      <c r="C1" s="317"/>
      <c r="D1" s="317"/>
      <c r="E1" s="317"/>
      <c r="F1" s="317" t="s">
        <v>17</v>
      </c>
      <c r="G1" s="317" t="s">
        <v>18</v>
      </c>
      <c r="H1" s="317" t="s">
        <v>19</v>
      </c>
      <c r="I1" s="316" t="s">
        <v>878</v>
      </c>
      <c r="J1" s="316"/>
      <c r="K1" s="316"/>
      <c r="L1" s="24" t="s">
        <v>908</v>
      </c>
    </row>
    <row r="2" spans="1:17" hidden="1" x14ac:dyDescent="0.25">
      <c r="A2" s="318"/>
      <c r="B2" s="318"/>
      <c r="C2" s="318"/>
      <c r="D2" s="318"/>
      <c r="E2" s="318"/>
      <c r="F2" s="318"/>
      <c r="G2" s="318"/>
      <c r="H2" s="318"/>
      <c r="I2" s="6" t="s">
        <v>904</v>
      </c>
      <c r="J2" s="6" t="s">
        <v>906</v>
      </c>
      <c r="K2" s="6" t="s">
        <v>905</v>
      </c>
      <c r="L2" s="2" t="s">
        <v>907</v>
      </c>
    </row>
    <row r="3" spans="1:17" s="2" customFormat="1" hidden="1" x14ac:dyDescent="0.35">
      <c r="A3" s="7"/>
      <c r="B3" s="7"/>
      <c r="C3" s="7"/>
      <c r="D3" s="7"/>
      <c r="E3" s="7"/>
      <c r="F3" s="7"/>
      <c r="G3" s="7"/>
      <c r="H3" s="7"/>
      <c r="L3" s="2" t="s">
        <v>910</v>
      </c>
      <c r="M3" s="2" t="s">
        <v>911</v>
      </c>
      <c r="N3" s="2" t="s">
        <v>912</v>
      </c>
    </row>
    <row r="4" spans="1:17" hidden="1" x14ac:dyDescent="0.25">
      <c r="A4" s="8" t="s">
        <v>20</v>
      </c>
      <c r="B4" s="8"/>
      <c r="C4" s="8"/>
      <c r="D4" s="8"/>
      <c r="E4" s="8"/>
      <c r="F4" s="9" t="s">
        <v>21</v>
      </c>
      <c r="G4" s="10" t="s">
        <v>22</v>
      </c>
      <c r="H4" s="10" t="s">
        <v>23</v>
      </c>
      <c r="I4" s="10" t="s">
        <v>907</v>
      </c>
      <c r="J4" s="10" t="s">
        <v>907</v>
      </c>
      <c r="K4" s="10" t="s">
        <v>907</v>
      </c>
      <c r="M4" s="10" t="s">
        <v>907</v>
      </c>
      <c r="N4" s="10"/>
    </row>
    <row r="5" spans="1:17" hidden="1" x14ac:dyDescent="0.25">
      <c r="A5" s="12" t="s">
        <v>20</v>
      </c>
      <c r="B5" s="12" t="s">
        <v>20</v>
      </c>
      <c r="C5" s="12"/>
      <c r="D5" s="12"/>
      <c r="E5" s="12"/>
      <c r="F5" s="13" t="s">
        <v>24</v>
      </c>
      <c r="G5" s="14" t="s">
        <v>22</v>
      </c>
      <c r="H5" s="14" t="s">
        <v>23</v>
      </c>
      <c r="I5" s="14" t="s">
        <v>907</v>
      </c>
      <c r="J5" s="14" t="s">
        <v>907</v>
      </c>
      <c r="K5" s="14" t="s">
        <v>907</v>
      </c>
      <c r="M5" s="14" t="s">
        <v>907</v>
      </c>
      <c r="N5" s="14"/>
    </row>
    <row r="6" spans="1:17" hidden="1" x14ac:dyDescent="0.25">
      <c r="A6" s="16" t="s">
        <v>20</v>
      </c>
      <c r="B6" s="16" t="s">
        <v>20</v>
      </c>
      <c r="C6" s="17" t="s">
        <v>20</v>
      </c>
      <c r="D6" s="16"/>
      <c r="E6" s="16"/>
      <c r="F6" s="18" t="s">
        <v>25</v>
      </c>
      <c r="G6" s="19" t="s">
        <v>22</v>
      </c>
      <c r="H6" s="19" t="s">
        <v>23</v>
      </c>
      <c r="I6" s="19" t="s">
        <v>907</v>
      </c>
      <c r="J6" s="19" t="s">
        <v>907</v>
      </c>
      <c r="K6" s="19" t="s">
        <v>907</v>
      </c>
      <c r="M6" s="19" t="s">
        <v>907</v>
      </c>
      <c r="N6" s="19"/>
    </row>
    <row r="7" spans="1:17" hidden="1" x14ac:dyDescent="0.25">
      <c r="A7" s="20" t="s">
        <v>20</v>
      </c>
      <c r="B7" s="20" t="s">
        <v>20</v>
      </c>
      <c r="C7" s="20">
        <v>1</v>
      </c>
      <c r="D7" s="21" t="s">
        <v>0</v>
      </c>
      <c r="E7" s="20"/>
      <c r="F7" s="22" t="s">
        <v>26</v>
      </c>
      <c r="G7" s="23" t="s">
        <v>22</v>
      </c>
      <c r="H7" s="23" t="s">
        <v>23</v>
      </c>
      <c r="I7" s="23" t="s">
        <v>907</v>
      </c>
      <c r="J7" s="23" t="s">
        <v>907</v>
      </c>
      <c r="K7" s="23" t="s">
        <v>907</v>
      </c>
      <c r="M7" s="23" t="s">
        <v>907</v>
      </c>
      <c r="N7" s="23"/>
    </row>
    <row r="8" spans="1:17" x14ac:dyDescent="0.25">
      <c r="A8" s="24" t="s">
        <v>20</v>
      </c>
      <c r="B8" s="24" t="s">
        <v>20</v>
      </c>
      <c r="C8" s="24">
        <v>1</v>
      </c>
      <c r="D8" s="24" t="s">
        <v>0</v>
      </c>
      <c r="E8" s="25" t="s">
        <v>1</v>
      </c>
      <c r="F8" s="5" t="s">
        <v>27</v>
      </c>
      <c r="G8" s="2" t="s">
        <v>22</v>
      </c>
      <c r="H8" s="2" t="s">
        <v>23</v>
      </c>
      <c r="I8" s="24" t="s">
        <v>908</v>
      </c>
      <c r="J8" s="24" t="s">
        <v>908</v>
      </c>
      <c r="K8" s="24" t="s">
        <v>908</v>
      </c>
      <c r="M8" s="24" t="s">
        <v>908</v>
      </c>
      <c r="N8" s="24"/>
      <c r="P8" s="1" t="str">
        <f t="shared" ref="P8:P68" si="0">CONCATENATE(A8,B8,C8,D8,E8)</f>
        <v>11101001</v>
      </c>
      <c r="Q8" s="263" t="str">
        <f>F8</f>
        <v>House Bank Main Safe</v>
      </c>
    </row>
    <row r="9" spans="1:17" x14ac:dyDescent="0.25">
      <c r="A9" s="24" t="s">
        <v>20</v>
      </c>
      <c r="B9" s="24" t="s">
        <v>20</v>
      </c>
      <c r="C9" s="24">
        <v>1</v>
      </c>
      <c r="D9" s="24" t="s">
        <v>0</v>
      </c>
      <c r="E9" s="25" t="s">
        <v>3</v>
      </c>
      <c r="F9" s="5" t="s">
        <v>28</v>
      </c>
      <c r="G9" s="2" t="s">
        <v>22</v>
      </c>
      <c r="H9" s="2" t="s">
        <v>23</v>
      </c>
      <c r="I9" s="24" t="s">
        <v>908</v>
      </c>
      <c r="J9" s="24" t="s">
        <v>908</v>
      </c>
      <c r="K9" s="24" t="s">
        <v>908</v>
      </c>
      <c r="M9" s="24" t="s">
        <v>908</v>
      </c>
      <c r="N9" s="24"/>
      <c r="P9" s="1" t="str">
        <f t="shared" si="0"/>
        <v>11101002</v>
      </c>
      <c r="Q9" s="263" t="str">
        <f t="shared" ref="Q9:Q71" si="1">F9</f>
        <v>House Bank Front Office</v>
      </c>
    </row>
    <row r="10" spans="1:17" x14ac:dyDescent="0.25">
      <c r="A10" s="24" t="s">
        <v>20</v>
      </c>
      <c r="B10" s="24" t="s">
        <v>20</v>
      </c>
      <c r="C10" s="24">
        <v>1</v>
      </c>
      <c r="D10" s="24" t="s">
        <v>0</v>
      </c>
      <c r="E10" s="25" t="s">
        <v>5</v>
      </c>
      <c r="F10" s="5" t="s">
        <v>29</v>
      </c>
      <c r="G10" s="2" t="s">
        <v>22</v>
      </c>
      <c r="H10" s="2" t="s">
        <v>23</v>
      </c>
      <c r="I10" s="24" t="s">
        <v>907</v>
      </c>
      <c r="J10" s="24" t="s">
        <v>910</v>
      </c>
      <c r="K10" s="24" t="s">
        <v>908</v>
      </c>
      <c r="M10" s="24" t="s">
        <v>907</v>
      </c>
      <c r="N10" s="24"/>
      <c r="P10" s="1" t="str">
        <f t="shared" si="0"/>
        <v>11101003</v>
      </c>
      <c r="Q10" s="263" t="str">
        <f t="shared" si="1"/>
        <v>House Bank FB</v>
      </c>
    </row>
    <row r="11" spans="1:17" x14ac:dyDescent="0.25">
      <c r="A11" s="24" t="s">
        <v>20</v>
      </c>
      <c r="B11" s="24" t="s">
        <v>20</v>
      </c>
      <c r="C11" s="24">
        <v>1</v>
      </c>
      <c r="D11" s="24" t="s">
        <v>0</v>
      </c>
      <c r="E11" s="25" t="s">
        <v>7</v>
      </c>
      <c r="F11" s="5" t="s">
        <v>30</v>
      </c>
      <c r="G11" s="2" t="s">
        <v>22</v>
      </c>
      <c r="H11" s="2" t="s">
        <v>23</v>
      </c>
      <c r="I11" s="24" t="s">
        <v>907</v>
      </c>
      <c r="J11" s="24" t="s">
        <v>910</v>
      </c>
      <c r="K11" s="24" t="s">
        <v>910</v>
      </c>
      <c r="M11" s="24" t="s">
        <v>907</v>
      </c>
      <c r="N11" s="24"/>
      <c r="P11" s="1" t="str">
        <f t="shared" si="0"/>
        <v>11101004</v>
      </c>
      <c r="Q11" s="263" t="str">
        <f t="shared" si="1"/>
        <v>House Bank Spa</v>
      </c>
    </row>
    <row r="12" spans="1:17" x14ac:dyDescent="0.25">
      <c r="A12" s="24" t="s">
        <v>20</v>
      </c>
      <c r="B12" s="24" t="s">
        <v>20</v>
      </c>
      <c r="C12" s="24">
        <v>1</v>
      </c>
      <c r="D12" s="24" t="s">
        <v>0</v>
      </c>
      <c r="E12" s="25" t="s">
        <v>9</v>
      </c>
      <c r="F12" s="5" t="s">
        <v>812</v>
      </c>
      <c r="G12" s="2" t="s">
        <v>22</v>
      </c>
      <c r="H12" s="2" t="s">
        <v>23</v>
      </c>
      <c r="I12" s="2" t="s">
        <v>908</v>
      </c>
      <c r="J12" s="2" t="s">
        <v>908</v>
      </c>
      <c r="K12" s="2" t="s">
        <v>908</v>
      </c>
      <c r="L12" s="2" t="s">
        <v>909</v>
      </c>
      <c r="M12" s="2" t="s">
        <v>908</v>
      </c>
      <c r="N12" s="2"/>
      <c r="P12" s="1" t="str">
        <f t="shared" si="0"/>
        <v>11101005</v>
      </c>
      <c r="Q12" s="263" t="str">
        <f t="shared" si="1"/>
        <v>Front Office Cash Clearance</v>
      </c>
    </row>
    <row r="13" spans="1:17" x14ac:dyDescent="0.25">
      <c r="A13" s="24" t="s">
        <v>20</v>
      </c>
      <c r="B13" s="24" t="s">
        <v>20</v>
      </c>
      <c r="C13" s="24">
        <v>1</v>
      </c>
      <c r="D13" s="24" t="s">
        <v>0</v>
      </c>
      <c r="E13" s="25" t="s">
        <v>10</v>
      </c>
      <c r="F13" s="5" t="s">
        <v>813</v>
      </c>
      <c r="G13" s="2" t="s">
        <v>22</v>
      </c>
      <c r="H13" s="2" t="s">
        <v>23</v>
      </c>
      <c r="I13" s="24" t="s">
        <v>908</v>
      </c>
      <c r="J13" s="24" t="s">
        <v>908</v>
      </c>
      <c r="K13" s="24" t="s">
        <v>908</v>
      </c>
      <c r="L13" s="2" t="s">
        <v>909</v>
      </c>
      <c r="M13" s="24" t="s">
        <v>908</v>
      </c>
      <c r="N13" s="24"/>
      <c r="P13" s="1" t="str">
        <f t="shared" si="0"/>
        <v>11101006</v>
      </c>
      <c r="Q13" s="263" t="str">
        <f t="shared" si="1"/>
        <v>Back Office Cash Clearance</v>
      </c>
    </row>
    <row r="14" spans="1:17" hidden="1" x14ac:dyDescent="0.25">
      <c r="A14" s="20" t="s">
        <v>20</v>
      </c>
      <c r="B14" s="20" t="s">
        <v>20</v>
      </c>
      <c r="C14" s="20">
        <v>1</v>
      </c>
      <c r="D14" s="20" t="s">
        <v>2</v>
      </c>
      <c r="E14" s="20"/>
      <c r="F14" s="22" t="s">
        <v>31</v>
      </c>
      <c r="G14" s="23" t="s">
        <v>22</v>
      </c>
      <c r="H14" s="23" t="s">
        <v>23</v>
      </c>
      <c r="I14" s="23" t="s">
        <v>907</v>
      </c>
      <c r="J14" s="23" t="s">
        <v>907</v>
      </c>
      <c r="K14" s="23" t="s">
        <v>907</v>
      </c>
      <c r="M14" s="23" t="s">
        <v>907</v>
      </c>
      <c r="N14" s="23"/>
      <c r="Q14" s="263"/>
    </row>
    <row r="15" spans="1:17" x14ac:dyDescent="0.25">
      <c r="A15" s="24" t="s">
        <v>20</v>
      </c>
      <c r="B15" s="24" t="s">
        <v>20</v>
      </c>
      <c r="C15" s="24">
        <v>1</v>
      </c>
      <c r="D15" s="24" t="s">
        <v>2</v>
      </c>
      <c r="E15" s="25" t="s">
        <v>1</v>
      </c>
      <c r="F15" s="5" t="s">
        <v>556</v>
      </c>
      <c r="G15" s="2" t="s">
        <v>22</v>
      </c>
      <c r="H15" s="2" t="s">
        <v>23</v>
      </c>
      <c r="I15" s="24" t="s">
        <v>908</v>
      </c>
      <c r="J15" s="24" t="s">
        <v>908</v>
      </c>
      <c r="K15" s="24" t="s">
        <v>908</v>
      </c>
      <c r="M15" s="24" t="s">
        <v>908</v>
      </c>
      <c r="N15" s="24"/>
      <c r="P15" s="1" t="str">
        <f t="shared" si="0"/>
        <v>11102001</v>
      </c>
      <c r="Q15" s="263" t="str">
        <f t="shared" si="1"/>
        <v>Bank In ………………………………</v>
      </c>
    </row>
    <row r="16" spans="1:17" x14ac:dyDescent="0.25">
      <c r="A16" s="24" t="s">
        <v>20</v>
      </c>
      <c r="B16" s="24" t="s">
        <v>20</v>
      </c>
      <c r="C16" s="24">
        <v>1</v>
      </c>
      <c r="D16" s="24" t="s">
        <v>2</v>
      </c>
      <c r="E16" s="25" t="s">
        <v>3</v>
      </c>
      <c r="F16" s="5" t="s">
        <v>556</v>
      </c>
      <c r="G16" s="2" t="s">
        <v>22</v>
      </c>
      <c r="H16" s="2" t="s">
        <v>23</v>
      </c>
      <c r="I16" s="24" t="s">
        <v>908</v>
      </c>
      <c r="J16" s="24" t="s">
        <v>908</v>
      </c>
      <c r="K16" s="24" t="s">
        <v>908</v>
      </c>
      <c r="M16" s="24" t="s">
        <v>908</v>
      </c>
      <c r="N16" s="24"/>
      <c r="P16" s="1" t="str">
        <f t="shared" si="0"/>
        <v>11102002</v>
      </c>
      <c r="Q16" s="263" t="str">
        <f t="shared" si="1"/>
        <v>Bank In ………………………………</v>
      </c>
    </row>
    <row r="17" spans="1:17" x14ac:dyDescent="0.25">
      <c r="A17" s="24" t="s">
        <v>20</v>
      </c>
      <c r="B17" s="24" t="s">
        <v>20</v>
      </c>
      <c r="C17" s="24">
        <v>1</v>
      </c>
      <c r="D17" s="24" t="s">
        <v>2</v>
      </c>
      <c r="E17" s="25" t="s">
        <v>5</v>
      </c>
      <c r="F17" s="5" t="s">
        <v>557</v>
      </c>
      <c r="G17" s="2" t="s">
        <v>22</v>
      </c>
      <c r="H17" s="2" t="s">
        <v>23</v>
      </c>
      <c r="I17" s="24" t="s">
        <v>908</v>
      </c>
      <c r="J17" s="24" t="s">
        <v>908</v>
      </c>
      <c r="K17" s="24" t="s">
        <v>908</v>
      </c>
      <c r="M17" s="24" t="s">
        <v>908</v>
      </c>
      <c r="N17" s="24"/>
      <c r="P17" s="1" t="str">
        <f t="shared" si="0"/>
        <v>11102003</v>
      </c>
      <c r="Q17" s="263" t="str">
        <f t="shared" si="1"/>
        <v>Bank Out………………………………</v>
      </c>
    </row>
    <row r="18" spans="1:17" x14ac:dyDescent="0.25">
      <c r="A18" s="24" t="s">
        <v>20</v>
      </c>
      <c r="B18" s="24" t="s">
        <v>20</v>
      </c>
      <c r="C18" s="24">
        <v>1</v>
      </c>
      <c r="D18" s="24" t="s">
        <v>2</v>
      </c>
      <c r="E18" s="25" t="s">
        <v>7</v>
      </c>
      <c r="F18" s="5" t="s">
        <v>557</v>
      </c>
      <c r="G18" s="2" t="s">
        <v>22</v>
      </c>
      <c r="H18" s="2" t="s">
        <v>23</v>
      </c>
      <c r="I18" s="24" t="s">
        <v>908</v>
      </c>
      <c r="J18" s="24" t="s">
        <v>908</v>
      </c>
      <c r="K18" s="24" t="s">
        <v>908</v>
      </c>
      <c r="M18" s="24" t="s">
        <v>908</v>
      </c>
      <c r="N18" s="24"/>
      <c r="P18" s="1" t="str">
        <f t="shared" si="0"/>
        <v>11102004</v>
      </c>
      <c r="Q18" s="263" t="str">
        <f t="shared" si="1"/>
        <v>Bank Out………………………………</v>
      </c>
    </row>
    <row r="19" spans="1:17" x14ac:dyDescent="0.25">
      <c r="A19" s="24" t="s">
        <v>20</v>
      </c>
      <c r="B19" s="24" t="s">
        <v>20</v>
      </c>
      <c r="C19" s="24">
        <v>1</v>
      </c>
      <c r="D19" s="24" t="s">
        <v>2</v>
      </c>
      <c r="E19" s="25" t="s">
        <v>9</v>
      </c>
      <c r="F19" s="5" t="s">
        <v>814</v>
      </c>
      <c r="G19" s="2" t="s">
        <v>22</v>
      </c>
      <c r="H19" s="2" t="s">
        <v>23</v>
      </c>
      <c r="I19" s="24" t="s">
        <v>907</v>
      </c>
      <c r="J19" s="24" t="s">
        <v>907</v>
      </c>
      <c r="K19" s="24" t="s">
        <v>907</v>
      </c>
      <c r="M19" s="24" t="s">
        <v>907</v>
      </c>
      <c r="N19" s="24"/>
      <c r="P19" s="1" t="str">
        <f t="shared" si="0"/>
        <v>11102005</v>
      </c>
      <c r="Q19" s="263" t="str">
        <f t="shared" si="1"/>
        <v>Bank FF&amp;E Reserve ………………………………</v>
      </c>
    </row>
    <row r="20" spans="1:17" hidden="1" x14ac:dyDescent="0.25">
      <c r="A20" s="20" t="s">
        <v>20</v>
      </c>
      <c r="B20" s="20" t="s">
        <v>20</v>
      </c>
      <c r="C20" s="20">
        <v>1</v>
      </c>
      <c r="D20" s="20" t="s">
        <v>4</v>
      </c>
      <c r="E20" s="20"/>
      <c r="F20" s="22" t="s">
        <v>815</v>
      </c>
      <c r="G20" s="23" t="s">
        <v>22</v>
      </c>
      <c r="H20" s="23" t="s">
        <v>23</v>
      </c>
      <c r="I20" s="23" t="s">
        <v>907</v>
      </c>
      <c r="J20" s="23" t="s">
        <v>907</v>
      </c>
      <c r="K20" s="23" t="s">
        <v>907</v>
      </c>
      <c r="M20" s="23" t="s">
        <v>907</v>
      </c>
      <c r="N20" s="23"/>
      <c r="Q20" s="263"/>
    </row>
    <row r="21" spans="1:17" x14ac:dyDescent="0.25">
      <c r="A21" s="24" t="s">
        <v>20</v>
      </c>
      <c r="B21" s="24" t="s">
        <v>20</v>
      </c>
      <c r="C21" s="24">
        <v>1</v>
      </c>
      <c r="D21" s="24" t="s">
        <v>4</v>
      </c>
      <c r="E21" s="25" t="s">
        <v>1</v>
      </c>
      <c r="F21" s="5" t="s">
        <v>32</v>
      </c>
      <c r="G21" s="2" t="s">
        <v>22</v>
      </c>
      <c r="H21" s="2" t="s">
        <v>23</v>
      </c>
      <c r="I21" s="24" t="s">
        <v>908</v>
      </c>
      <c r="J21" s="24" t="s">
        <v>908</v>
      </c>
      <c r="K21" s="24" t="s">
        <v>908</v>
      </c>
      <c r="M21" s="24" t="s">
        <v>908</v>
      </c>
      <c r="N21" s="24"/>
      <c r="P21" s="1" t="str">
        <f t="shared" si="0"/>
        <v>11103001</v>
      </c>
      <c r="Q21" s="263" t="str">
        <f t="shared" si="1"/>
        <v>Time Deposit</v>
      </c>
    </row>
    <row r="22" spans="1:17" hidden="1" x14ac:dyDescent="0.25">
      <c r="A22" s="16" t="s">
        <v>20</v>
      </c>
      <c r="B22" s="16" t="s">
        <v>20</v>
      </c>
      <c r="C22" s="17" t="s">
        <v>33</v>
      </c>
      <c r="D22" s="16"/>
      <c r="E22" s="16"/>
      <c r="F22" s="18" t="s">
        <v>34</v>
      </c>
      <c r="G22" s="19" t="s">
        <v>22</v>
      </c>
      <c r="H22" s="19" t="s">
        <v>23</v>
      </c>
      <c r="I22" s="19" t="s">
        <v>907</v>
      </c>
      <c r="J22" s="19" t="s">
        <v>907</v>
      </c>
      <c r="K22" s="19" t="s">
        <v>907</v>
      </c>
      <c r="M22" s="19" t="s">
        <v>907</v>
      </c>
      <c r="N22" s="19"/>
      <c r="Q22" s="263"/>
    </row>
    <row r="23" spans="1:17" hidden="1" x14ac:dyDescent="0.25">
      <c r="A23" s="20" t="s">
        <v>20</v>
      </c>
      <c r="B23" s="20" t="s">
        <v>20</v>
      </c>
      <c r="C23" s="20">
        <v>2</v>
      </c>
      <c r="D23" s="20" t="s">
        <v>0</v>
      </c>
      <c r="E23" s="20"/>
      <c r="F23" s="15" t="s">
        <v>816</v>
      </c>
      <c r="G23" s="23" t="s">
        <v>22</v>
      </c>
      <c r="H23" s="23" t="s">
        <v>23</v>
      </c>
      <c r="I23" s="20" t="s">
        <v>907</v>
      </c>
      <c r="J23" s="20" t="s">
        <v>907</v>
      </c>
      <c r="K23" s="20" t="s">
        <v>907</v>
      </c>
      <c r="M23" s="20" t="s">
        <v>907</v>
      </c>
      <c r="N23" s="20"/>
      <c r="Q23" s="263"/>
    </row>
    <row r="24" spans="1:17" x14ac:dyDescent="0.25">
      <c r="A24" s="24" t="s">
        <v>20</v>
      </c>
      <c r="B24" s="24" t="s">
        <v>20</v>
      </c>
      <c r="C24" s="24">
        <v>2</v>
      </c>
      <c r="D24" s="24" t="s">
        <v>0</v>
      </c>
      <c r="E24" s="25" t="s">
        <v>1</v>
      </c>
      <c r="F24" s="5" t="s">
        <v>35</v>
      </c>
      <c r="G24" s="2" t="s">
        <v>22</v>
      </c>
      <c r="H24" s="2" t="s">
        <v>23</v>
      </c>
      <c r="I24" s="24" t="s">
        <v>908</v>
      </c>
      <c r="J24" s="24" t="s">
        <v>908</v>
      </c>
      <c r="K24" s="24" t="s">
        <v>908</v>
      </c>
      <c r="M24" s="24" t="s">
        <v>908</v>
      </c>
      <c r="N24" s="24"/>
      <c r="P24" s="1" t="str">
        <f t="shared" si="0"/>
        <v>11201001</v>
      </c>
      <c r="Q24" s="263" t="str">
        <f t="shared" si="1"/>
        <v>A/R Guest Ledger</v>
      </c>
    </row>
    <row r="25" spans="1:17" x14ac:dyDescent="0.25">
      <c r="A25" s="24" t="s">
        <v>20</v>
      </c>
      <c r="B25" s="24" t="s">
        <v>20</v>
      </c>
      <c r="C25" s="24">
        <v>2</v>
      </c>
      <c r="D25" s="24" t="s">
        <v>0</v>
      </c>
      <c r="E25" s="25" t="s">
        <v>3</v>
      </c>
      <c r="F25" s="5" t="s">
        <v>36</v>
      </c>
      <c r="G25" s="2" t="s">
        <v>22</v>
      </c>
      <c r="H25" s="2" t="s">
        <v>23</v>
      </c>
      <c r="I25" s="24" t="s">
        <v>908</v>
      </c>
      <c r="J25" s="24" t="s">
        <v>908</v>
      </c>
      <c r="K25" s="24" t="s">
        <v>908</v>
      </c>
      <c r="M25" s="24" t="s">
        <v>908</v>
      </c>
      <c r="N25" s="24"/>
      <c r="P25" s="1" t="str">
        <f t="shared" si="0"/>
        <v>11201002</v>
      </c>
      <c r="Q25" s="263" t="str">
        <f t="shared" si="1"/>
        <v>A/R City Ledger Travel</v>
      </c>
    </row>
    <row r="26" spans="1:17" x14ac:dyDescent="0.25">
      <c r="A26" s="24" t="s">
        <v>20</v>
      </c>
      <c r="B26" s="24" t="s">
        <v>20</v>
      </c>
      <c r="C26" s="24">
        <v>2</v>
      </c>
      <c r="D26" s="24" t="s">
        <v>0</v>
      </c>
      <c r="E26" s="25" t="s">
        <v>5</v>
      </c>
      <c r="F26" s="5" t="s">
        <v>37</v>
      </c>
      <c r="G26" s="2" t="s">
        <v>22</v>
      </c>
      <c r="H26" s="2" t="s">
        <v>23</v>
      </c>
      <c r="I26" s="24" t="s">
        <v>908</v>
      </c>
      <c r="J26" s="24" t="s">
        <v>908</v>
      </c>
      <c r="K26" s="24" t="s">
        <v>908</v>
      </c>
      <c r="M26" s="24" t="s">
        <v>908</v>
      </c>
      <c r="N26" s="24"/>
      <c r="P26" s="1" t="str">
        <f t="shared" si="0"/>
        <v>11201003</v>
      </c>
      <c r="Q26" s="263" t="str">
        <f t="shared" si="1"/>
        <v>A/R City Ledger Corporate</v>
      </c>
    </row>
    <row r="27" spans="1:17" x14ac:dyDescent="0.25">
      <c r="A27" s="24" t="s">
        <v>20</v>
      </c>
      <c r="B27" s="24" t="s">
        <v>20</v>
      </c>
      <c r="C27" s="24">
        <v>2</v>
      </c>
      <c r="D27" s="24" t="s">
        <v>0</v>
      </c>
      <c r="E27" s="25" t="s">
        <v>7</v>
      </c>
      <c r="F27" s="5" t="s">
        <v>928</v>
      </c>
      <c r="G27" s="2" t="s">
        <v>22</v>
      </c>
      <c r="H27" s="2" t="s">
        <v>23</v>
      </c>
      <c r="I27" s="24" t="s">
        <v>908</v>
      </c>
      <c r="J27" s="24" t="s">
        <v>908</v>
      </c>
      <c r="K27" s="24" t="s">
        <v>908</v>
      </c>
      <c r="M27" s="24" t="s">
        <v>908</v>
      </c>
      <c r="N27" s="24"/>
      <c r="P27" s="1" t="str">
        <f t="shared" si="0"/>
        <v>11201004</v>
      </c>
      <c r="Q27" s="263" t="str">
        <f t="shared" si="1"/>
        <v>A/R City Ledger Government</v>
      </c>
    </row>
    <row r="28" spans="1:17" x14ac:dyDescent="0.25">
      <c r="A28" s="24" t="s">
        <v>20</v>
      </c>
      <c r="B28" s="24" t="s">
        <v>20</v>
      </c>
      <c r="C28" s="24">
        <v>2</v>
      </c>
      <c r="D28" s="24" t="s">
        <v>0</v>
      </c>
      <c r="E28" s="25" t="s">
        <v>9</v>
      </c>
      <c r="F28" s="5" t="s">
        <v>922</v>
      </c>
      <c r="G28" s="2" t="s">
        <v>22</v>
      </c>
      <c r="H28" s="2" t="s">
        <v>23</v>
      </c>
      <c r="I28" s="24" t="s">
        <v>908</v>
      </c>
      <c r="J28" s="24" t="s">
        <v>908</v>
      </c>
      <c r="K28" s="24" t="s">
        <v>908</v>
      </c>
      <c r="M28" s="24" t="s">
        <v>908</v>
      </c>
      <c r="N28" s="24"/>
      <c r="P28" s="1" t="str">
        <f t="shared" si="0"/>
        <v>11201005</v>
      </c>
      <c r="Q28" s="263" t="str">
        <f t="shared" si="1"/>
        <v>A/R Credit Card Visa BCA</v>
      </c>
    </row>
    <row r="29" spans="1:17" x14ac:dyDescent="0.25">
      <c r="A29" s="24" t="s">
        <v>20</v>
      </c>
      <c r="B29" s="24" t="s">
        <v>20</v>
      </c>
      <c r="C29" s="24">
        <v>2</v>
      </c>
      <c r="D29" s="24" t="s">
        <v>0</v>
      </c>
      <c r="E29" s="25" t="s">
        <v>10</v>
      </c>
      <c r="F29" s="5" t="s">
        <v>923</v>
      </c>
      <c r="G29" s="2" t="s">
        <v>22</v>
      </c>
      <c r="H29" s="2" t="s">
        <v>23</v>
      </c>
      <c r="I29" s="24" t="s">
        <v>908</v>
      </c>
      <c r="J29" s="24" t="s">
        <v>908</v>
      </c>
      <c r="K29" s="24" t="s">
        <v>908</v>
      </c>
      <c r="M29" s="24" t="s">
        <v>908</v>
      </c>
      <c r="N29" s="24"/>
      <c r="P29" s="1" t="str">
        <f t="shared" si="0"/>
        <v>11201006</v>
      </c>
      <c r="Q29" s="263" t="str">
        <f t="shared" si="1"/>
        <v>A/R Credit Card Master BCA</v>
      </c>
    </row>
    <row r="30" spans="1:17" x14ac:dyDescent="0.25">
      <c r="A30" s="24" t="s">
        <v>20</v>
      </c>
      <c r="B30" s="24" t="s">
        <v>20</v>
      </c>
      <c r="C30" s="24">
        <v>2</v>
      </c>
      <c r="D30" s="24" t="s">
        <v>0</v>
      </c>
      <c r="E30" s="25" t="s">
        <v>11</v>
      </c>
      <c r="F30" s="5" t="s">
        <v>927</v>
      </c>
      <c r="G30" s="2" t="s">
        <v>22</v>
      </c>
      <c r="H30" s="2" t="s">
        <v>23</v>
      </c>
      <c r="I30" s="24" t="s">
        <v>908</v>
      </c>
      <c r="J30" s="24" t="s">
        <v>908</v>
      </c>
      <c r="K30" s="24" t="s">
        <v>908</v>
      </c>
      <c r="M30" s="24" t="s">
        <v>908</v>
      </c>
      <c r="N30" s="24"/>
      <c r="P30" s="1" t="str">
        <f t="shared" si="0"/>
        <v>11201007</v>
      </c>
      <c r="Q30" s="263" t="str">
        <f t="shared" si="1"/>
        <v>A/R BCA Card</v>
      </c>
    </row>
    <row r="31" spans="1:17" x14ac:dyDescent="0.25">
      <c r="A31" s="24" t="s">
        <v>20</v>
      </c>
      <c r="B31" s="24" t="s">
        <v>20</v>
      </c>
      <c r="C31" s="24">
        <v>2</v>
      </c>
      <c r="D31" s="24" t="s">
        <v>0</v>
      </c>
      <c r="E31" s="25" t="s">
        <v>13</v>
      </c>
      <c r="F31" s="5" t="s">
        <v>924</v>
      </c>
      <c r="G31" s="2" t="s">
        <v>22</v>
      </c>
      <c r="H31" s="2" t="s">
        <v>23</v>
      </c>
      <c r="I31" s="24" t="s">
        <v>908</v>
      </c>
      <c r="J31" s="24" t="s">
        <v>908</v>
      </c>
      <c r="K31" s="24" t="s">
        <v>908</v>
      </c>
      <c r="M31" s="24" t="s">
        <v>908</v>
      </c>
      <c r="N31" s="24"/>
      <c r="P31" s="1" t="str">
        <f t="shared" si="0"/>
        <v>11201008</v>
      </c>
      <c r="Q31" s="263" t="str">
        <f t="shared" si="1"/>
        <v>A/R Credit Card Visa Mandiri</v>
      </c>
    </row>
    <row r="32" spans="1:17" x14ac:dyDescent="0.25">
      <c r="A32" s="24" t="s">
        <v>20</v>
      </c>
      <c r="B32" s="24" t="s">
        <v>20</v>
      </c>
      <c r="C32" s="24">
        <v>2</v>
      </c>
      <c r="D32" s="24" t="s">
        <v>0</v>
      </c>
      <c r="E32" s="25" t="s">
        <v>15</v>
      </c>
      <c r="F32" s="5" t="s">
        <v>925</v>
      </c>
      <c r="G32" s="2" t="s">
        <v>22</v>
      </c>
      <c r="H32" s="2" t="s">
        <v>23</v>
      </c>
      <c r="I32" s="24" t="s">
        <v>908</v>
      </c>
      <c r="J32" s="24" t="s">
        <v>908</v>
      </c>
      <c r="K32" s="24" t="s">
        <v>908</v>
      </c>
      <c r="M32" s="24" t="s">
        <v>908</v>
      </c>
      <c r="N32" s="24"/>
      <c r="P32" s="1" t="str">
        <f t="shared" si="0"/>
        <v>11201009</v>
      </c>
      <c r="Q32" s="263" t="str">
        <f t="shared" si="1"/>
        <v>A/R Credit Card Master Mandiri</v>
      </c>
    </row>
    <row r="33" spans="1:17" x14ac:dyDescent="0.25">
      <c r="A33" s="24" t="s">
        <v>20</v>
      </c>
      <c r="B33" s="24" t="s">
        <v>20</v>
      </c>
      <c r="C33" s="24">
        <v>2</v>
      </c>
      <c r="D33" s="24" t="s">
        <v>0</v>
      </c>
      <c r="E33" s="25" t="s">
        <v>238</v>
      </c>
      <c r="F33" s="5" t="s">
        <v>926</v>
      </c>
      <c r="G33" s="2" t="s">
        <v>22</v>
      </c>
      <c r="H33" s="2" t="s">
        <v>23</v>
      </c>
      <c r="I33" s="24" t="s">
        <v>908</v>
      </c>
      <c r="J33" s="24" t="s">
        <v>908</v>
      </c>
      <c r="K33" s="24" t="s">
        <v>908</v>
      </c>
      <c r="M33" s="24" t="s">
        <v>908</v>
      </c>
      <c r="N33" s="24"/>
      <c r="P33" s="1" t="str">
        <f t="shared" si="0"/>
        <v>11201010</v>
      </c>
      <c r="Q33" s="263" t="str">
        <f t="shared" si="1"/>
        <v>A/R Credit Card Visa Other</v>
      </c>
    </row>
    <row r="34" spans="1:17" x14ac:dyDescent="0.25">
      <c r="A34" s="24" t="s">
        <v>20</v>
      </c>
      <c r="B34" s="24" t="s">
        <v>20</v>
      </c>
      <c r="C34" s="24">
        <v>2</v>
      </c>
      <c r="D34" s="24" t="s">
        <v>0</v>
      </c>
      <c r="E34" s="25" t="s">
        <v>240</v>
      </c>
      <c r="F34" s="5" t="s">
        <v>929</v>
      </c>
      <c r="G34" s="2" t="s">
        <v>22</v>
      </c>
      <c r="H34" s="2" t="s">
        <v>23</v>
      </c>
      <c r="I34" s="24" t="s">
        <v>908</v>
      </c>
      <c r="J34" s="24" t="s">
        <v>908</v>
      </c>
      <c r="K34" s="24" t="s">
        <v>908</v>
      </c>
      <c r="M34" s="24" t="s">
        <v>908</v>
      </c>
      <c r="N34" s="24"/>
      <c r="P34" s="1" t="str">
        <f t="shared" si="0"/>
        <v>11201011</v>
      </c>
      <c r="Q34" s="263" t="str">
        <f t="shared" si="1"/>
        <v>A/R Credit Card Master Other</v>
      </c>
    </row>
    <row r="35" spans="1:17" x14ac:dyDescent="0.25">
      <c r="A35" s="24" t="s">
        <v>20</v>
      </c>
      <c r="B35" s="24" t="s">
        <v>20</v>
      </c>
      <c r="C35" s="24">
        <v>2</v>
      </c>
      <c r="D35" s="24" t="s">
        <v>0</v>
      </c>
      <c r="E35" s="25" t="s">
        <v>331</v>
      </c>
      <c r="F35" s="5" t="s">
        <v>817</v>
      </c>
      <c r="G35" s="2" t="s">
        <v>22</v>
      </c>
      <c r="H35" s="2" t="s">
        <v>23</v>
      </c>
      <c r="I35" s="24" t="s">
        <v>908</v>
      </c>
      <c r="J35" s="24" t="s">
        <v>908</v>
      </c>
      <c r="K35" s="24" t="s">
        <v>908</v>
      </c>
      <c r="L35" s="2" t="s">
        <v>909</v>
      </c>
      <c r="M35" s="24" t="s">
        <v>908</v>
      </c>
      <c r="N35" s="24"/>
      <c r="P35" s="1" t="str">
        <f t="shared" si="0"/>
        <v>11201012</v>
      </c>
      <c r="Q35" s="263" t="str">
        <f t="shared" si="1"/>
        <v>Pre Account Receiveable</v>
      </c>
    </row>
    <row r="36" spans="1:17" x14ac:dyDescent="0.25">
      <c r="A36" s="24" t="s">
        <v>20</v>
      </c>
      <c r="B36" s="24" t="s">
        <v>20</v>
      </c>
      <c r="C36" s="24">
        <v>2</v>
      </c>
      <c r="D36" s="24" t="s">
        <v>0</v>
      </c>
      <c r="E36" s="25" t="s">
        <v>333</v>
      </c>
      <c r="F36" s="5" t="s">
        <v>818</v>
      </c>
      <c r="G36" s="2" t="s">
        <v>22</v>
      </c>
      <c r="H36" s="2" t="s">
        <v>23</v>
      </c>
      <c r="I36" s="24" t="s">
        <v>908</v>
      </c>
      <c r="J36" s="24" t="s">
        <v>908</v>
      </c>
      <c r="K36" s="24" t="s">
        <v>908</v>
      </c>
      <c r="L36" s="2" t="s">
        <v>909</v>
      </c>
      <c r="M36" s="24" t="s">
        <v>908</v>
      </c>
      <c r="N36" s="24"/>
      <c r="P36" s="1" t="str">
        <f t="shared" si="0"/>
        <v>11201013</v>
      </c>
      <c r="Q36" s="263" t="str">
        <f t="shared" si="1"/>
        <v>Pre Credit Card</v>
      </c>
    </row>
    <row r="37" spans="1:17" hidden="1" x14ac:dyDescent="0.25">
      <c r="A37" s="20" t="s">
        <v>20</v>
      </c>
      <c r="B37" s="20" t="s">
        <v>20</v>
      </c>
      <c r="C37" s="20">
        <v>2</v>
      </c>
      <c r="D37" s="20" t="s">
        <v>4</v>
      </c>
      <c r="E37" s="20"/>
      <c r="F37" s="22" t="s">
        <v>819</v>
      </c>
      <c r="G37" s="23" t="s">
        <v>22</v>
      </c>
      <c r="H37" s="23" t="s">
        <v>23</v>
      </c>
      <c r="I37" s="23" t="s">
        <v>907</v>
      </c>
      <c r="J37" s="23" t="s">
        <v>907</v>
      </c>
      <c r="K37" s="23" t="s">
        <v>907</v>
      </c>
      <c r="M37" s="23" t="s">
        <v>907</v>
      </c>
      <c r="N37" s="23"/>
      <c r="Q37" s="263"/>
    </row>
    <row r="38" spans="1:17" x14ac:dyDescent="0.25">
      <c r="A38" s="24" t="s">
        <v>20</v>
      </c>
      <c r="B38" s="24" t="s">
        <v>20</v>
      </c>
      <c r="C38" s="24">
        <v>2</v>
      </c>
      <c r="D38" s="24" t="s">
        <v>4</v>
      </c>
      <c r="E38" s="25" t="s">
        <v>1</v>
      </c>
      <c r="F38" s="5" t="s">
        <v>39</v>
      </c>
      <c r="G38" s="2" t="s">
        <v>22</v>
      </c>
      <c r="H38" s="2" t="s">
        <v>23</v>
      </c>
      <c r="I38" s="24" t="s">
        <v>908</v>
      </c>
      <c r="J38" s="24" t="s">
        <v>908</v>
      </c>
      <c r="K38" s="24" t="s">
        <v>908</v>
      </c>
      <c r="M38" s="24" t="s">
        <v>908</v>
      </c>
      <c r="N38" s="24"/>
      <c r="P38" s="1" t="str">
        <f t="shared" si="0"/>
        <v>11203001</v>
      </c>
      <c r="Q38" s="263" t="str">
        <f t="shared" si="1"/>
        <v>A/R Affiliated PT. ……………………………</v>
      </c>
    </row>
    <row r="39" spans="1:17" x14ac:dyDescent="0.25">
      <c r="A39" s="24" t="s">
        <v>20</v>
      </c>
      <c r="B39" s="24" t="s">
        <v>20</v>
      </c>
      <c r="C39" s="24">
        <v>2</v>
      </c>
      <c r="D39" s="24" t="s">
        <v>4</v>
      </c>
      <c r="E39" s="25" t="s">
        <v>3</v>
      </c>
      <c r="F39" s="5" t="s">
        <v>39</v>
      </c>
      <c r="G39" s="2" t="s">
        <v>22</v>
      </c>
      <c r="H39" s="2" t="s">
        <v>23</v>
      </c>
      <c r="I39" s="24" t="s">
        <v>908</v>
      </c>
      <c r="J39" s="24" t="s">
        <v>908</v>
      </c>
      <c r="K39" s="24" t="s">
        <v>908</v>
      </c>
      <c r="M39" s="24" t="s">
        <v>908</v>
      </c>
      <c r="N39" s="24"/>
      <c r="P39" s="1" t="str">
        <f t="shared" si="0"/>
        <v>11203002</v>
      </c>
      <c r="Q39" s="263" t="str">
        <f t="shared" si="1"/>
        <v>A/R Affiliated PT. ……………………………</v>
      </c>
    </row>
    <row r="40" spans="1:17" hidden="1" x14ac:dyDescent="0.25">
      <c r="A40" s="20" t="s">
        <v>20</v>
      </c>
      <c r="B40" s="20" t="s">
        <v>20</v>
      </c>
      <c r="C40" s="20">
        <v>2</v>
      </c>
      <c r="D40" s="20" t="s">
        <v>6</v>
      </c>
      <c r="E40" s="20"/>
      <c r="F40" s="22" t="s">
        <v>40</v>
      </c>
      <c r="G40" s="23" t="s">
        <v>22</v>
      </c>
      <c r="H40" s="23" t="s">
        <v>23</v>
      </c>
      <c r="I40" s="23" t="s">
        <v>907</v>
      </c>
      <c r="J40" s="23" t="s">
        <v>907</v>
      </c>
      <c r="K40" s="23" t="s">
        <v>907</v>
      </c>
      <c r="M40" s="23" t="s">
        <v>907</v>
      </c>
      <c r="N40" s="23"/>
      <c r="Q40" s="263"/>
    </row>
    <row r="41" spans="1:17" x14ac:dyDescent="0.25">
      <c r="A41" s="24" t="s">
        <v>20</v>
      </c>
      <c r="B41" s="24" t="s">
        <v>20</v>
      </c>
      <c r="C41" s="24">
        <v>2</v>
      </c>
      <c r="D41" s="24" t="s">
        <v>6</v>
      </c>
      <c r="E41" s="24" t="s">
        <v>1</v>
      </c>
      <c r="F41" s="5" t="s">
        <v>820</v>
      </c>
      <c r="G41" s="2" t="s">
        <v>22</v>
      </c>
      <c r="H41" s="2" t="s">
        <v>23</v>
      </c>
      <c r="I41" s="24" t="s">
        <v>908</v>
      </c>
      <c r="J41" s="24" t="s">
        <v>908</v>
      </c>
      <c r="K41" s="24" t="s">
        <v>908</v>
      </c>
      <c r="M41" s="24" t="s">
        <v>908</v>
      </c>
      <c r="N41" s="24"/>
      <c r="P41" s="1" t="str">
        <f t="shared" si="0"/>
        <v>11204001</v>
      </c>
      <c r="Q41" s="263" t="str">
        <f t="shared" si="1"/>
        <v>A/R Employee</v>
      </c>
    </row>
    <row r="42" spans="1:17" x14ac:dyDescent="0.25">
      <c r="A42" s="24" t="s">
        <v>20</v>
      </c>
      <c r="B42" s="24" t="s">
        <v>20</v>
      </c>
      <c r="C42" s="24">
        <v>2</v>
      </c>
      <c r="D42" s="24" t="s">
        <v>6</v>
      </c>
      <c r="E42" s="24" t="s">
        <v>3</v>
      </c>
      <c r="F42" s="4" t="s">
        <v>41</v>
      </c>
      <c r="G42" s="2" t="s">
        <v>22</v>
      </c>
      <c r="H42" s="2" t="s">
        <v>23</v>
      </c>
      <c r="I42" s="24" t="s">
        <v>908</v>
      </c>
      <c r="J42" s="24" t="s">
        <v>908</v>
      </c>
      <c r="K42" s="24" t="s">
        <v>908</v>
      </c>
      <c r="M42" s="24" t="s">
        <v>908</v>
      </c>
      <c r="N42" s="24"/>
      <c r="P42" s="1" t="str">
        <f t="shared" si="0"/>
        <v>11204002</v>
      </c>
      <c r="Q42" s="263" t="str">
        <f t="shared" si="1"/>
        <v>Notes Receivable</v>
      </c>
    </row>
    <row r="43" spans="1:17" x14ac:dyDescent="0.25">
      <c r="A43" s="24" t="s">
        <v>20</v>
      </c>
      <c r="B43" s="24" t="s">
        <v>20</v>
      </c>
      <c r="C43" s="24">
        <v>2</v>
      </c>
      <c r="D43" s="24" t="s">
        <v>6</v>
      </c>
      <c r="E43" s="24" t="s">
        <v>5</v>
      </c>
      <c r="F43" s="4" t="s">
        <v>42</v>
      </c>
      <c r="G43" s="2" t="s">
        <v>22</v>
      </c>
      <c r="H43" s="2" t="s">
        <v>23</v>
      </c>
      <c r="I43" s="24" t="s">
        <v>908</v>
      </c>
      <c r="J43" s="24" t="s">
        <v>908</v>
      </c>
      <c r="K43" s="24" t="s">
        <v>908</v>
      </c>
      <c r="M43" s="24" t="s">
        <v>908</v>
      </c>
      <c r="N43" s="24"/>
      <c r="P43" s="1" t="str">
        <f t="shared" si="0"/>
        <v>11204003</v>
      </c>
      <c r="Q43" s="263" t="str">
        <f t="shared" si="1"/>
        <v>Deposit In Transit</v>
      </c>
    </row>
    <row r="44" spans="1:17" x14ac:dyDescent="0.25">
      <c r="A44" s="24" t="s">
        <v>20</v>
      </c>
      <c r="B44" s="24" t="s">
        <v>20</v>
      </c>
      <c r="C44" s="24" t="s">
        <v>33</v>
      </c>
      <c r="D44" s="25" t="s">
        <v>6</v>
      </c>
      <c r="E44" s="25" t="s">
        <v>7</v>
      </c>
      <c r="F44" s="4" t="s">
        <v>821</v>
      </c>
      <c r="G44" s="2" t="s">
        <v>22</v>
      </c>
      <c r="H44" s="2" t="s">
        <v>23</v>
      </c>
      <c r="I44" s="24" t="s">
        <v>908</v>
      </c>
      <c r="J44" s="24" t="s">
        <v>908</v>
      </c>
      <c r="K44" s="24" t="s">
        <v>908</v>
      </c>
      <c r="M44" s="24" t="s">
        <v>908</v>
      </c>
      <c r="N44" s="24"/>
      <c r="P44" s="1" t="str">
        <f t="shared" si="0"/>
        <v>11204004</v>
      </c>
      <c r="Q44" s="263" t="str">
        <f t="shared" si="1"/>
        <v>A/R Owner</v>
      </c>
    </row>
    <row r="45" spans="1:17" x14ac:dyDescent="0.25">
      <c r="A45" s="24" t="s">
        <v>20</v>
      </c>
      <c r="B45" s="24" t="s">
        <v>20</v>
      </c>
      <c r="C45" s="24" t="s">
        <v>33</v>
      </c>
      <c r="D45" s="24" t="s">
        <v>6</v>
      </c>
      <c r="E45" s="24" t="s">
        <v>9</v>
      </c>
      <c r="F45" s="4" t="s">
        <v>113</v>
      </c>
      <c r="G45" s="2" t="s">
        <v>22</v>
      </c>
      <c r="H45" s="2" t="s">
        <v>23</v>
      </c>
      <c r="I45" s="24" t="s">
        <v>908</v>
      </c>
      <c r="J45" s="24" t="s">
        <v>908</v>
      </c>
      <c r="K45" s="24" t="s">
        <v>908</v>
      </c>
      <c r="L45" s="2" t="s">
        <v>909</v>
      </c>
      <c r="M45" s="24" t="s">
        <v>908</v>
      </c>
      <c r="N45" s="24"/>
      <c r="P45" s="1" t="str">
        <f t="shared" si="0"/>
        <v>11204005</v>
      </c>
      <c r="Q45" s="263" t="str">
        <f t="shared" si="1"/>
        <v>Pre Paid A/P</v>
      </c>
    </row>
    <row r="46" spans="1:17" x14ac:dyDescent="0.25">
      <c r="A46" s="24" t="s">
        <v>20</v>
      </c>
      <c r="B46" s="24" t="s">
        <v>20</v>
      </c>
      <c r="C46" s="24">
        <v>2</v>
      </c>
      <c r="D46" s="24" t="s">
        <v>6</v>
      </c>
      <c r="E46" s="24" t="s">
        <v>43</v>
      </c>
      <c r="F46" s="5" t="s">
        <v>578</v>
      </c>
      <c r="G46" s="2" t="s">
        <v>22</v>
      </c>
      <c r="H46" s="2" t="s">
        <v>23</v>
      </c>
      <c r="I46" s="24" t="s">
        <v>908</v>
      </c>
      <c r="J46" s="24" t="s">
        <v>908</v>
      </c>
      <c r="K46" s="24" t="s">
        <v>908</v>
      </c>
      <c r="M46" s="24" t="s">
        <v>908</v>
      </c>
      <c r="N46" s="24"/>
      <c r="P46" s="1" t="str">
        <f t="shared" si="0"/>
        <v>11204999</v>
      </c>
      <c r="Q46" s="263" t="str">
        <f t="shared" si="1"/>
        <v>Other - Other Receivable</v>
      </c>
    </row>
    <row r="47" spans="1:17" hidden="1" x14ac:dyDescent="0.25">
      <c r="A47" s="16" t="s">
        <v>20</v>
      </c>
      <c r="B47" s="16" t="s">
        <v>20</v>
      </c>
      <c r="C47" s="17" t="s">
        <v>44</v>
      </c>
      <c r="D47" s="16"/>
      <c r="E47" s="16"/>
      <c r="F47" s="18" t="s">
        <v>822</v>
      </c>
      <c r="G47" s="19" t="s">
        <v>22</v>
      </c>
      <c r="H47" s="19" t="s">
        <v>23</v>
      </c>
      <c r="I47" s="19" t="s">
        <v>907</v>
      </c>
      <c r="J47" s="19" t="s">
        <v>907</v>
      </c>
      <c r="K47" s="19" t="s">
        <v>907</v>
      </c>
      <c r="M47" s="19" t="s">
        <v>907</v>
      </c>
      <c r="N47" s="19"/>
      <c r="Q47" s="263"/>
    </row>
    <row r="48" spans="1:17" hidden="1" x14ac:dyDescent="0.25">
      <c r="A48" s="20" t="s">
        <v>20</v>
      </c>
      <c r="B48" s="20" t="s">
        <v>20</v>
      </c>
      <c r="C48" s="20">
        <v>3</v>
      </c>
      <c r="D48" s="20" t="s">
        <v>0</v>
      </c>
      <c r="E48" s="20"/>
      <c r="F48" s="219" t="s">
        <v>794</v>
      </c>
      <c r="G48" s="23" t="s">
        <v>22</v>
      </c>
      <c r="H48" s="23" t="s">
        <v>23</v>
      </c>
      <c r="I48" s="23" t="s">
        <v>907</v>
      </c>
      <c r="J48" s="23" t="s">
        <v>907</v>
      </c>
      <c r="K48" s="23" t="s">
        <v>907</v>
      </c>
      <c r="M48" s="23" t="s">
        <v>907</v>
      </c>
      <c r="N48" s="23"/>
      <c r="Q48" s="263"/>
    </row>
    <row r="49" spans="1:17" x14ac:dyDescent="0.25">
      <c r="A49" s="24" t="s">
        <v>20</v>
      </c>
      <c r="B49" s="24" t="s">
        <v>20</v>
      </c>
      <c r="C49" s="24">
        <v>3</v>
      </c>
      <c r="D49" s="24" t="s">
        <v>0</v>
      </c>
      <c r="E49" s="24" t="s">
        <v>1</v>
      </c>
      <c r="F49" s="5" t="s">
        <v>45</v>
      </c>
      <c r="G49" s="2" t="s">
        <v>22</v>
      </c>
      <c r="H49" s="2" t="s">
        <v>23</v>
      </c>
      <c r="I49" s="24" t="s">
        <v>908</v>
      </c>
      <c r="J49" s="24" t="s">
        <v>908</v>
      </c>
      <c r="K49" s="24" t="s">
        <v>908</v>
      </c>
      <c r="M49" s="24" t="s">
        <v>908</v>
      </c>
      <c r="N49" s="24"/>
      <c r="P49" s="1" t="str">
        <f t="shared" si="0"/>
        <v>11301001</v>
      </c>
      <c r="Q49" s="263" t="str">
        <f t="shared" si="1"/>
        <v>Food Inventory</v>
      </c>
    </row>
    <row r="50" spans="1:17" x14ac:dyDescent="0.25">
      <c r="A50" s="24" t="s">
        <v>20</v>
      </c>
      <c r="B50" s="24" t="s">
        <v>20</v>
      </c>
      <c r="C50" s="24">
        <v>3</v>
      </c>
      <c r="D50" s="24" t="s">
        <v>0</v>
      </c>
      <c r="E50" s="24" t="s">
        <v>3</v>
      </c>
      <c r="F50" s="5" t="s">
        <v>46</v>
      </c>
      <c r="G50" s="2" t="s">
        <v>22</v>
      </c>
      <c r="H50" s="2" t="s">
        <v>23</v>
      </c>
      <c r="I50" s="24" t="s">
        <v>908</v>
      </c>
      <c r="J50" s="24" t="s">
        <v>908</v>
      </c>
      <c r="K50" s="24" t="s">
        <v>908</v>
      </c>
      <c r="M50" s="24" t="s">
        <v>908</v>
      </c>
      <c r="N50" s="24"/>
      <c r="P50" s="1" t="str">
        <f t="shared" si="0"/>
        <v>11301002</v>
      </c>
      <c r="Q50" s="263" t="str">
        <f t="shared" si="1"/>
        <v>Beverage Inventory</v>
      </c>
    </row>
    <row r="51" spans="1:17" x14ac:dyDescent="0.25">
      <c r="A51" s="24" t="s">
        <v>20</v>
      </c>
      <c r="B51" s="24" t="s">
        <v>20</v>
      </c>
      <c r="C51" s="24">
        <v>3</v>
      </c>
      <c r="D51" s="24" t="s">
        <v>0</v>
      </c>
      <c r="E51" s="24" t="s">
        <v>5</v>
      </c>
      <c r="F51" s="4" t="s">
        <v>563</v>
      </c>
      <c r="G51" s="24" t="s">
        <v>22</v>
      </c>
      <c r="H51" s="2" t="s">
        <v>23</v>
      </c>
      <c r="I51" s="24" t="s">
        <v>908</v>
      </c>
      <c r="J51" s="24" t="s">
        <v>908</v>
      </c>
      <c r="K51" s="24" t="s">
        <v>908</v>
      </c>
      <c r="M51" s="24" t="s">
        <v>908</v>
      </c>
      <c r="N51" s="24"/>
      <c r="P51" s="1" t="str">
        <f t="shared" si="0"/>
        <v>11301003</v>
      </c>
      <c r="Q51" s="263" t="str">
        <f t="shared" si="1"/>
        <v>China/Glass/Silverware</v>
      </c>
    </row>
    <row r="52" spans="1:17" x14ac:dyDescent="0.25">
      <c r="A52" s="24" t="s">
        <v>20</v>
      </c>
      <c r="B52" s="24" t="s">
        <v>20</v>
      </c>
      <c r="C52" s="24">
        <v>3</v>
      </c>
      <c r="D52" s="24" t="s">
        <v>0</v>
      </c>
      <c r="E52" s="24" t="s">
        <v>7</v>
      </c>
      <c r="F52" s="4" t="s">
        <v>823</v>
      </c>
      <c r="G52" s="24" t="s">
        <v>22</v>
      </c>
      <c r="H52" s="2" t="s">
        <v>23</v>
      </c>
      <c r="I52" s="24" t="s">
        <v>908</v>
      </c>
      <c r="J52" s="24" t="s">
        <v>908</v>
      </c>
      <c r="K52" s="24" t="s">
        <v>908</v>
      </c>
      <c r="M52" s="24" t="s">
        <v>908</v>
      </c>
      <c r="N52" s="24"/>
      <c r="P52" s="1" t="str">
        <f t="shared" si="0"/>
        <v>11301004</v>
      </c>
      <c r="Q52" s="263" t="str">
        <f t="shared" si="1"/>
        <v>Linen HK</v>
      </c>
    </row>
    <row r="53" spans="1:17" x14ac:dyDescent="0.25">
      <c r="A53" s="24" t="s">
        <v>20</v>
      </c>
      <c r="B53" s="24" t="s">
        <v>20</v>
      </c>
      <c r="C53" s="24">
        <v>3</v>
      </c>
      <c r="D53" s="24" t="s">
        <v>0</v>
      </c>
      <c r="E53" s="24" t="s">
        <v>9</v>
      </c>
      <c r="F53" s="4" t="s">
        <v>824</v>
      </c>
      <c r="G53" s="2" t="s">
        <v>22</v>
      </c>
      <c r="H53" s="2" t="s">
        <v>23</v>
      </c>
      <c r="I53" s="24" t="s">
        <v>907</v>
      </c>
      <c r="J53" s="24" t="s">
        <v>910</v>
      </c>
      <c r="K53" s="24" t="s">
        <v>910</v>
      </c>
      <c r="M53" s="24" t="s">
        <v>907</v>
      </c>
      <c r="N53" s="24"/>
      <c r="P53" s="1" t="str">
        <f t="shared" si="0"/>
        <v>11301005</v>
      </c>
      <c r="Q53" s="263" t="str">
        <f t="shared" si="1"/>
        <v>Linen FB</v>
      </c>
    </row>
    <row r="54" spans="1:17" x14ac:dyDescent="0.25">
      <c r="A54" s="24" t="s">
        <v>20</v>
      </c>
      <c r="B54" s="24" t="s">
        <v>20</v>
      </c>
      <c r="C54" s="24">
        <v>3</v>
      </c>
      <c r="D54" s="24" t="s">
        <v>0</v>
      </c>
      <c r="E54" s="24" t="s">
        <v>10</v>
      </c>
      <c r="F54" s="5" t="s">
        <v>825</v>
      </c>
      <c r="G54" s="2" t="s">
        <v>22</v>
      </c>
      <c r="H54" s="2" t="s">
        <v>23</v>
      </c>
      <c r="I54" s="24" t="s">
        <v>908</v>
      </c>
      <c r="J54" s="24" t="s">
        <v>908</v>
      </c>
      <c r="K54" s="24" t="s">
        <v>908</v>
      </c>
      <c r="M54" s="24" t="s">
        <v>908</v>
      </c>
      <c r="N54" s="24"/>
      <c r="P54" s="1" t="str">
        <f t="shared" si="0"/>
        <v>11301006</v>
      </c>
      <c r="Q54" s="263" t="str">
        <f t="shared" si="1"/>
        <v>Uniform</v>
      </c>
    </row>
    <row r="55" spans="1:17" x14ac:dyDescent="0.25">
      <c r="A55" s="24" t="s">
        <v>20</v>
      </c>
      <c r="B55" s="24" t="s">
        <v>20</v>
      </c>
      <c r="C55" s="24">
        <v>3</v>
      </c>
      <c r="D55" s="24" t="s">
        <v>0</v>
      </c>
      <c r="E55" s="24" t="s">
        <v>11</v>
      </c>
      <c r="F55" s="5" t="s">
        <v>56</v>
      </c>
      <c r="G55" s="2" t="s">
        <v>22</v>
      </c>
      <c r="H55" s="2" t="s">
        <v>23</v>
      </c>
      <c r="I55" s="24" t="s">
        <v>908</v>
      </c>
      <c r="J55" s="24" t="s">
        <v>908</v>
      </c>
      <c r="K55" s="24" t="s">
        <v>908</v>
      </c>
      <c r="M55" s="24" t="s">
        <v>908</v>
      </c>
      <c r="N55" s="24"/>
      <c r="P55" s="1" t="str">
        <f t="shared" si="0"/>
        <v>11301007</v>
      </c>
      <c r="Q55" s="263" t="str">
        <f t="shared" si="1"/>
        <v>Kitchen Utensil</v>
      </c>
    </row>
    <row r="56" spans="1:17" x14ac:dyDescent="0.25">
      <c r="A56" s="24" t="s">
        <v>20</v>
      </c>
      <c r="B56" s="24" t="s">
        <v>20</v>
      </c>
      <c r="C56" s="24">
        <v>3</v>
      </c>
      <c r="D56" s="24" t="s">
        <v>0</v>
      </c>
      <c r="E56" s="24" t="s">
        <v>13</v>
      </c>
      <c r="F56" s="5" t="s">
        <v>57</v>
      </c>
      <c r="G56" s="2" t="s">
        <v>22</v>
      </c>
      <c r="H56" s="2" t="s">
        <v>23</v>
      </c>
      <c r="I56" s="24" t="s">
        <v>908</v>
      </c>
      <c r="J56" s="24" t="s">
        <v>908</v>
      </c>
      <c r="K56" s="24" t="s">
        <v>908</v>
      </c>
      <c r="M56" s="24" t="s">
        <v>908</v>
      </c>
      <c r="N56" s="24"/>
      <c r="P56" s="1" t="str">
        <f t="shared" si="0"/>
        <v>11301008</v>
      </c>
      <c r="Q56" s="263" t="str">
        <f t="shared" si="1"/>
        <v xml:space="preserve">Bottle &amp; Container </v>
      </c>
    </row>
    <row r="57" spans="1:17" x14ac:dyDescent="0.25">
      <c r="A57" s="24" t="s">
        <v>20</v>
      </c>
      <c r="B57" s="24" t="s">
        <v>20</v>
      </c>
      <c r="C57" s="24">
        <v>3</v>
      </c>
      <c r="D57" s="24" t="s">
        <v>0</v>
      </c>
      <c r="E57" s="24" t="s">
        <v>15</v>
      </c>
      <c r="F57" s="5" t="s">
        <v>55</v>
      </c>
      <c r="G57" s="24" t="s">
        <v>22</v>
      </c>
      <c r="H57" s="2" t="s">
        <v>23</v>
      </c>
      <c r="I57" s="24" t="s">
        <v>908</v>
      </c>
      <c r="J57" s="24" t="s">
        <v>908</v>
      </c>
      <c r="K57" s="24" t="s">
        <v>908</v>
      </c>
      <c r="M57" s="24" t="s">
        <v>908</v>
      </c>
      <c r="N57" s="24"/>
      <c r="P57" s="1" t="str">
        <f t="shared" si="0"/>
        <v>11301009</v>
      </c>
      <c r="Q57" s="263" t="str">
        <f t="shared" si="1"/>
        <v>Non Capitalized Asset</v>
      </c>
    </row>
    <row r="58" spans="1:17" x14ac:dyDescent="0.25">
      <c r="A58" s="24" t="s">
        <v>20</v>
      </c>
      <c r="B58" s="24" t="s">
        <v>20</v>
      </c>
      <c r="C58" s="24">
        <v>3</v>
      </c>
      <c r="D58" s="24" t="s">
        <v>0</v>
      </c>
      <c r="E58" s="24" t="s">
        <v>238</v>
      </c>
      <c r="F58" s="5" t="s">
        <v>826</v>
      </c>
      <c r="G58" s="24" t="s">
        <v>22</v>
      </c>
      <c r="H58" s="2" t="s">
        <v>23</v>
      </c>
      <c r="I58" s="24" t="s">
        <v>908</v>
      </c>
      <c r="J58" s="24" t="s">
        <v>908</v>
      </c>
      <c r="K58" s="24" t="s">
        <v>908</v>
      </c>
      <c r="M58" s="24" t="s">
        <v>908</v>
      </c>
      <c r="N58" s="24"/>
      <c r="P58" s="1" t="str">
        <f t="shared" si="0"/>
        <v>11301010</v>
      </c>
      <c r="Q58" s="263" t="str">
        <f t="shared" si="1"/>
        <v>Painting &amp; Decoration</v>
      </c>
    </row>
    <row r="59" spans="1:17" x14ac:dyDescent="0.25">
      <c r="A59" s="24" t="s">
        <v>20</v>
      </c>
      <c r="B59" s="24" t="s">
        <v>20</v>
      </c>
      <c r="C59" s="24">
        <v>3</v>
      </c>
      <c r="D59" s="24" t="s">
        <v>0</v>
      </c>
      <c r="E59" s="24" t="s">
        <v>240</v>
      </c>
      <c r="F59" s="5" t="s">
        <v>827</v>
      </c>
      <c r="G59" s="24" t="s">
        <v>22</v>
      </c>
      <c r="H59" s="2" t="s">
        <v>23</v>
      </c>
      <c r="I59" s="24" t="s">
        <v>908</v>
      </c>
      <c r="J59" s="24" t="s">
        <v>908</v>
      </c>
      <c r="K59" s="24" t="s">
        <v>908</v>
      </c>
      <c r="M59" s="24" t="s">
        <v>908</v>
      </c>
      <c r="N59" s="24"/>
      <c r="P59" s="1" t="str">
        <f t="shared" si="0"/>
        <v>11301011</v>
      </c>
      <c r="Q59" s="263" t="str">
        <f t="shared" si="1"/>
        <v>Fuel</v>
      </c>
    </row>
    <row r="60" spans="1:17" x14ac:dyDescent="0.25">
      <c r="A60" s="24" t="s">
        <v>20</v>
      </c>
      <c r="B60" s="24" t="s">
        <v>20</v>
      </c>
      <c r="C60" s="24">
        <v>3</v>
      </c>
      <c r="D60" s="24" t="s">
        <v>0</v>
      </c>
      <c r="E60" s="24" t="s">
        <v>331</v>
      </c>
      <c r="F60" s="5" t="s">
        <v>828</v>
      </c>
      <c r="G60" s="24" t="s">
        <v>22</v>
      </c>
      <c r="H60" s="2" t="s">
        <v>23</v>
      </c>
      <c r="I60" s="24" t="s">
        <v>908</v>
      </c>
      <c r="J60" s="24" t="s">
        <v>908</v>
      </c>
      <c r="K60" s="24" t="s">
        <v>908</v>
      </c>
      <c r="M60" s="24" t="s">
        <v>908</v>
      </c>
      <c r="N60" s="24"/>
      <c r="P60" s="1" t="str">
        <f t="shared" si="0"/>
        <v>11301012</v>
      </c>
      <c r="Q60" s="263" t="str">
        <f t="shared" si="1"/>
        <v>Engineering Tools</v>
      </c>
    </row>
    <row r="61" spans="1:17" x14ac:dyDescent="0.25">
      <c r="A61" s="24" t="s">
        <v>20</v>
      </c>
      <c r="B61" s="24" t="s">
        <v>20</v>
      </c>
      <c r="C61" s="24">
        <v>3</v>
      </c>
      <c r="D61" s="24" t="s">
        <v>0</v>
      </c>
      <c r="E61" s="24" t="s">
        <v>43</v>
      </c>
      <c r="F61" s="5" t="s">
        <v>829</v>
      </c>
      <c r="G61" s="24" t="s">
        <v>22</v>
      </c>
      <c r="H61" s="2" t="s">
        <v>23</v>
      </c>
      <c r="I61" s="24" t="s">
        <v>908</v>
      </c>
      <c r="J61" s="24" t="s">
        <v>908</v>
      </c>
      <c r="K61" s="24" t="s">
        <v>908</v>
      </c>
      <c r="M61" s="24" t="s">
        <v>908</v>
      </c>
      <c r="N61" s="24"/>
      <c r="P61" s="1" t="str">
        <f t="shared" si="0"/>
        <v>11301999</v>
      </c>
      <c r="Q61" s="263" t="str">
        <f t="shared" si="1"/>
        <v>Other Inventory</v>
      </c>
    </row>
    <row r="62" spans="1:17" hidden="1" x14ac:dyDescent="0.25">
      <c r="A62" s="20" t="s">
        <v>20</v>
      </c>
      <c r="B62" s="20" t="s">
        <v>20</v>
      </c>
      <c r="C62" s="20">
        <v>3</v>
      </c>
      <c r="D62" s="20" t="s">
        <v>2</v>
      </c>
      <c r="E62" s="20"/>
      <c r="F62" s="22" t="s">
        <v>550</v>
      </c>
      <c r="G62" s="23" t="s">
        <v>22</v>
      </c>
      <c r="H62" s="23" t="s">
        <v>23</v>
      </c>
      <c r="I62" s="23" t="s">
        <v>907</v>
      </c>
      <c r="J62" s="23" t="s">
        <v>907</v>
      </c>
      <c r="K62" s="23" t="s">
        <v>907</v>
      </c>
      <c r="M62" s="23" t="s">
        <v>907</v>
      </c>
      <c r="N62" s="23"/>
      <c r="Q62" s="263"/>
    </row>
    <row r="63" spans="1:17" x14ac:dyDescent="0.25">
      <c r="A63" s="24" t="s">
        <v>20</v>
      </c>
      <c r="B63" s="24" t="s">
        <v>20</v>
      </c>
      <c r="C63" s="24">
        <v>3</v>
      </c>
      <c r="D63" s="24" t="s">
        <v>2</v>
      </c>
      <c r="E63" s="24" t="s">
        <v>1</v>
      </c>
      <c r="F63" s="5" t="s">
        <v>47</v>
      </c>
      <c r="G63" s="2" t="s">
        <v>22</v>
      </c>
      <c r="H63" s="2" t="s">
        <v>23</v>
      </c>
      <c r="I63" s="24" t="s">
        <v>908</v>
      </c>
      <c r="J63" s="24" t="s">
        <v>908</v>
      </c>
      <c r="K63" s="24" t="s">
        <v>908</v>
      </c>
      <c r="M63" s="24" t="s">
        <v>908</v>
      </c>
      <c r="N63" s="24"/>
      <c r="P63" s="1" t="str">
        <f t="shared" si="0"/>
        <v>11302001</v>
      </c>
      <c r="Q63" s="263" t="str">
        <f t="shared" si="1"/>
        <v xml:space="preserve">Engineering Supplies </v>
      </c>
    </row>
    <row r="64" spans="1:17" x14ac:dyDescent="0.25">
      <c r="A64" s="24" t="s">
        <v>20</v>
      </c>
      <c r="B64" s="24" t="s">
        <v>20</v>
      </c>
      <c r="C64" s="24">
        <v>3</v>
      </c>
      <c r="D64" s="24" t="s">
        <v>2</v>
      </c>
      <c r="E64" s="24" t="s">
        <v>3</v>
      </c>
      <c r="F64" s="5" t="s">
        <v>48</v>
      </c>
      <c r="G64" s="2" t="s">
        <v>22</v>
      </c>
      <c r="H64" s="2" t="s">
        <v>23</v>
      </c>
      <c r="I64" s="24" t="s">
        <v>908</v>
      </c>
      <c r="J64" s="24" t="s">
        <v>908</v>
      </c>
      <c r="K64" s="24" t="s">
        <v>908</v>
      </c>
      <c r="M64" s="24" t="s">
        <v>908</v>
      </c>
      <c r="N64" s="24"/>
      <c r="P64" s="1" t="str">
        <f t="shared" si="0"/>
        <v>11302002</v>
      </c>
      <c r="Q64" s="263" t="str">
        <f t="shared" si="1"/>
        <v xml:space="preserve">Guest Supplies </v>
      </c>
    </row>
    <row r="65" spans="1:17" x14ac:dyDescent="0.25">
      <c r="A65" s="24" t="s">
        <v>20</v>
      </c>
      <c r="B65" s="24" t="s">
        <v>20</v>
      </c>
      <c r="C65" s="24">
        <v>3</v>
      </c>
      <c r="D65" s="24" t="s">
        <v>2</v>
      </c>
      <c r="E65" s="24" t="s">
        <v>5</v>
      </c>
      <c r="F65" s="5" t="s">
        <v>49</v>
      </c>
      <c r="G65" s="2" t="s">
        <v>22</v>
      </c>
      <c r="H65" s="2" t="s">
        <v>23</v>
      </c>
      <c r="I65" s="24" t="s">
        <v>908</v>
      </c>
      <c r="J65" s="24" t="s">
        <v>908</v>
      </c>
      <c r="K65" s="24" t="s">
        <v>908</v>
      </c>
      <c r="M65" s="24" t="s">
        <v>908</v>
      </c>
      <c r="N65" s="24"/>
      <c r="P65" s="1" t="str">
        <f t="shared" si="0"/>
        <v>11302003</v>
      </c>
      <c r="Q65" s="263" t="str">
        <f t="shared" si="1"/>
        <v xml:space="preserve">Housekeeping Supplies </v>
      </c>
    </row>
    <row r="66" spans="1:17" x14ac:dyDescent="0.25">
      <c r="A66" s="24" t="s">
        <v>20</v>
      </c>
      <c r="B66" s="24" t="s">
        <v>20</v>
      </c>
      <c r="C66" s="24">
        <v>3</v>
      </c>
      <c r="D66" s="24" t="s">
        <v>2</v>
      </c>
      <c r="E66" s="24" t="s">
        <v>7</v>
      </c>
      <c r="F66" s="5" t="s">
        <v>50</v>
      </c>
      <c r="G66" s="2" t="s">
        <v>22</v>
      </c>
      <c r="H66" s="2" t="s">
        <v>23</v>
      </c>
      <c r="I66" s="24" t="s">
        <v>908</v>
      </c>
      <c r="J66" s="24" t="s">
        <v>908</v>
      </c>
      <c r="K66" s="24" t="s">
        <v>908</v>
      </c>
      <c r="M66" s="24" t="s">
        <v>908</v>
      </c>
      <c r="N66" s="24"/>
      <c r="P66" s="1" t="str">
        <f t="shared" si="0"/>
        <v>11302004</v>
      </c>
      <c r="Q66" s="263" t="str">
        <f t="shared" si="1"/>
        <v>Printing and Stationaries</v>
      </c>
    </row>
    <row r="67" spans="1:17" x14ac:dyDescent="0.25">
      <c r="A67" s="24" t="s">
        <v>20</v>
      </c>
      <c r="B67" s="24" t="s">
        <v>20</v>
      </c>
      <c r="C67" s="24">
        <v>3</v>
      </c>
      <c r="D67" s="24" t="s">
        <v>2</v>
      </c>
      <c r="E67" s="24" t="s">
        <v>9</v>
      </c>
      <c r="F67" s="5" t="s">
        <v>51</v>
      </c>
      <c r="G67" s="2" t="s">
        <v>22</v>
      </c>
      <c r="H67" s="2" t="s">
        <v>23</v>
      </c>
      <c r="I67" s="24" t="s">
        <v>908</v>
      </c>
      <c r="J67" s="24" t="s">
        <v>908</v>
      </c>
      <c r="K67" s="24" t="s">
        <v>908</v>
      </c>
      <c r="M67" s="24" t="s">
        <v>908</v>
      </c>
      <c r="N67" s="24"/>
      <c r="P67" s="1" t="str">
        <f t="shared" si="0"/>
        <v>11302005</v>
      </c>
      <c r="Q67" s="263" t="str">
        <f t="shared" si="1"/>
        <v xml:space="preserve">Promotional Supplies </v>
      </c>
    </row>
    <row r="68" spans="1:17" x14ac:dyDescent="0.25">
      <c r="A68" s="24" t="s">
        <v>20</v>
      </c>
      <c r="B68" s="24" t="s">
        <v>20</v>
      </c>
      <c r="C68" s="24">
        <v>3</v>
      </c>
      <c r="D68" s="24" t="s">
        <v>2</v>
      </c>
      <c r="E68" s="24" t="s">
        <v>10</v>
      </c>
      <c r="F68" s="5" t="s">
        <v>52</v>
      </c>
      <c r="G68" s="2" t="s">
        <v>22</v>
      </c>
      <c r="H68" s="2" t="s">
        <v>23</v>
      </c>
      <c r="I68" s="24" t="s">
        <v>908</v>
      </c>
      <c r="J68" s="24" t="s">
        <v>908</v>
      </c>
      <c r="K68" s="24" t="s">
        <v>908</v>
      </c>
      <c r="M68" s="24" t="s">
        <v>908</v>
      </c>
      <c r="N68" s="24"/>
      <c r="P68" s="1" t="str">
        <f t="shared" si="0"/>
        <v>11302006</v>
      </c>
      <c r="Q68" s="263" t="str">
        <f t="shared" si="1"/>
        <v xml:space="preserve">Cleaning Supplies </v>
      </c>
    </row>
    <row r="69" spans="1:17" x14ac:dyDescent="0.25">
      <c r="A69" s="24" t="s">
        <v>20</v>
      </c>
      <c r="B69" s="24" t="s">
        <v>20</v>
      </c>
      <c r="C69" s="24">
        <v>3</v>
      </c>
      <c r="D69" s="24" t="s">
        <v>2</v>
      </c>
      <c r="E69" s="24" t="s">
        <v>11</v>
      </c>
      <c r="F69" s="5" t="s">
        <v>830</v>
      </c>
      <c r="G69" s="2" t="s">
        <v>22</v>
      </c>
      <c r="H69" s="2" t="s">
        <v>23</v>
      </c>
      <c r="I69" s="24" t="s">
        <v>908</v>
      </c>
      <c r="J69" s="24" t="s">
        <v>908</v>
      </c>
      <c r="K69" s="24" t="s">
        <v>908</v>
      </c>
      <c r="M69" s="24" t="s">
        <v>908</v>
      </c>
      <c r="N69" s="24"/>
      <c r="P69" s="1" t="str">
        <f t="shared" ref="P69:P132" si="2">CONCATENATE(A69,B69,C69,D69,E69)</f>
        <v>11302007</v>
      </c>
      <c r="Q69" s="263" t="str">
        <f t="shared" si="1"/>
        <v>Kitchen Supplies &amp; Fuel</v>
      </c>
    </row>
    <row r="70" spans="1:17" x14ac:dyDescent="0.25">
      <c r="A70" s="24" t="s">
        <v>20</v>
      </c>
      <c r="B70" s="24" t="s">
        <v>20</v>
      </c>
      <c r="C70" s="24">
        <v>3</v>
      </c>
      <c r="D70" s="24" t="s">
        <v>2</v>
      </c>
      <c r="E70" s="24" t="s">
        <v>13</v>
      </c>
      <c r="F70" s="5" t="s">
        <v>53</v>
      </c>
      <c r="G70" s="2" t="s">
        <v>22</v>
      </c>
      <c r="H70" s="2" t="s">
        <v>23</v>
      </c>
      <c r="I70" s="24" t="s">
        <v>907</v>
      </c>
      <c r="J70" s="24" t="s">
        <v>910</v>
      </c>
      <c r="K70" s="24" t="s">
        <v>910</v>
      </c>
      <c r="M70" s="24" t="s">
        <v>907</v>
      </c>
      <c r="N70" s="24"/>
      <c r="P70" s="1" t="str">
        <f t="shared" si="2"/>
        <v>11302008</v>
      </c>
      <c r="Q70" s="263" t="str">
        <f t="shared" si="1"/>
        <v>Spa Supplies</v>
      </c>
    </row>
    <row r="71" spans="1:17" x14ac:dyDescent="0.25">
      <c r="A71" s="24" t="s">
        <v>20</v>
      </c>
      <c r="B71" s="24" t="s">
        <v>20</v>
      </c>
      <c r="C71" s="24">
        <v>3</v>
      </c>
      <c r="D71" s="24" t="s">
        <v>2</v>
      </c>
      <c r="E71" s="24" t="s">
        <v>43</v>
      </c>
      <c r="F71" s="5" t="s">
        <v>831</v>
      </c>
      <c r="G71" s="2" t="s">
        <v>22</v>
      </c>
      <c r="H71" s="2" t="s">
        <v>23</v>
      </c>
      <c r="I71" s="24" t="s">
        <v>908</v>
      </c>
      <c r="J71" s="24" t="s">
        <v>908</v>
      </c>
      <c r="K71" s="24" t="s">
        <v>908</v>
      </c>
      <c r="M71" s="24" t="s">
        <v>908</v>
      </c>
      <c r="N71" s="24"/>
      <c r="P71" s="1" t="str">
        <f t="shared" si="2"/>
        <v>11302999</v>
      </c>
      <c r="Q71" s="263" t="str">
        <f t="shared" si="1"/>
        <v xml:space="preserve">Other Supplies </v>
      </c>
    </row>
    <row r="72" spans="1:17" hidden="1" x14ac:dyDescent="0.25">
      <c r="A72" s="16" t="s">
        <v>20</v>
      </c>
      <c r="B72" s="16" t="s">
        <v>20</v>
      </c>
      <c r="C72" s="17" t="s">
        <v>54</v>
      </c>
      <c r="D72" s="16"/>
      <c r="E72" s="16"/>
      <c r="F72" s="18" t="s">
        <v>59</v>
      </c>
      <c r="G72" s="19" t="s">
        <v>22</v>
      </c>
      <c r="H72" s="19" t="s">
        <v>23</v>
      </c>
      <c r="I72" s="19" t="s">
        <v>907</v>
      </c>
      <c r="J72" s="19" t="s">
        <v>907</v>
      </c>
      <c r="K72" s="19" t="s">
        <v>907</v>
      </c>
      <c r="M72" s="19" t="s">
        <v>907</v>
      </c>
      <c r="N72" s="19"/>
      <c r="Q72" s="263"/>
    </row>
    <row r="73" spans="1:17" hidden="1" x14ac:dyDescent="0.25">
      <c r="A73" s="20" t="s">
        <v>20</v>
      </c>
      <c r="B73" s="20" t="s">
        <v>20</v>
      </c>
      <c r="C73" s="20" t="s">
        <v>54</v>
      </c>
      <c r="D73" s="20" t="s">
        <v>0</v>
      </c>
      <c r="E73" s="20"/>
      <c r="F73" s="22" t="s">
        <v>60</v>
      </c>
      <c r="G73" s="23" t="s">
        <v>22</v>
      </c>
      <c r="H73" s="23" t="s">
        <v>23</v>
      </c>
      <c r="I73" s="23" t="s">
        <v>907</v>
      </c>
      <c r="J73" s="23" t="s">
        <v>907</v>
      </c>
      <c r="K73" s="23" t="s">
        <v>907</v>
      </c>
      <c r="M73" s="23" t="s">
        <v>907</v>
      </c>
      <c r="N73" s="23"/>
      <c r="Q73" s="263"/>
    </row>
    <row r="74" spans="1:17" x14ac:dyDescent="0.25">
      <c r="A74" s="24" t="s">
        <v>20</v>
      </c>
      <c r="B74" s="24" t="s">
        <v>20</v>
      </c>
      <c r="C74" s="24" t="s">
        <v>54</v>
      </c>
      <c r="D74" s="24" t="s">
        <v>0</v>
      </c>
      <c r="E74" s="24" t="s">
        <v>1</v>
      </c>
      <c r="F74" s="4" t="s">
        <v>832</v>
      </c>
      <c r="G74" s="2" t="s">
        <v>22</v>
      </c>
      <c r="H74" s="2" t="s">
        <v>23</v>
      </c>
      <c r="I74" s="24" t="s">
        <v>908</v>
      </c>
      <c r="J74" s="24" t="s">
        <v>908</v>
      </c>
      <c r="K74" s="24" t="s">
        <v>908</v>
      </c>
      <c r="M74" s="24" t="s">
        <v>908</v>
      </c>
      <c r="N74" s="2"/>
      <c r="P74" s="1" t="str">
        <f t="shared" si="2"/>
        <v>11401001</v>
      </c>
      <c r="Q74" s="263" t="str">
        <f t="shared" ref="Q74:Q132" si="3">F74</f>
        <v>Prepaid Tax Art 21/26</v>
      </c>
    </row>
    <row r="75" spans="1:17" x14ac:dyDescent="0.25">
      <c r="A75" s="24" t="s">
        <v>20</v>
      </c>
      <c r="B75" s="24" t="s">
        <v>20</v>
      </c>
      <c r="C75" s="24" t="s">
        <v>54</v>
      </c>
      <c r="D75" s="24" t="s">
        <v>0</v>
      </c>
      <c r="E75" s="24" t="s">
        <v>3</v>
      </c>
      <c r="F75" s="4" t="s">
        <v>62</v>
      </c>
      <c r="G75" s="2" t="s">
        <v>22</v>
      </c>
      <c r="H75" s="2" t="s">
        <v>23</v>
      </c>
      <c r="I75" s="24" t="s">
        <v>908</v>
      </c>
      <c r="J75" s="24" t="s">
        <v>908</v>
      </c>
      <c r="K75" s="24" t="s">
        <v>908</v>
      </c>
      <c r="M75" s="24" t="s">
        <v>908</v>
      </c>
      <c r="N75" s="2"/>
      <c r="P75" s="1" t="str">
        <f t="shared" si="2"/>
        <v>11401002</v>
      </c>
      <c r="Q75" s="263" t="str">
        <f t="shared" si="3"/>
        <v>Prepaid Tax Art 22</v>
      </c>
    </row>
    <row r="76" spans="1:17" x14ac:dyDescent="0.25">
      <c r="A76" s="24" t="s">
        <v>20</v>
      </c>
      <c r="B76" s="24" t="s">
        <v>20</v>
      </c>
      <c r="C76" s="24" t="s">
        <v>54</v>
      </c>
      <c r="D76" s="24" t="s">
        <v>0</v>
      </c>
      <c r="E76" s="24" t="s">
        <v>5</v>
      </c>
      <c r="F76" s="4" t="s">
        <v>63</v>
      </c>
      <c r="G76" s="2" t="s">
        <v>22</v>
      </c>
      <c r="H76" s="2" t="s">
        <v>23</v>
      </c>
      <c r="I76" s="24" t="s">
        <v>908</v>
      </c>
      <c r="J76" s="24" t="s">
        <v>908</v>
      </c>
      <c r="K76" s="24" t="s">
        <v>908</v>
      </c>
      <c r="M76" s="24" t="s">
        <v>908</v>
      </c>
      <c r="N76" s="2"/>
      <c r="P76" s="1" t="str">
        <f t="shared" si="2"/>
        <v>11401003</v>
      </c>
      <c r="Q76" s="263" t="str">
        <f t="shared" si="3"/>
        <v>Prepaid Tax Art 23</v>
      </c>
    </row>
    <row r="77" spans="1:17" x14ac:dyDescent="0.25">
      <c r="A77" s="24" t="s">
        <v>20</v>
      </c>
      <c r="B77" s="24" t="s">
        <v>20</v>
      </c>
      <c r="C77" s="24" t="s">
        <v>54</v>
      </c>
      <c r="D77" s="24" t="s">
        <v>0</v>
      </c>
      <c r="E77" s="24" t="s">
        <v>7</v>
      </c>
      <c r="F77" s="4" t="s">
        <v>64</v>
      </c>
      <c r="G77" s="2" t="s">
        <v>22</v>
      </c>
      <c r="H77" s="2" t="s">
        <v>23</v>
      </c>
      <c r="I77" s="24" t="s">
        <v>908</v>
      </c>
      <c r="J77" s="24" t="s">
        <v>908</v>
      </c>
      <c r="K77" s="24" t="s">
        <v>908</v>
      </c>
      <c r="M77" s="24" t="s">
        <v>908</v>
      </c>
      <c r="N77" s="2"/>
      <c r="P77" s="1" t="str">
        <f t="shared" si="2"/>
        <v>11401004</v>
      </c>
      <c r="Q77" s="263" t="str">
        <f t="shared" si="3"/>
        <v>Prepaid Tax Art 24</v>
      </c>
    </row>
    <row r="78" spans="1:17" x14ac:dyDescent="0.25">
      <c r="A78" s="24" t="s">
        <v>20</v>
      </c>
      <c r="B78" s="24" t="s">
        <v>20</v>
      </c>
      <c r="C78" s="24" t="s">
        <v>54</v>
      </c>
      <c r="D78" s="24" t="s">
        <v>0</v>
      </c>
      <c r="E78" s="24" t="s">
        <v>9</v>
      </c>
      <c r="F78" s="4" t="s">
        <v>65</v>
      </c>
      <c r="G78" s="2" t="s">
        <v>22</v>
      </c>
      <c r="H78" s="2" t="s">
        <v>23</v>
      </c>
      <c r="I78" s="24" t="s">
        <v>908</v>
      </c>
      <c r="J78" s="24" t="s">
        <v>908</v>
      </c>
      <c r="K78" s="24" t="s">
        <v>908</v>
      </c>
      <c r="M78" s="24" t="s">
        <v>908</v>
      </c>
      <c r="N78" s="2"/>
      <c r="P78" s="1" t="str">
        <f t="shared" si="2"/>
        <v>11401005</v>
      </c>
      <c r="Q78" s="263" t="str">
        <f t="shared" si="3"/>
        <v>Prepaid Tax Art 25</v>
      </c>
    </row>
    <row r="79" spans="1:17" x14ac:dyDescent="0.25">
      <c r="A79" s="24" t="s">
        <v>20</v>
      </c>
      <c r="B79" s="24" t="s">
        <v>20</v>
      </c>
      <c r="C79" s="24" t="s">
        <v>54</v>
      </c>
      <c r="D79" s="24" t="s">
        <v>0</v>
      </c>
      <c r="E79" s="24" t="s">
        <v>10</v>
      </c>
      <c r="F79" s="4" t="s">
        <v>61</v>
      </c>
      <c r="G79" s="2" t="s">
        <v>22</v>
      </c>
      <c r="H79" s="2" t="s">
        <v>23</v>
      </c>
      <c r="I79" s="2" t="s">
        <v>910</v>
      </c>
      <c r="J79" s="2" t="s">
        <v>910</v>
      </c>
      <c r="K79" s="2" t="s">
        <v>910</v>
      </c>
      <c r="M79" s="2" t="s">
        <v>908</v>
      </c>
      <c r="N79" s="2"/>
      <c r="P79" s="1" t="str">
        <f t="shared" si="2"/>
        <v>11401006</v>
      </c>
      <c r="Q79" s="263" t="str">
        <f t="shared" si="3"/>
        <v>Prepaid Tax VAT In</v>
      </c>
    </row>
    <row r="80" spans="1:17" hidden="1" x14ac:dyDescent="0.25">
      <c r="A80" s="20" t="s">
        <v>20</v>
      </c>
      <c r="B80" s="20" t="s">
        <v>20</v>
      </c>
      <c r="C80" s="20" t="s">
        <v>54</v>
      </c>
      <c r="D80" s="20" t="s">
        <v>2</v>
      </c>
      <c r="E80" s="20"/>
      <c r="F80" s="22" t="s">
        <v>66</v>
      </c>
      <c r="G80" s="23" t="s">
        <v>22</v>
      </c>
      <c r="H80" s="23" t="s">
        <v>23</v>
      </c>
      <c r="I80" s="23" t="s">
        <v>907</v>
      </c>
      <c r="J80" s="23" t="s">
        <v>907</v>
      </c>
      <c r="K80" s="23" t="s">
        <v>907</v>
      </c>
      <c r="M80" s="23" t="s">
        <v>907</v>
      </c>
      <c r="N80" s="23"/>
      <c r="Q80" s="263"/>
    </row>
    <row r="81" spans="1:17" x14ac:dyDescent="0.25">
      <c r="A81" s="24" t="s">
        <v>20</v>
      </c>
      <c r="B81" s="24" t="s">
        <v>20</v>
      </c>
      <c r="C81" s="24" t="s">
        <v>54</v>
      </c>
      <c r="D81" s="24" t="s">
        <v>2</v>
      </c>
      <c r="E81" s="24" t="s">
        <v>1</v>
      </c>
      <c r="F81" s="5" t="s">
        <v>67</v>
      </c>
      <c r="G81" s="2" t="s">
        <v>22</v>
      </c>
      <c r="H81" s="2" t="s">
        <v>23</v>
      </c>
      <c r="I81" s="24" t="s">
        <v>908</v>
      </c>
      <c r="J81" s="24" t="s">
        <v>908</v>
      </c>
      <c r="K81" s="24" t="s">
        <v>908</v>
      </c>
      <c r="M81" s="24" t="s">
        <v>908</v>
      </c>
      <c r="N81" s="24"/>
      <c r="P81" s="1" t="str">
        <f t="shared" si="2"/>
        <v>11402001</v>
      </c>
      <c r="Q81" s="263" t="str">
        <f t="shared" si="3"/>
        <v>Cash Advance Payment</v>
      </c>
    </row>
    <row r="82" spans="1:17" x14ac:dyDescent="0.25">
      <c r="A82" s="24" t="s">
        <v>20</v>
      </c>
      <c r="B82" s="24" t="s">
        <v>20</v>
      </c>
      <c r="C82" s="24" t="s">
        <v>54</v>
      </c>
      <c r="D82" s="24" t="s">
        <v>2</v>
      </c>
      <c r="E82" s="24" t="s">
        <v>3</v>
      </c>
      <c r="F82" s="5" t="s">
        <v>68</v>
      </c>
      <c r="G82" s="2" t="s">
        <v>22</v>
      </c>
      <c r="H82" s="2" t="s">
        <v>23</v>
      </c>
      <c r="I82" s="24" t="s">
        <v>908</v>
      </c>
      <c r="J82" s="24" t="s">
        <v>908</v>
      </c>
      <c r="K82" s="24" t="s">
        <v>908</v>
      </c>
      <c r="M82" s="24" t="s">
        <v>908</v>
      </c>
      <c r="N82" s="24"/>
      <c r="P82" s="1" t="str">
        <f t="shared" si="2"/>
        <v>11402002</v>
      </c>
      <c r="Q82" s="263" t="str">
        <f t="shared" si="3"/>
        <v>Deposit Advance Payment</v>
      </c>
    </row>
    <row r="83" spans="1:17" hidden="1" x14ac:dyDescent="0.25">
      <c r="A83" s="20" t="s">
        <v>20</v>
      </c>
      <c r="B83" s="20" t="s">
        <v>20</v>
      </c>
      <c r="C83" s="20" t="s">
        <v>54</v>
      </c>
      <c r="D83" s="20" t="s">
        <v>4</v>
      </c>
      <c r="E83" s="20"/>
      <c r="F83" s="22" t="s">
        <v>584</v>
      </c>
      <c r="G83" s="23" t="s">
        <v>22</v>
      </c>
      <c r="H83" s="23" t="s">
        <v>23</v>
      </c>
      <c r="I83" s="23" t="s">
        <v>907</v>
      </c>
      <c r="J83" s="23" t="s">
        <v>907</v>
      </c>
      <c r="K83" s="23" t="s">
        <v>907</v>
      </c>
      <c r="M83" s="23" t="s">
        <v>907</v>
      </c>
      <c r="N83" s="23"/>
      <c r="Q83" s="263"/>
    </row>
    <row r="84" spans="1:17" x14ac:dyDescent="0.25">
      <c r="A84" s="24" t="s">
        <v>20</v>
      </c>
      <c r="B84" s="24" t="s">
        <v>20</v>
      </c>
      <c r="C84" s="24" t="s">
        <v>54</v>
      </c>
      <c r="D84" s="24" t="s">
        <v>4</v>
      </c>
      <c r="E84" s="24" t="s">
        <v>1</v>
      </c>
      <c r="F84" s="5" t="s">
        <v>913</v>
      </c>
      <c r="G84" s="2" t="s">
        <v>22</v>
      </c>
      <c r="H84" s="2" t="s">
        <v>23</v>
      </c>
      <c r="I84" s="2" t="s">
        <v>910</v>
      </c>
      <c r="J84" s="2" t="s">
        <v>910</v>
      </c>
      <c r="K84" s="2" t="s">
        <v>910</v>
      </c>
      <c r="M84" s="2" t="s">
        <v>908</v>
      </c>
      <c r="N84" s="24"/>
      <c r="P84" s="1" t="str">
        <f t="shared" si="2"/>
        <v>11403001</v>
      </c>
      <c r="Q84" s="263" t="str">
        <f t="shared" si="3"/>
        <v>Prepaid Property Rent / Land Assessment</v>
      </c>
    </row>
    <row r="85" spans="1:17" x14ac:dyDescent="0.25">
      <c r="A85" s="24" t="s">
        <v>20</v>
      </c>
      <c r="B85" s="24" t="s">
        <v>20</v>
      </c>
      <c r="C85" s="24" t="s">
        <v>54</v>
      </c>
      <c r="D85" s="24" t="s">
        <v>4</v>
      </c>
      <c r="E85" s="24" t="s">
        <v>3</v>
      </c>
      <c r="F85" s="5" t="s">
        <v>645</v>
      </c>
      <c r="G85" s="2" t="s">
        <v>22</v>
      </c>
      <c r="H85" s="2" t="s">
        <v>23</v>
      </c>
      <c r="I85" s="24" t="s">
        <v>908</v>
      </c>
      <c r="J85" s="24" t="s">
        <v>908</v>
      </c>
      <c r="K85" s="24" t="s">
        <v>908</v>
      </c>
      <c r="M85" s="24" t="s">
        <v>908</v>
      </c>
      <c r="N85" s="24"/>
      <c r="P85" s="1" t="str">
        <f t="shared" si="2"/>
        <v>11403002</v>
      </c>
      <c r="Q85" s="263" t="str">
        <f t="shared" si="3"/>
        <v>Prepaid Property Tax</v>
      </c>
    </row>
    <row r="86" spans="1:17" x14ac:dyDescent="0.25">
      <c r="A86" s="24" t="s">
        <v>20</v>
      </c>
      <c r="B86" s="24" t="s">
        <v>20</v>
      </c>
      <c r="C86" s="24" t="s">
        <v>54</v>
      </c>
      <c r="D86" s="24" t="s">
        <v>4</v>
      </c>
      <c r="E86" s="24" t="s">
        <v>5</v>
      </c>
      <c r="F86" s="5" t="s">
        <v>69</v>
      </c>
      <c r="G86" s="2" t="s">
        <v>22</v>
      </c>
      <c r="H86" s="2" t="s">
        <v>23</v>
      </c>
      <c r="I86" s="24" t="s">
        <v>908</v>
      </c>
      <c r="J86" s="24" t="s">
        <v>908</v>
      </c>
      <c r="K86" s="24" t="s">
        <v>908</v>
      </c>
      <c r="M86" s="24" t="s">
        <v>908</v>
      </c>
      <c r="N86" s="24"/>
      <c r="P86" s="1" t="str">
        <f t="shared" si="2"/>
        <v>11403003</v>
      </c>
      <c r="Q86" s="263" t="str">
        <f t="shared" si="3"/>
        <v>Prepaid Insurance</v>
      </c>
    </row>
    <row r="87" spans="1:17" x14ac:dyDescent="0.25">
      <c r="A87" s="24" t="s">
        <v>20</v>
      </c>
      <c r="B87" s="24" t="s">
        <v>20</v>
      </c>
      <c r="C87" s="24" t="s">
        <v>54</v>
      </c>
      <c r="D87" s="24" t="s">
        <v>4</v>
      </c>
      <c r="E87" s="24" t="s">
        <v>7</v>
      </c>
      <c r="F87" s="5" t="s">
        <v>70</v>
      </c>
      <c r="G87" s="2" t="s">
        <v>22</v>
      </c>
      <c r="H87" s="2" t="s">
        <v>23</v>
      </c>
      <c r="I87" s="24" t="s">
        <v>908</v>
      </c>
      <c r="J87" s="24" t="s">
        <v>908</v>
      </c>
      <c r="K87" s="24" t="s">
        <v>908</v>
      </c>
      <c r="M87" s="24" t="s">
        <v>908</v>
      </c>
      <c r="N87" s="24"/>
      <c r="P87" s="1" t="str">
        <f t="shared" si="2"/>
        <v>11403004</v>
      </c>
      <c r="Q87" s="263" t="str">
        <f t="shared" si="3"/>
        <v>Prepaid License</v>
      </c>
    </row>
    <row r="88" spans="1:17" x14ac:dyDescent="0.25">
      <c r="A88" s="24" t="s">
        <v>20</v>
      </c>
      <c r="B88" s="24" t="s">
        <v>20</v>
      </c>
      <c r="C88" s="24" t="s">
        <v>54</v>
      </c>
      <c r="D88" s="24" t="s">
        <v>4</v>
      </c>
      <c r="E88" s="24" t="s">
        <v>9</v>
      </c>
      <c r="F88" s="5" t="s">
        <v>71</v>
      </c>
      <c r="G88" s="2" t="s">
        <v>22</v>
      </c>
      <c r="H88" s="2" t="s">
        <v>23</v>
      </c>
      <c r="I88" s="24" t="s">
        <v>908</v>
      </c>
      <c r="J88" s="24" t="s">
        <v>908</v>
      </c>
      <c r="K88" s="24" t="s">
        <v>908</v>
      </c>
      <c r="M88" s="24" t="s">
        <v>908</v>
      </c>
      <c r="N88" s="24"/>
      <c r="P88" s="1" t="str">
        <f t="shared" si="2"/>
        <v>11403005</v>
      </c>
      <c r="Q88" s="263" t="str">
        <f t="shared" si="3"/>
        <v>Prepaid Contract</v>
      </c>
    </row>
    <row r="89" spans="1:17" x14ac:dyDescent="0.25">
      <c r="A89" s="24" t="s">
        <v>20</v>
      </c>
      <c r="B89" s="24" t="s">
        <v>20</v>
      </c>
      <c r="C89" s="24" t="s">
        <v>54</v>
      </c>
      <c r="D89" s="24" t="s">
        <v>4</v>
      </c>
      <c r="E89" s="24" t="s">
        <v>10</v>
      </c>
      <c r="F89" s="5" t="s">
        <v>72</v>
      </c>
      <c r="G89" s="2" t="s">
        <v>22</v>
      </c>
      <c r="H89" s="2" t="s">
        <v>23</v>
      </c>
      <c r="I89" s="24" t="s">
        <v>908</v>
      </c>
      <c r="J89" s="24" t="s">
        <v>908</v>
      </c>
      <c r="K89" s="24" t="s">
        <v>908</v>
      </c>
      <c r="M89" s="24" t="s">
        <v>908</v>
      </c>
      <c r="N89" s="24"/>
      <c r="P89" s="1" t="str">
        <f t="shared" si="2"/>
        <v>11403006</v>
      </c>
      <c r="Q89" s="263" t="str">
        <f t="shared" si="3"/>
        <v>Prepaid Advertising &amp; Representative</v>
      </c>
    </row>
    <row r="90" spans="1:17" x14ac:dyDescent="0.25">
      <c r="A90" s="24" t="s">
        <v>20</v>
      </c>
      <c r="B90" s="24" t="s">
        <v>20</v>
      </c>
      <c r="C90" s="24" t="s">
        <v>54</v>
      </c>
      <c r="D90" s="24" t="s">
        <v>4</v>
      </c>
      <c r="E90" s="24" t="s">
        <v>11</v>
      </c>
      <c r="F90" s="5" t="s">
        <v>73</v>
      </c>
      <c r="G90" s="2" t="s">
        <v>22</v>
      </c>
      <c r="H90" s="2" t="s">
        <v>23</v>
      </c>
      <c r="I90" s="24" t="s">
        <v>908</v>
      </c>
      <c r="J90" s="24" t="s">
        <v>908</v>
      </c>
      <c r="K90" s="24" t="s">
        <v>908</v>
      </c>
      <c r="M90" s="24" t="s">
        <v>908</v>
      </c>
      <c r="N90" s="24"/>
      <c r="P90" s="1" t="str">
        <f t="shared" si="2"/>
        <v>11403007</v>
      </c>
      <c r="Q90" s="263" t="str">
        <f t="shared" si="3"/>
        <v>Prepaid Rent</v>
      </c>
    </row>
    <row r="91" spans="1:17" x14ac:dyDescent="0.25">
      <c r="A91" s="24" t="s">
        <v>20</v>
      </c>
      <c r="B91" s="24" t="s">
        <v>20</v>
      </c>
      <c r="C91" s="24" t="s">
        <v>54</v>
      </c>
      <c r="D91" s="24" t="s">
        <v>4</v>
      </c>
      <c r="E91" s="24" t="s">
        <v>13</v>
      </c>
      <c r="F91" s="5" t="s">
        <v>74</v>
      </c>
      <c r="G91" s="2" t="s">
        <v>22</v>
      </c>
      <c r="H91" s="2" t="s">
        <v>23</v>
      </c>
      <c r="I91" s="24" t="s">
        <v>908</v>
      </c>
      <c r="J91" s="24" t="s">
        <v>908</v>
      </c>
      <c r="K91" s="24" t="s">
        <v>908</v>
      </c>
      <c r="M91" s="24" t="s">
        <v>908</v>
      </c>
      <c r="N91" s="24"/>
      <c r="P91" s="1" t="str">
        <f t="shared" si="2"/>
        <v>11403008</v>
      </c>
      <c r="Q91" s="263" t="str">
        <f t="shared" si="3"/>
        <v>Prepaid Leased</v>
      </c>
    </row>
    <row r="92" spans="1:17" x14ac:dyDescent="0.25">
      <c r="A92" s="24" t="s">
        <v>20</v>
      </c>
      <c r="B92" s="24" t="s">
        <v>20</v>
      </c>
      <c r="C92" s="24" t="s">
        <v>54</v>
      </c>
      <c r="D92" s="24" t="s">
        <v>4</v>
      </c>
      <c r="E92" s="24" t="s">
        <v>43</v>
      </c>
      <c r="F92" s="5" t="s">
        <v>75</v>
      </c>
      <c r="G92" s="2" t="s">
        <v>22</v>
      </c>
      <c r="H92" s="2" t="s">
        <v>23</v>
      </c>
      <c r="I92" s="24" t="s">
        <v>908</v>
      </c>
      <c r="J92" s="24" t="s">
        <v>908</v>
      </c>
      <c r="K92" s="24" t="s">
        <v>908</v>
      </c>
      <c r="M92" s="24" t="s">
        <v>908</v>
      </c>
      <c r="N92" s="24"/>
      <c r="P92" s="1" t="str">
        <f t="shared" si="2"/>
        <v>11403999</v>
      </c>
      <c r="Q92" s="263" t="str">
        <f t="shared" si="3"/>
        <v>Other Prepaid</v>
      </c>
    </row>
    <row r="93" spans="1:17" hidden="1" x14ac:dyDescent="0.25">
      <c r="A93" s="12" t="s">
        <v>20</v>
      </c>
      <c r="B93" s="12" t="s">
        <v>33</v>
      </c>
      <c r="C93" s="12"/>
      <c r="D93" s="12"/>
      <c r="E93" s="12"/>
      <c r="F93" s="13" t="s">
        <v>76</v>
      </c>
      <c r="G93" s="14" t="s">
        <v>22</v>
      </c>
      <c r="H93" s="14" t="s">
        <v>23</v>
      </c>
      <c r="I93" s="14" t="s">
        <v>907</v>
      </c>
      <c r="J93" s="14" t="s">
        <v>907</v>
      </c>
      <c r="K93" s="14" t="s">
        <v>907</v>
      </c>
      <c r="M93" s="14" t="s">
        <v>907</v>
      </c>
      <c r="N93" s="14"/>
      <c r="Q93" s="263"/>
    </row>
    <row r="94" spans="1:17" hidden="1" x14ac:dyDescent="0.25">
      <c r="A94" s="16" t="s">
        <v>20</v>
      </c>
      <c r="B94" s="16" t="s">
        <v>33</v>
      </c>
      <c r="C94" s="17" t="s">
        <v>20</v>
      </c>
      <c r="D94" s="16"/>
      <c r="E94" s="16"/>
      <c r="F94" s="18" t="s">
        <v>833</v>
      </c>
      <c r="G94" s="19" t="s">
        <v>22</v>
      </c>
      <c r="H94" s="19" t="s">
        <v>23</v>
      </c>
      <c r="I94" s="19" t="s">
        <v>907</v>
      </c>
      <c r="J94" s="19" t="s">
        <v>907</v>
      </c>
      <c r="K94" s="19" t="s">
        <v>907</v>
      </c>
      <c r="M94" s="19" t="s">
        <v>907</v>
      </c>
      <c r="N94" s="19"/>
      <c r="Q94" s="263"/>
    </row>
    <row r="95" spans="1:17" hidden="1" x14ac:dyDescent="0.25">
      <c r="A95" s="20" t="s">
        <v>20</v>
      </c>
      <c r="B95" s="20" t="s">
        <v>33</v>
      </c>
      <c r="C95" s="20">
        <v>1</v>
      </c>
      <c r="D95" s="20" t="s">
        <v>0</v>
      </c>
      <c r="E95" s="20"/>
      <c r="F95" s="22" t="s">
        <v>834</v>
      </c>
      <c r="G95" s="23" t="s">
        <v>22</v>
      </c>
      <c r="H95" s="23" t="s">
        <v>23</v>
      </c>
      <c r="I95" s="23" t="s">
        <v>907</v>
      </c>
      <c r="J95" s="23" t="s">
        <v>907</v>
      </c>
      <c r="K95" s="23" t="s">
        <v>907</v>
      </c>
      <c r="M95" s="23" t="s">
        <v>907</v>
      </c>
      <c r="N95" s="23"/>
      <c r="Q95" s="263"/>
    </row>
    <row r="96" spans="1:17" x14ac:dyDescent="0.25">
      <c r="A96" s="24" t="s">
        <v>20</v>
      </c>
      <c r="B96" s="24" t="s">
        <v>33</v>
      </c>
      <c r="C96" s="24">
        <v>1</v>
      </c>
      <c r="D96" s="24" t="s">
        <v>0</v>
      </c>
      <c r="E96" s="25" t="s">
        <v>1</v>
      </c>
      <c r="F96" s="5" t="s">
        <v>835</v>
      </c>
      <c r="G96" s="2" t="s">
        <v>22</v>
      </c>
      <c r="H96" s="2" t="s">
        <v>23</v>
      </c>
      <c r="I96" s="24" t="s">
        <v>908</v>
      </c>
      <c r="J96" s="24" t="s">
        <v>908</v>
      </c>
      <c r="K96" s="24" t="s">
        <v>908</v>
      </c>
      <c r="M96" s="24" t="s">
        <v>908</v>
      </c>
      <c r="N96" s="24"/>
      <c r="P96" s="1" t="str">
        <f t="shared" si="2"/>
        <v>12101001</v>
      </c>
      <c r="Q96" s="263" t="str">
        <f t="shared" si="3"/>
        <v>Cost &amp; Development of Land</v>
      </c>
    </row>
    <row r="97" spans="1:17" x14ac:dyDescent="0.25">
      <c r="A97" s="24" t="s">
        <v>20</v>
      </c>
      <c r="B97" s="24" t="s">
        <v>33</v>
      </c>
      <c r="C97" s="24">
        <v>1</v>
      </c>
      <c r="D97" s="24" t="s">
        <v>0</v>
      </c>
      <c r="E97" s="25" t="s">
        <v>3</v>
      </c>
      <c r="F97" s="5" t="s">
        <v>78</v>
      </c>
      <c r="G97" s="2" t="s">
        <v>22</v>
      </c>
      <c r="H97" s="2" t="s">
        <v>23</v>
      </c>
      <c r="I97" s="24" t="s">
        <v>908</v>
      </c>
      <c r="J97" s="24" t="s">
        <v>908</v>
      </c>
      <c r="K97" s="24" t="s">
        <v>908</v>
      </c>
      <c r="M97" s="24" t="s">
        <v>908</v>
      </c>
      <c r="N97" s="24"/>
      <c r="P97" s="1" t="str">
        <f t="shared" si="2"/>
        <v>12101002</v>
      </c>
      <c r="Q97" s="263" t="str">
        <f t="shared" si="3"/>
        <v>Building</v>
      </c>
    </row>
    <row r="98" spans="1:17" x14ac:dyDescent="0.25">
      <c r="A98" s="24" t="s">
        <v>20</v>
      </c>
      <c r="B98" s="24" t="s">
        <v>33</v>
      </c>
      <c r="C98" s="24">
        <v>1</v>
      </c>
      <c r="D98" s="24" t="s">
        <v>0</v>
      </c>
      <c r="E98" s="25" t="s">
        <v>5</v>
      </c>
      <c r="F98" s="5" t="s">
        <v>81</v>
      </c>
      <c r="G98" s="2" t="s">
        <v>22</v>
      </c>
      <c r="H98" s="2" t="s">
        <v>23</v>
      </c>
      <c r="I98" s="24" t="s">
        <v>908</v>
      </c>
      <c r="J98" s="24" t="s">
        <v>908</v>
      </c>
      <c r="K98" s="24" t="s">
        <v>908</v>
      </c>
      <c r="M98" s="24" t="s">
        <v>908</v>
      </c>
      <c r="N98" s="24"/>
      <c r="P98" s="1" t="str">
        <f t="shared" si="2"/>
        <v>12101003</v>
      </c>
      <c r="Q98" s="263" t="str">
        <f t="shared" si="3"/>
        <v>Machine</v>
      </c>
    </row>
    <row r="99" spans="1:17" x14ac:dyDescent="0.25">
      <c r="A99" s="24" t="s">
        <v>20</v>
      </c>
      <c r="B99" s="24" t="s">
        <v>33</v>
      </c>
      <c r="C99" s="24">
        <v>1</v>
      </c>
      <c r="D99" s="24" t="s">
        <v>0</v>
      </c>
      <c r="E99" s="25" t="s">
        <v>7</v>
      </c>
      <c r="F99" s="5" t="s">
        <v>524</v>
      </c>
      <c r="G99" s="2" t="s">
        <v>22</v>
      </c>
      <c r="H99" s="2" t="s">
        <v>23</v>
      </c>
      <c r="I99" s="24" t="s">
        <v>908</v>
      </c>
      <c r="J99" s="24" t="s">
        <v>908</v>
      </c>
      <c r="K99" s="24" t="s">
        <v>908</v>
      </c>
      <c r="M99" s="24" t="s">
        <v>908</v>
      </c>
      <c r="N99" s="24"/>
      <c r="P99" s="1" t="str">
        <f t="shared" si="2"/>
        <v>12101004</v>
      </c>
      <c r="Q99" s="263" t="str">
        <f t="shared" si="3"/>
        <v>General Building System Equipment</v>
      </c>
    </row>
    <row r="100" spans="1:17" x14ac:dyDescent="0.25">
      <c r="A100" s="24" t="s">
        <v>20</v>
      </c>
      <c r="B100" s="24" t="s">
        <v>33</v>
      </c>
      <c r="C100" s="24">
        <v>1</v>
      </c>
      <c r="D100" s="24" t="s">
        <v>0</v>
      </c>
      <c r="E100" s="25" t="s">
        <v>9</v>
      </c>
      <c r="F100" s="5" t="s">
        <v>82</v>
      </c>
      <c r="G100" s="2" t="s">
        <v>22</v>
      </c>
      <c r="H100" s="2" t="s">
        <v>23</v>
      </c>
      <c r="I100" s="24" t="s">
        <v>908</v>
      </c>
      <c r="J100" s="24" t="s">
        <v>908</v>
      </c>
      <c r="K100" s="24" t="s">
        <v>908</v>
      </c>
      <c r="M100" s="24" t="s">
        <v>908</v>
      </c>
      <c r="N100" s="24"/>
      <c r="P100" s="1" t="str">
        <f t="shared" si="2"/>
        <v>12101005</v>
      </c>
      <c r="Q100" s="263" t="str">
        <f t="shared" si="3"/>
        <v>Furniture &amp; Fixture</v>
      </c>
    </row>
    <row r="101" spans="1:17" x14ac:dyDescent="0.25">
      <c r="A101" s="24" t="s">
        <v>20</v>
      </c>
      <c r="B101" s="24" t="s">
        <v>33</v>
      </c>
      <c r="C101" s="24">
        <v>1</v>
      </c>
      <c r="D101" s="24" t="s">
        <v>0</v>
      </c>
      <c r="E101" s="25" t="s">
        <v>10</v>
      </c>
      <c r="F101" s="5" t="s">
        <v>84</v>
      </c>
      <c r="G101" s="2" t="s">
        <v>22</v>
      </c>
      <c r="H101" s="2" t="s">
        <v>23</v>
      </c>
      <c r="I101" s="24" t="s">
        <v>908</v>
      </c>
      <c r="J101" s="24" t="s">
        <v>908</v>
      </c>
      <c r="K101" s="24" t="s">
        <v>908</v>
      </c>
      <c r="M101" s="24" t="s">
        <v>908</v>
      </c>
      <c r="N101" s="24"/>
      <c r="P101" s="1" t="str">
        <f t="shared" si="2"/>
        <v>12101006</v>
      </c>
      <c r="Q101" s="263" t="str">
        <f t="shared" si="3"/>
        <v>Vehicle</v>
      </c>
    </row>
    <row r="102" spans="1:17" x14ac:dyDescent="0.25">
      <c r="A102" s="24" t="s">
        <v>20</v>
      </c>
      <c r="B102" s="24" t="s">
        <v>33</v>
      </c>
      <c r="C102" s="24">
        <v>1</v>
      </c>
      <c r="D102" s="24" t="s">
        <v>0</v>
      </c>
      <c r="E102" s="25" t="s">
        <v>43</v>
      </c>
      <c r="F102" s="5" t="s">
        <v>83</v>
      </c>
      <c r="G102" s="2" t="s">
        <v>22</v>
      </c>
      <c r="H102" s="2" t="s">
        <v>23</v>
      </c>
      <c r="I102" s="24" t="s">
        <v>908</v>
      </c>
      <c r="J102" s="24" t="s">
        <v>908</v>
      </c>
      <c r="K102" s="24" t="s">
        <v>908</v>
      </c>
      <c r="M102" s="24" t="s">
        <v>908</v>
      </c>
      <c r="N102" s="24"/>
      <c r="P102" s="1" t="str">
        <f t="shared" si="2"/>
        <v>12101999</v>
      </c>
      <c r="Q102" s="263" t="str">
        <f t="shared" si="3"/>
        <v>Other Equipment</v>
      </c>
    </row>
    <row r="103" spans="1:17" hidden="1" x14ac:dyDescent="0.25">
      <c r="A103" s="20" t="s">
        <v>20</v>
      </c>
      <c r="B103" s="20" t="s">
        <v>33</v>
      </c>
      <c r="C103" s="20" t="s">
        <v>20</v>
      </c>
      <c r="D103" s="21" t="s">
        <v>2</v>
      </c>
      <c r="E103" s="20"/>
      <c r="F103" s="22" t="s">
        <v>85</v>
      </c>
      <c r="G103" s="23" t="s">
        <v>22</v>
      </c>
      <c r="H103" s="23" t="s">
        <v>86</v>
      </c>
      <c r="I103" s="23" t="s">
        <v>907</v>
      </c>
      <c r="J103" s="23" t="s">
        <v>907</v>
      </c>
      <c r="K103" s="23" t="s">
        <v>907</v>
      </c>
      <c r="M103" s="23" t="s">
        <v>907</v>
      </c>
      <c r="N103" s="23"/>
      <c r="Q103" s="263"/>
    </row>
    <row r="104" spans="1:17" x14ac:dyDescent="0.25">
      <c r="A104" s="24" t="s">
        <v>20</v>
      </c>
      <c r="B104" s="24" t="s">
        <v>33</v>
      </c>
      <c r="C104" s="24" t="s">
        <v>20</v>
      </c>
      <c r="D104" s="24" t="s">
        <v>2</v>
      </c>
      <c r="E104" s="24" t="s">
        <v>1</v>
      </c>
      <c r="F104" s="5" t="s">
        <v>87</v>
      </c>
      <c r="G104" s="2" t="s">
        <v>22</v>
      </c>
      <c r="H104" s="2" t="s">
        <v>86</v>
      </c>
      <c r="I104" s="24" t="s">
        <v>908</v>
      </c>
      <c r="J104" s="24" t="s">
        <v>908</v>
      </c>
      <c r="K104" s="24" t="s">
        <v>908</v>
      </c>
      <c r="M104" s="24" t="s">
        <v>908</v>
      </c>
      <c r="N104" s="24"/>
      <c r="P104" s="1" t="str">
        <f t="shared" si="2"/>
        <v>12102001</v>
      </c>
      <c r="Q104" s="263" t="str">
        <f t="shared" si="3"/>
        <v>A/D Building</v>
      </c>
    </row>
    <row r="105" spans="1:17" x14ac:dyDescent="0.25">
      <c r="A105" s="24" t="s">
        <v>20</v>
      </c>
      <c r="B105" s="24" t="s">
        <v>33</v>
      </c>
      <c r="C105" s="24" t="s">
        <v>20</v>
      </c>
      <c r="D105" s="24" t="s">
        <v>2</v>
      </c>
      <c r="E105" s="24" t="s">
        <v>3</v>
      </c>
      <c r="F105" s="5" t="s">
        <v>88</v>
      </c>
      <c r="G105" s="2" t="s">
        <v>22</v>
      </c>
      <c r="H105" s="2" t="s">
        <v>86</v>
      </c>
      <c r="I105" s="24" t="s">
        <v>908</v>
      </c>
      <c r="J105" s="24" t="s">
        <v>908</v>
      </c>
      <c r="K105" s="24" t="s">
        <v>908</v>
      </c>
      <c r="M105" s="24" t="s">
        <v>908</v>
      </c>
      <c r="N105" s="24"/>
      <c r="P105" s="1" t="str">
        <f t="shared" si="2"/>
        <v>12102002</v>
      </c>
      <c r="Q105" s="263" t="str">
        <f t="shared" si="3"/>
        <v>A/D Machine</v>
      </c>
    </row>
    <row r="106" spans="1:17" x14ac:dyDescent="0.25">
      <c r="A106" s="24" t="s">
        <v>20</v>
      </c>
      <c r="B106" s="24" t="s">
        <v>33</v>
      </c>
      <c r="C106" s="24" t="s">
        <v>20</v>
      </c>
      <c r="D106" s="24" t="s">
        <v>2</v>
      </c>
      <c r="E106" s="24" t="s">
        <v>5</v>
      </c>
      <c r="F106" s="5" t="s">
        <v>525</v>
      </c>
      <c r="G106" s="2" t="s">
        <v>22</v>
      </c>
      <c r="H106" s="2" t="s">
        <v>86</v>
      </c>
      <c r="I106" s="24" t="s">
        <v>908</v>
      </c>
      <c r="J106" s="24" t="s">
        <v>908</v>
      </c>
      <c r="K106" s="24" t="s">
        <v>908</v>
      </c>
      <c r="M106" s="24" t="s">
        <v>908</v>
      </c>
      <c r="N106" s="24"/>
      <c r="P106" s="1" t="str">
        <f t="shared" si="2"/>
        <v>12102003</v>
      </c>
      <c r="Q106" s="263" t="str">
        <f t="shared" si="3"/>
        <v>A/D General Building System Equipment</v>
      </c>
    </row>
    <row r="107" spans="1:17" x14ac:dyDescent="0.25">
      <c r="A107" s="24" t="s">
        <v>20</v>
      </c>
      <c r="B107" s="24" t="s">
        <v>33</v>
      </c>
      <c r="C107" s="24" t="s">
        <v>20</v>
      </c>
      <c r="D107" s="24" t="s">
        <v>2</v>
      </c>
      <c r="E107" s="24" t="s">
        <v>7</v>
      </c>
      <c r="F107" s="5" t="s">
        <v>89</v>
      </c>
      <c r="G107" s="2" t="s">
        <v>22</v>
      </c>
      <c r="H107" s="2" t="s">
        <v>86</v>
      </c>
      <c r="I107" s="24" t="s">
        <v>908</v>
      </c>
      <c r="J107" s="24" t="s">
        <v>908</v>
      </c>
      <c r="K107" s="24" t="s">
        <v>908</v>
      </c>
      <c r="M107" s="24" t="s">
        <v>908</v>
      </c>
      <c r="N107" s="24"/>
      <c r="P107" s="1" t="str">
        <f t="shared" si="2"/>
        <v>12102004</v>
      </c>
      <c r="Q107" s="263" t="str">
        <f t="shared" si="3"/>
        <v>A/D Furniture &amp; Fixture</v>
      </c>
    </row>
    <row r="108" spans="1:17" x14ac:dyDescent="0.25">
      <c r="A108" s="24" t="s">
        <v>20</v>
      </c>
      <c r="B108" s="24" t="s">
        <v>33</v>
      </c>
      <c r="C108" s="24" t="s">
        <v>20</v>
      </c>
      <c r="D108" s="24" t="s">
        <v>2</v>
      </c>
      <c r="E108" s="24" t="s">
        <v>9</v>
      </c>
      <c r="F108" s="5" t="s">
        <v>91</v>
      </c>
      <c r="G108" s="2" t="s">
        <v>22</v>
      </c>
      <c r="H108" s="2" t="s">
        <v>86</v>
      </c>
      <c r="I108" s="24" t="s">
        <v>908</v>
      </c>
      <c r="J108" s="24" t="s">
        <v>908</v>
      </c>
      <c r="K108" s="24" t="s">
        <v>908</v>
      </c>
      <c r="M108" s="24" t="s">
        <v>908</v>
      </c>
      <c r="N108" s="24"/>
      <c r="P108" s="1" t="str">
        <f t="shared" si="2"/>
        <v>12102005</v>
      </c>
      <c r="Q108" s="263" t="str">
        <f t="shared" si="3"/>
        <v>A/D Vehicle</v>
      </c>
    </row>
    <row r="109" spans="1:17" x14ac:dyDescent="0.25">
      <c r="A109" s="24" t="s">
        <v>20</v>
      </c>
      <c r="B109" s="24" t="s">
        <v>33</v>
      </c>
      <c r="C109" s="24" t="s">
        <v>20</v>
      </c>
      <c r="D109" s="24" t="s">
        <v>2</v>
      </c>
      <c r="E109" s="24" t="s">
        <v>43</v>
      </c>
      <c r="F109" s="5" t="s">
        <v>90</v>
      </c>
      <c r="G109" s="2" t="s">
        <v>22</v>
      </c>
      <c r="H109" s="2" t="s">
        <v>86</v>
      </c>
      <c r="I109" s="24" t="s">
        <v>908</v>
      </c>
      <c r="J109" s="24" t="s">
        <v>908</v>
      </c>
      <c r="K109" s="24" t="s">
        <v>908</v>
      </c>
      <c r="M109" s="24" t="s">
        <v>908</v>
      </c>
      <c r="N109" s="24"/>
      <c r="P109" s="1" t="str">
        <f t="shared" si="2"/>
        <v>12102999</v>
      </c>
      <c r="Q109" s="263" t="str">
        <f t="shared" si="3"/>
        <v>A/D Other Equipment</v>
      </c>
    </row>
    <row r="110" spans="1:17" hidden="1" x14ac:dyDescent="0.25">
      <c r="A110" s="16" t="s">
        <v>20</v>
      </c>
      <c r="B110" s="16" t="s">
        <v>33</v>
      </c>
      <c r="C110" s="16" t="s">
        <v>33</v>
      </c>
      <c r="D110" s="16"/>
      <c r="E110" s="16"/>
      <c r="F110" s="18" t="s">
        <v>836</v>
      </c>
      <c r="G110" s="19" t="s">
        <v>22</v>
      </c>
      <c r="H110" s="19" t="s">
        <v>23</v>
      </c>
      <c r="I110" s="19" t="s">
        <v>907</v>
      </c>
      <c r="J110" s="19" t="s">
        <v>907</v>
      </c>
      <c r="K110" s="19" t="s">
        <v>907</v>
      </c>
      <c r="M110" s="19" t="s">
        <v>907</v>
      </c>
      <c r="N110" s="19"/>
      <c r="Q110" s="263"/>
    </row>
    <row r="111" spans="1:17" hidden="1" x14ac:dyDescent="0.25">
      <c r="A111" s="20" t="s">
        <v>20</v>
      </c>
      <c r="B111" s="20" t="s">
        <v>33</v>
      </c>
      <c r="C111" s="20" t="s">
        <v>33</v>
      </c>
      <c r="D111" s="20" t="s">
        <v>0</v>
      </c>
      <c r="E111" s="20"/>
      <c r="F111" s="22" t="s">
        <v>552</v>
      </c>
      <c r="G111" s="23" t="s">
        <v>22</v>
      </c>
      <c r="H111" s="23" t="s">
        <v>23</v>
      </c>
      <c r="I111" s="23" t="s">
        <v>907</v>
      </c>
      <c r="J111" s="23" t="s">
        <v>907</v>
      </c>
      <c r="K111" s="23" t="s">
        <v>907</v>
      </c>
      <c r="M111" s="23" t="s">
        <v>907</v>
      </c>
      <c r="N111" s="23"/>
      <c r="Q111" s="263"/>
    </row>
    <row r="112" spans="1:17" x14ac:dyDescent="0.25">
      <c r="A112" s="24" t="s">
        <v>20</v>
      </c>
      <c r="B112" s="24" t="s">
        <v>33</v>
      </c>
      <c r="C112" s="24" t="s">
        <v>33</v>
      </c>
      <c r="D112" s="24" t="s">
        <v>0</v>
      </c>
      <c r="E112" s="24" t="s">
        <v>1</v>
      </c>
      <c r="F112" s="5" t="s">
        <v>92</v>
      </c>
      <c r="G112" s="2" t="s">
        <v>22</v>
      </c>
      <c r="H112" s="2" t="s">
        <v>23</v>
      </c>
      <c r="I112" s="24" t="s">
        <v>908</v>
      </c>
      <c r="J112" s="24" t="s">
        <v>908</v>
      </c>
      <c r="K112" s="24" t="s">
        <v>908</v>
      </c>
      <c r="M112" s="24" t="s">
        <v>908</v>
      </c>
      <c r="N112" s="24"/>
      <c r="P112" s="1" t="str">
        <f t="shared" si="2"/>
        <v>12201001</v>
      </c>
      <c r="Q112" s="263" t="str">
        <f t="shared" si="3"/>
        <v>Software</v>
      </c>
    </row>
    <row r="113" spans="1:17" x14ac:dyDescent="0.25">
      <c r="A113" s="24" t="s">
        <v>20</v>
      </c>
      <c r="B113" s="24" t="s">
        <v>33</v>
      </c>
      <c r="C113" s="24" t="s">
        <v>33</v>
      </c>
      <c r="D113" s="24" t="s">
        <v>0</v>
      </c>
      <c r="E113" s="24" t="s">
        <v>3</v>
      </c>
      <c r="F113" s="5" t="s">
        <v>93</v>
      </c>
      <c r="G113" s="2" t="s">
        <v>22</v>
      </c>
      <c r="H113" s="2" t="s">
        <v>23</v>
      </c>
      <c r="I113" s="24" t="s">
        <v>908</v>
      </c>
      <c r="J113" s="24" t="s">
        <v>908</v>
      </c>
      <c r="K113" s="24" t="s">
        <v>908</v>
      </c>
      <c r="M113" s="24" t="s">
        <v>908</v>
      </c>
      <c r="N113" s="24"/>
      <c r="P113" s="1" t="str">
        <f t="shared" si="2"/>
        <v>12201002</v>
      </c>
      <c r="Q113" s="263" t="str">
        <f t="shared" si="3"/>
        <v>Goodwill</v>
      </c>
    </row>
    <row r="114" spans="1:17" x14ac:dyDescent="0.25">
      <c r="A114" s="24" t="s">
        <v>20</v>
      </c>
      <c r="B114" s="24" t="s">
        <v>33</v>
      </c>
      <c r="C114" s="24" t="s">
        <v>33</v>
      </c>
      <c r="D114" s="24" t="s">
        <v>0</v>
      </c>
      <c r="E114" s="24" t="s">
        <v>5</v>
      </c>
      <c r="F114" s="5" t="s">
        <v>94</v>
      </c>
      <c r="G114" s="2" t="s">
        <v>22</v>
      </c>
      <c r="H114" s="2" t="s">
        <v>23</v>
      </c>
      <c r="I114" s="24" t="s">
        <v>908</v>
      </c>
      <c r="J114" s="24" t="s">
        <v>908</v>
      </c>
      <c r="K114" s="24" t="s">
        <v>908</v>
      </c>
      <c r="M114" s="24" t="s">
        <v>908</v>
      </c>
      <c r="N114" s="24"/>
      <c r="P114" s="1" t="str">
        <f t="shared" si="2"/>
        <v>12201003</v>
      </c>
      <c r="Q114" s="263" t="str">
        <f t="shared" si="3"/>
        <v>License</v>
      </c>
    </row>
    <row r="115" spans="1:17" x14ac:dyDescent="0.25">
      <c r="A115" s="24" t="s">
        <v>20</v>
      </c>
      <c r="B115" s="24" t="s">
        <v>33</v>
      </c>
      <c r="C115" s="24" t="s">
        <v>33</v>
      </c>
      <c r="D115" s="24" t="s">
        <v>0</v>
      </c>
      <c r="E115" s="24" t="s">
        <v>7</v>
      </c>
      <c r="F115" s="5" t="s">
        <v>95</v>
      </c>
      <c r="G115" s="2" t="s">
        <v>22</v>
      </c>
      <c r="H115" s="2" t="s">
        <v>23</v>
      </c>
      <c r="I115" s="24" t="s">
        <v>908</v>
      </c>
      <c r="J115" s="24" t="s">
        <v>908</v>
      </c>
      <c r="K115" s="24" t="s">
        <v>908</v>
      </c>
      <c r="M115" s="24" t="s">
        <v>908</v>
      </c>
      <c r="N115" s="24"/>
      <c r="P115" s="1" t="str">
        <f t="shared" si="2"/>
        <v>12201004</v>
      </c>
      <c r="Q115" s="263" t="str">
        <f t="shared" si="3"/>
        <v>Building Rights on Land</v>
      </c>
    </row>
    <row r="116" spans="1:17" x14ac:dyDescent="0.25">
      <c r="A116" s="24" t="s">
        <v>20</v>
      </c>
      <c r="B116" s="24" t="s">
        <v>33</v>
      </c>
      <c r="C116" s="24" t="s">
        <v>33</v>
      </c>
      <c r="D116" s="24" t="s">
        <v>0</v>
      </c>
      <c r="E116" s="24" t="s">
        <v>43</v>
      </c>
      <c r="F116" s="5" t="s">
        <v>526</v>
      </c>
      <c r="G116" s="2" t="s">
        <v>22</v>
      </c>
      <c r="H116" s="2" t="s">
        <v>23</v>
      </c>
      <c r="I116" s="24" t="s">
        <v>908</v>
      </c>
      <c r="J116" s="24" t="s">
        <v>908</v>
      </c>
      <c r="K116" s="24" t="s">
        <v>908</v>
      </c>
      <c r="M116" s="24" t="s">
        <v>908</v>
      </c>
      <c r="N116" s="24"/>
      <c r="P116" s="1" t="str">
        <f t="shared" si="2"/>
        <v>12201999</v>
      </c>
      <c r="Q116" s="263" t="str">
        <f t="shared" si="3"/>
        <v>Other Intangible Asset</v>
      </c>
    </row>
    <row r="117" spans="1:17" hidden="1" x14ac:dyDescent="0.25">
      <c r="A117" s="20" t="s">
        <v>20</v>
      </c>
      <c r="B117" s="20" t="s">
        <v>33</v>
      </c>
      <c r="C117" s="20" t="s">
        <v>33</v>
      </c>
      <c r="D117" s="20" t="s">
        <v>2</v>
      </c>
      <c r="E117" s="20"/>
      <c r="F117" s="22" t="s">
        <v>96</v>
      </c>
      <c r="G117" s="23" t="s">
        <v>22</v>
      </c>
      <c r="H117" s="23" t="s">
        <v>86</v>
      </c>
      <c r="I117" s="23" t="s">
        <v>907</v>
      </c>
      <c r="J117" s="23" t="s">
        <v>907</v>
      </c>
      <c r="K117" s="23" t="s">
        <v>907</v>
      </c>
      <c r="M117" s="23" t="s">
        <v>907</v>
      </c>
      <c r="N117" s="23"/>
      <c r="Q117" s="263"/>
    </row>
    <row r="118" spans="1:17" x14ac:dyDescent="0.25">
      <c r="A118" s="24" t="s">
        <v>20</v>
      </c>
      <c r="B118" s="24" t="s">
        <v>33</v>
      </c>
      <c r="C118" s="24" t="s">
        <v>33</v>
      </c>
      <c r="D118" s="24" t="s">
        <v>2</v>
      </c>
      <c r="E118" s="24" t="s">
        <v>1</v>
      </c>
      <c r="F118" s="5" t="s">
        <v>97</v>
      </c>
      <c r="G118" s="2" t="s">
        <v>22</v>
      </c>
      <c r="H118" s="2" t="s">
        <v>86</v>
      </c>
      <c r="I118" s="24" t="s">
        <v>908</v>
      </c>
      <c r="J118" s="24" t="s">
        <v>908</v>
      </c>
      <c r="K118" s="24" t="s">
        <v>908</v>
      </c>
      <c r="M118" s="24" t="s">
        <v>908</v>
      </c>
      <c r="N118" s="24"/>
      <c r="P118" s="1" t="str">
        <f t="shared" si="2"/>
        <v>12202001</v>
      </c>
      <c r="Q118" s="263" t="str">
        <f t="shared" si="3"/>
        <v>A/A Software</v>
      </c>
    </row>
    <row r="119" spans="1:17" x14ac:dyDescent="0.25">
      <c r="A119" s="24" t="s">
        <v>20</v>
      </c>
      <c r="B119" s="24" t="s">
        <v>33</v>
      </c>
      <c r="C119" s="24" t="s">
        <v>33</v>
      </c>
      <c r="D119" s="24" t="s">
        <v>2</v>
      </c>
      <c r="E119" s="24" t="s">
        <v>3</v>
      </c>
      <c r="F119" s="5" t="s">
        <v>98</v>
      </c>
      <c r="G119" s="2" t="s">
        <v>22</v>
      </c>
      <c r="H119" s="2" t="s">
        <v>86</v>
      </c>
      <c r="I119" s="24" t="s">
        <v>908</v>
      </c>
      <c r="J119" s="24" t="s">
        <v>908</v>
      </c>
      <c r="K119" s="24" t="s">
        <v>908</v>
      </c>
      <c r="M119" s="24" t="s">
        <v>908</v>
      </c>
      <c r="N119" s="24"/>
      <c r="P119" s="1" t="str">
        <f t="shared" si="2"/>
        <v>12202002</v>
      </c>
      <c r="Q119" s="263" t="str">
        <f t="shared" si="3"/>
        <v>A/A Goodwill</v>
      </c>
    </row>
    <row r="120" spans="1:17" x14ac:dyDescent="0.25">
      <c r="A120" s="24" t="s">
        <v>20</v>
      </c>
      <c r="B120" s="24" t="s">
        <v>33</v>
      </c>
      <c r="C120" s="24" t="s">
        <v>33</v>
      </c>
      <c r="D120" s="24" t="s">
        <v>2</v>
      </c>
      <c r="E120" s="24" t="s">
        <v>5</v>
      </c>
      <c r="F120" s="5" t="s">
        <v>99</v>
      </c>
      <c r="G120" s="2" t="s">
        <v>22</v>
      </c>
      <c r="H120" s="2" t="s">
        <v>86</v>
      </c>
      <c r="I120" s="24" t="s">
        <v>908</v>
      </c>
      <c r="J120" s="24" t="s">
        <v>908</v>
      </c>
      <c r="K120" s="24" t="s">
        <v>908</v>
      </c>
      <c r="M120" s="24" t="s">
        <v>908</v>
      </c>
      <c r="N120" s="24"/>
      <c r="P120" s="1" t="str">
        <f t="shared" si="2"/>
        <v>12202003</v>
      </c>
      <c r="Q120" s="263" t="str">
        <f t="shared" si="3"/>
        <v>A/A License</v>
      </c>
    </row>
    <row r="121" spans="1:17" x14ac:dyDescent="0.25">
      <c r="A121" s="24" t="s">
        <v>20</v>
      </c>
      <c r="B121" s="24" t="s">
        <v>33</v>
      </c>
      <c r="C121" s="24" t="s">
        <v>33</v>
      </c>
      <c r="D121" s="24" t="s">
        <v>2</v>
      </c>
      <c r="E121" s="24" t="s">
        <v>7</v>
      </c>
      <c r="F121" s="5" t="s">
        <v>100</v>
      </c>
      <c r="G121" s="2" t="s">
        <v>22</v>
      </c>
      <c r="H121" s="2" t="s">
        <v>86</v>
      </c>
      <c r="I121" s="24" t="s">
        <v>908</v>
      </c>
      <c r="J121" s="24" t="s">
        <v>908</v>
      </c>
      <c r="K121" s="24" t="s">
        <v>908</v>
      </c>
      <c r="M121" s="24" t="s">
        <v>908</v>
      </c>
      <c r="N121" s="24"/>
      <c r="P121" s="1" t="str">
        <f t="shared" si="2"/>
        <v>12202004</v>
      </c>
      <c r="Q121" s="263" t="str">
        <f t="shared" si="3"/>
        <v>A/A Building Rights on Land</v>
      </c>
    </row>
    <row r="122" spans="1:17" x14ac:dyDescent="0.25">
      <c r="A122" s="24" t="s">
        <v>20</v>
      </c>
      <c r="B122" s="24" t="s">
        <v>33</v>
      </c>
      <c r="C122" s="24" t="s">
        <v>33</v>
      </c>
      <c r="D122" s="24" t="s">
        <v>2</v>
      </c>
      <c r="E122" s="24" t="s">
        <v>43</v>
      </c>
      <c r="F122" s="5" t="s">
        <v>527</v>
      </c>
      <c r="G122" s="2" t="s">
        <v>22</v>
      </c>
      <c r="H122" s="2" t="s">
        <v>86</v>
      </c>
      <c r="I122" s="24" t="s">
        <v>908</v>
      </c>
      <c r="J122" s="24" t="s">
        <v>908</v>
      </c>
      <c r="K122" s="24" t="s">
        <v>908</v>
      </c>
      <c r="M122" s="24" t="s">
        <v>908</v>
      </c>
      <c r="N122" s="24"/>
      <c r="P122" s="1" t="str">
        <f t="shared" si="2"/>
        <v>12202999</v>
      </c>
      <c r="Q122" s="263" t="str">
        <f t="shared" si="3"/>
        <v>A/A Other Intangible Asset</v>
      </c>
    </row>
    <row r="123" spans="1:17" hidden="1" x14ac:dyDescent="0.25">
      <c r="A123" s="16" t="s">
        <v>20</v>
      </c>
      <c r="B123" s="16" t="s">
        <v>33</v>
      </c>
      <c r="C123" s="16" t="s">
        <v>44</v>
      </c>
      <c r="D123" s="16"/>
      <c r="E123" s="16"/>
      <c r="F123" s="18" t="s">
        <v>837</v>
      </c>
      <c r="G123" s="19" t="s">
        <v>22</v>
      </c>
      <c r="H123" s="19" t="s">
        <v>23</v>
      </c>
      <c r="I123" s="19" t="s">
        <v>907</v>
      </c>
      <c r="J123" s="19" t="s">
        <v>907</v>
      </c>
      <c r="K123" s="19" t="s">
        <v>907</v>
      </c>
      <c r="M123" s="19" t="s">
        <v>907</v>
      </c>
      <c r="N123" s="19"/>
      <c r="Q123" s="263"/>
    </row>
    <row r="124" spans="1:17" hidden="1" x14ac:dyDescent="0.25">
      <c r="A124" s="20" t="s">
        <v>20</v>
      </c>
      <c r="B124" s="20" t="s">
        <v>33</v>
      </c>
      <c r="C124" s="20" t="s">
        <v>44</v>
      </c>
      <c r="D124" s="21" t="s">
        <v>0</v>
      </c>
      <c r="E124" s="20"/>
      <c r="F124" s="22" t="s">
        <v>101</v>
      </c>
      <c r="G124" s="23" t="s">
        <v>22</v>
      </c>
      <c r="H124" s="23" t="s">
        <v>23</v>
      </c>
      <c r="I124" s="23" t="s">
        <v>907</v>
      </c>
      <c r="J124" s="23" t="s">
        <v>907</v>
      </c>
      <c r="K124" s="23" t="s">
        <v>907</v>
      </c>
      <c r="M124" s="23" t="s">
        <v>907</v>
      </c>
      <c r="N124" s="23"/>
      <c r="Q124" s="263"/>
    </row>
    <row r="125" spans="1:17" x14ac:dyDescent="0.25">
      <c r="A125" s="1" t="s">
        <v>20</v>
      </c>
      <c r="B125" s="1" t="s">
        <v>33</v>
      </c>
      <c r="C125" s="1" t="s">
        <v>44</v>
      </c>
      <c r="D125" s="1" t="s">
        <v>0</v>
      </c>
      <c r="E125" s="1" t="s">
        <v>1</v>
      </c>
      <c r="F125" s="5" t="s">
        <v>838</v>
      </c>
      <c r="G125" s="2" t="s">
        <v>22</v>
      </c>
      <c r="H125" s="2" t="s">
        <v>23</v>
      </c>
      <c r="I125" s="220" t="s">
        <v>908</v>
      </c>
      <c r="J125" s="220" t="s">
        <v>908</v>
      </c>
      <c r="K125" s="220" t="s">
        <v>908</v>
      </c>
      <c r="M125" s="220" t="s">
        <v>908</v>
      </c>
      <c r="N125" s="220"/>
      <c r="P125" s="1" t="str">
        <f t="shared" si="2"/>
        <v>12301001</v>
      </c>
      <c r="Q125" s="263" t="str">
        <f t="shared" si="3"/>
        <v>Pre Opening Expenses</v>
      </c>
    </row>
    <row r="126" spans="1:17" x14ac:dyDescent="0.25">
      <c r="A126" s="1" t="s">
        <v>20</v>
      </c>
      <c r="B126" s="1" t="s">
        <v>33</v>
      </c>
      <c r="C126" s="1" t="s">
        <v>44</v>
      </c>
      <c r="D126" s="1" t="s">
        <v>0</v>
      </c>
      <c r="E126" s="1" t="s">
        <v>3</v>
      </c>
      <c r="F126" s="5" t="s">
        <v>839</v>
      </c>
      <c r="G126" s="2" t="s">
        <v>22</v>
      </c>
      <c r="H126" s="2" t="s">
        <v>23</v>
      </c>
      <c r="I126" s="220" t="s">
        <v>908</v>
      </c>
      <c r="J126" s="220" t="s">
        <v>908</v>
      </c>
      <c r="K126" s="220" t="s">
        <v>908</v>
      </c>
      <c r="M126" s="220" t="s">
        <v>908</v>
      </c>
      <c r="N126" s="220"/>
      <c r="P126" s="1" t="str">
        <f t="shared" si="2"/>
        <v>12301002</v>
      </c>
      <c r="Q126" s="263" t="str">
        <f t="shared" si="3"/>
        <v>Pre Operating Expenses</v>
      </c>
    </row>
    <row r="127" spans="1:17" x14ac:dyDescent="0.25">
      <c r="A127" s="1" t="s">
        <v>20</v>
      </c>
      <c r="B127" s="1" t="s">
        <v>33</v>
      </c>
      <c r="C127" s="1" t="s">
        <v>44</v>
      </c>
      <c r="D127" s="1" t="s">
        <v>0</v>
      </c>
      <c r="E127" s="1" t="s">
        <v>5</v>
      </c>
      <c r="F127" s="5" t="s">
        <v>102</v>
      </c>
      <c r="G127" s="2" t="s">
        <v>22</v>
      </c>
      <c r="H127" s="2" t="s">
        <v>23</v>
      </c>
      <c r="I127" s="220" t="s">
        <v>908</v>
      </c>
      <c r="J127" s="220" t="s">
        <v>908</v>
      </c>
      <c r="K127" s="220" t="s">
        <v>908</v>
      </c>
      <c r="M127" s="220" t="s">
        <v>908</v>
      </c>
      <c r="N127" s="220"/>
      <c r="P127" s="1" t="str">
        <f t="shared" si="2"/>
        <v>12301003</v>
      </c>
      <c r="Q127" s="263" t="str">
        <f t="shared" si="3"/>
        <v>Deferred Tax Asset</v>
      </c>
    </row>
    <row r="128" spans="1:17" x14ac:dyDescent="0.25">
      <c r="A128" s="1" t="s">
        <v>20</v>
      </c>
      <c r="B128" s="1" t="s">
        <v>33</v>
      </c>
      <c r="C128" s="1" t="s">
        <v>44</v>
      </c>
      <c r="D128" s="1" t="s">
        <v>0</v>
      </c>
      <c r="E128" s="1" t="s">
        <v>7</v>
      </c>
      <c r="F128" s="5" t="s">
        <v>103</v>
      </c>
      <c r="G128" s="2" t="s">
        <v>22</v>
      </c>
      <c r="H128" s="2" t="s">
        <v>23</v>
      </c>
      <c r="I128" s="220" t="s">
        <v>908</v>
      </c>
      <c r="J128" s="220" t="s">
        <v>908</v>
      </c>
      <c r="K128" s="220" t="s">
        <v>908</v>
      </c>
      <c r="L128" s="2" t="s">
        <v>909</v>
      </c>
      <c r="M128" s="220" t="s">
        <v>908</v>
      </c>
      <c r="N128" s="220"/>
      <c r="P128" s="1" t="str">
        <f t="shared" si="2"/>
        <v>12301004</v>
      </c>
      <c r="Q128" s="263" t="str">
        <f t="shared" si="3"/>
        <v>Pre Fixed Asset</v>
      </c>
    </row>
    <row r="129" spans="1:17" x14ac:dyDescent="0.25">
      <c r="A129" s="1" t="s">
        <v>20</v>
      </c>
      <c r="B129" s="1" t="s">
        <v>33</v>
      </c>
      <c r="C129" s="1" t="s">
        <v>44</v>
      </c>
      <c r="D129" s="1" t="s">
        <v>0</v>
      </c>
      <c r="E129" s="1" t="s">
        <v>9</v>
      </c>
      <c r="F129" s="5" t="s">
        <v>79</v>
      </c>
      <c r="G129" s="2" t="s">
        <v>22</v>
      </c>
      <c r="H129" s="2" t="s">
        <v>23</v>
      </c>
      <c r="I129" s="220" t="s">
        <v>908</v>
      </c>
      <c r="J129" s="220" t="s">
        <v>908</v>
      </c>
      <c r="K129" s="220" t="s">
        <v>908</v>
      </c>
      <c r="M129" s="220" t="s">
        <v>908</v>
      </c>
      <c r="N129" s="220"/>
      <c r="P129" s="1" t="str">
        <f t="shared" si="2"/>
        <v>12301005</v>
      </c>
      <c r="Q129" s="263" t="str">
        <f t="shared" si="3"/>
        <v>Construction in Progress</v>
      </c>
    </row>
    <row r="130" spans="1:17" x14ac:dyDescent="0.25">
      <c r="A130" s="1" t="s">
        <v>20</v>
      </c>
      <c r="B130" s="1" t="s">
        <v>33</v>
      </c>
      <c r="C130" s="1" t="s">
        <v>44</v>
      </c>
      <c r="D130" s="1" t="s">
        <v>0</v>
      </c>
      <c r="E130" s="1" t="s">
        <v>43</v>
      </c>
      <c r="F130" s="1" t="s">
        <v>840</v>
      </c>
      <c r="G130" s="2" t="s">
        <v>22</v>
      </c>
      <c r="H130" s="2" t="s">
        <v>23</v>
      </c>
      <c r="I130" s="220" t="s">
        <v>908</v>
      </c>
      <c r="J130" s="220" t="s">
        <v>908</v>
      </c>
      <c r="K130" s="220" t="s">
        <v>908</v>
      </c>
      <c r="M130" s="220" t="s">
        <v>908</v>
      </c>
      <c r="N130" s="220"/>
      <c r="P130" s="1" t="str">
        <f t="shared" si="2"/>
        <v>12301999</v>
      </c>
      <c r="Q130" s="263" t="str">
        <f t="shared" si="3"/>
        <v>Other - Other Asset</v>
      </c>
    </row>
    <row r="131" spans="1:17" hidden="1" x14ac:dyDescent="0.25">
      <c r="A131" s="20" t="s">
        <v>20</v>
      </c>
      <c r="B131" s="20" t="s">
        <v>33</v>
      </c>
      <c r="C131" s="20" t="s">
        <v>44</v>
      </c>
      <c r="D131" s="21" t="s">
        <v>2</v>
      </c>
      <c r="E131" s="20"/>
      <c r="F131" s="22" t="s">
        <v>105</v>
      </c>
      <c r="G131" s="23" t="s">
        <v>22</v>
      </c>
      <c r="H131" s="23" t="s">
        <v>86</v>
      </c>
      <c r="I131" s="23" t="s">
        <v>907</v>
      </c>
      <c r="J131" s="23" t="s">
        <v>907</v>
      </c>
      <c r="K131" s="23" t="s">
        <v>907</v>
      </c>
      <c r="M131" s="23" t="s">
        <v>907</v>
      </c>
      <c r="N131" s="23"/>
      <c r="Q131" s="263"/>
    </row>
    <row r="132" spans="1:17" x14ac:dyDescent="0.25">
      <c r="A132" s="24" t="s">
        <v>20</v>
      </c>
      <c r="B132" s="24" t="s">
        <v>33</v>
      </c>
      <c r="C132" s="24" t="s">
        <v>44</v>
      </c>
      <c r="D132" s="24" t="s">
        <v>2</v>
      </c>
      <c r="E132" s="24" t="s">
        <v>1</v>
      </c>
      <c r="F132" s="5" t="s">
        <v>841</v>
      </c>
      <c r="G132" s="2" t="s">
        <v>22</v>
      </c>
      <c r="H132" s="2" t="s">
        <v>86</v>
      </c>
      <c r="I132" s="220" t="s">
        <v>908</v>
      </c>
      <c r="J132" s="220" t="s">
        <v>908</v>
      </c>
      <c r="K132" s="220" t="s">
        <v>908</v>
      </c>
      <c r="M132" s="220" t="s">
        <v>908</v>
      </c>
      <c r="N132" s="24"/>
      <c r="P132" s="1" t="str">
        <f t="shared" si="2"/>
        <v>12302001</v>
      </c>
      <c r="Q132" s="263" t="str">
        <f t="shared" si="3"/>
        <v>A/A Pre Opening Expenses</v>
      </c>
    </row>
    <row r="133" spans="1:17" hidden="1" x14ac:dyDescent="0.25">
      <c r="A133" s="8" t="s">
        <v>33</v>
      </c>
      <c r="B133" s="8"/>
      <c r="C133" s="8"/>
      <c r="D133" s="8"/>
      <c r="E133" s="8"/>
      <c r="F133" s="9" t="s">
        <v>106</v>
      </c>
      <c r="G133" s="10" t="s">
        <v>22</v>
      </c>
      <c r="H133" s="10" t="s">
        <v>86</v>
      </c>
      <c r="I133" s="10" t="s">
        <v>907</v>
      </c>
      <c r="J133" s="10" t="s">
        <v>907</v>
      </c>
      <c r="K133" s="10" t="s">
        <v>907</v>
      </c>
      <c r="M133" s="10" t="s">
        <v>907</v>
      </c>
      <c r="N133" s="10"/>
      <c r="Q133" s="263"/>
    </row>
    <row r="134" spans="1:17" hidden="1" x14ac:dyDescent="0.25">
      <c r="A134" s="12" t="s">
        <v>33</v>
      </c>
      <c r="B134" s="12" t="s">
        <v>20</v>
      </c>
      <c r="C134" s="12"/>
      <c r="D134" s="12"/>
      <c r="E134" s="12"/>
      <c r="F134" s="13" t="s">
        <v>107</v>
      </c>
      <c r="G134" s="14" t="s">
        <v>22</v>
      </c>
      <c r="H134" s="14" t="s">
        <v>86</v>
      </c>
      <c r="I134" s="14" t="s">
        <v>907</v>
      </c>
      <c r="J134" s="14" t="s">
        <v>907</v>
      </c>
      <c r="K134" s="14" t="s">
        <v>907</v>
      </c>
      <c r="M134" s="14" t="s">
        <v>907</v>
      </c>
      <c r="N134" s="14"/>
      <c r="Q134" s="263"/>
    </row>
    <row r="135" spans="1:17" hidden="1" x14ac:dyDescent="0.25">
      <c r="A135" s="16" t="s">
        <v>33</v>
      </c>
      <c r="B135" s="16" t="s">
        <v>20</v>
      </c>
      <c r="C135" s="16" t="s">
        <v>20</v>
      </c>
      <c r="D135" s="16"/>
      <c r="E135" s="16"/>
      <c r="F135" s="18" t="s">
        <v>108</v>
      </c>
      <c r="G135" s="19" t="s">
        <v>22</v>
      </c>
      <c r="H135" s="19" t="s">
        <v>86</v>
      </c>
      <c r="I135" s="19" t="s">
        <v>907</v>
      </c>
      <c r="J135" s="19" t="s">
        <v>907</v>
      </c>
      <c r="K135" s="19" t="s">
        <v>907</v>
      </c>
      <c r="M135" s="19" t="s">
        <v>907</v>
      </c>
      <c r="N135" s="19"/>
      <c r="Q135" s="263"/>
    </row>
    <row r="136" spans="1:17" hidden="1" x14ac:dyDescent="0.25">
      <c r="A136" s="20" t="s">
        <v>33</v>
      </c>
      <c r="B136" s="20" t="s">
        <v>20</v>
      </c>
      <c r="C136" s="20" t="s">
        <v>20</v>
      </c>
      <c r="D136" s="21" t="s">
        <v>0</v>
      </c>
      <c r="E136" s="20"/>
      <c r="F136" s="22" t="s">
        <v>109</v>
      </c>
      <c r="G136" s="23" t="s">
        <v>22</v>
      </c>
      <c r="H136" s="23" t="s">
        <v>86</v>
      </c>
      <c r="I136" s="23" t="s">
        <v>907</v>
      </c>
      <c r="J136" s="23" t="s">
        <v>907</v>
      </c>
      <c r="K136" s="23" t="s">
        <v>907</v>
      </c>
      <c r="M136" s="23" t="s">
        <v>907</v>
      </c>
      <c r="N136" s="23"/>
      <c r="Q136" s="263"/>
    </row>
    <row r="137" spans="1:17" x14ac:dyDescent="0.25">
      <c r="A137" s="24" t="s">
        <v>33</v>
      </c>
      <c r="B137" s="24" t="s">
        <v>20</v>
      </c>
      <c r="C137" s="24" t="s">
        <v>20</v>
      </c>
      <c r="D137" s="24" t="s">
        <v>0</v>
      </c>
      <c r="E137" s="24" t="s">
        <v>1</v>
      </c>
      <c r="F137" s="5" t="s">
        <v>110</v>
      </c>
      <c r="G137" s="2" t="s">
        <v>22</v>
      </c>
      <c r="H137" s="2" t="s">
        <v>86</v>
      </c>
      <c r="I137" s="24" t="s">
        <v>908</v>
      </c>
      <c r="J137" s="24" t="s">
        <v>908</v>
      </c>
      <c r="K137" s="24" t="s">
        <v>908</v>
      </c>
      <c r="M137" s="24" t="s">
        <v>908</v>
      </c>
      <c r="N137" s="24"/>
      <c r="P137" s="1" t="str">
        <f t="shared" ref="P137:P196" si="4">CONCATENATE(A137,B137,C137,D137,E137)</f>
        <v>21101001</v>
      </c>
      <c r="Q137" s="263" t="str">
        <f t="shared" ref="Q137:Q200" si="5">F137</f>
        <v>A/P Supplier</v>
      </c>
    </row>
    <row r="138" spans="1:17" x14ac:dyDescent="0.25">
      <c r="A138" s="24" t="s">
        <v>33</v>
      </c>
      <c r="B138" s="24" t="s">
        <v>20</v>
      </c>
      <c r="C138" s="24" t="s">
        <v>20</v>
      </c>
      <c r="D138" s="24" t="s">
        <v>0</v>
      </c>
      <c r="E138" s="24" t="s">
        <v>3</v>
      </c>
      <c r="F138" s="5" t="s">
        <v>111</v>
      </c>
      <c r="G138" s="2" t="s">
        <v>22</v>
      </c>
      <c r="H138" s="2" t="s">
        <v>86</v>
      </c>
      <c r="I138" s="24" t="s">
        <v>908</v>
      </c>
      <c r="J138" s="24" t="s">
        <v>908</v>
      </c>
      <c r="K138" s="24" t="s">
        <v>908</v>
      </c>
      <c r="M138" s="24" t="s">
        <v>908</v>
      </c>
      <c r="N138" s="24"/>
      <c r="P138" s="1" t="str">
        <f t="shared" si="4"/>
        <v>21101002</v>
      </c>
      <c r="Q138" s="263" t="str">
        <f t="shared" si="5"/>
        <v>A/P Contractor</v>
      </c>
    </row>
    <row r="139" spans="1:17" x14ac:dyDescent="0.25">
      <c r="A139" s="24" t="s">
        <v>33</v>
      </c>
      <c r="B139" s="24" t="s">
        <v>20</v>
      </c>
      <c r="C139" s="24" t="s">
        <v>20</v>
      </c>
      <c r="D139" s="24" t="s">
        <v>0</v>
      </c>
      <c r="E139" s="24" t="s">
        <v>43</v>
      </c>
      <c r="F139" s="5" t="s">
        <v>112</v>
      </c>
      <c r="G139" s="2" t="s">
        <v>22</v>
      </c>
      <c r="H139" s="2" t="s">
        <v>86</v>
      </c>
      <c r="I139" s="24" t="s">
        <v>908</v>
      </c>
      <c r="J139" s="24" t="s">
        <v>908</v>
      </c>
      <c r="K139" s="24" t="s">
        <v>908</v>
      </c>
      <c r="M139" s="24" t="s">
        <v>908</v>
      </c>
      <c r="N139" s="24"/>
      <c r="P139" s="1" t="str">
        <f t="shared" si="4"/>
        <v>21101999</v>
      </c>
      <c r="Q139" s="263" t="str">
        <f t="shared" si="5"/>
        <v>A/P Third Party Other</v>
      </c>
    </row>
    <row r="140" spans="1:17" hidden="1" x14ac:dyDescent="0.25">
      <c r="A140" s="20" t="s">
        <v>33</v>
      </c>
      <c r="B140" s="20" t="s">
        <v>20</v>
      </c>
      <c r="C140" s="20" t="s">
        <v>20</v>
      </c>
      <c r="D140" s="20" t="s">
        <v>2</v>
      </c>
      <c r="E140" s="20"/>
      <c r="F140" s="22" t="s">
        <v>114</v>
      </c>
      <c r="G140" s="23" t="s">
        <v>22</v>
      </c>
      <c r="H140" s="23" t="s">
        <v>86</v>
      </c>
      <c r="I140" s="23" t="s">
        <v>907</v>
      </c>
      <c r="J140" s="23" t="s">
        <v>907</v>
      </c>
      <c r="K140" s="23" t="s">
        <v>907</v>
      </c>
      <c r="M140" s="23" t="s">
        <v>907</v>
      </c>
      <c r="N140" s="23"/>
      <c r="Q140" s="263"/>
    </row>
    <row r="141" spans="1:17" x14ac:dyDescent="0.25">
      <c r="A141" s="24" t="s">
        <v>33</v>
      </c>
      <c r="B141" s="24" t="s">
        <v>20</v>
      </c>
      <c r="C141" s="24" t="s">
        <v>20</v>
      </c>
      <c r="D141" s="24" t="s">
        <v>2</v>
      </c>
      <c r="E141" s="25" t="s">
        <v>1</v>
      </c>
      <c r="F141" s="5" t="s">
        <v>115</v>
      </c>
      <c r="G141" s="2" t="s">
        <v>22</v>
      </c>
      <c r="H141" s="2" t="s">
        <v>86</v>
      </c>
      <c r="I141" s="24" t="s">
        <v>908</v>
      </c>
      <c r="J141" s="24" t="s">
        <v>908</v>
      </c>
      <c r="K141" s="24" t="s">
        <v>908</v>
      </c>
      <c r="M141" s="24" t="s">
        <v>908</v>
      </c>
      <c r="N141" s="24"/>
      <c r="P141" s="1" t="str">
        <f t="shared" si="4"/>
        <v>21102001</v>
      </c>
      <c r="Q141" s="263" t="str">
        <f t="shared" si="5"/>
        <v>A/P Affiliated  PT. ……………………………</v>
      </c>
    </row>
    <row r="142" spans="1:17" x14ac:dyDescent="0.25">
      <c r="A142" s="24" t="s">
        <v>33</v>
      </c>
      <c r="B142" s="24" t="s">
        <v>20</v>
      </c>
      <c r="C142" s="24" t="s">
        <v>20</v>
      </c>
      <c r="D142" s="24" t="s">
        <v>2</v>
      </c>
      <c r="E142" s="25" t="s">
        <v>3</v>
      </c>
      <c r="F142" s="5" t="s">
        <v>115</v>
      </c>
      <c r="G142" s="2" t="s">
        <v>22</v>
      </c>
      <c r="H142" s="2" t="s">
        <v>86</v>
      </c>
      <c r="I142" s="24" t="s">
        <v>908</v>
      </c>
      <c r="J142" s="24" t="s">
        <v>908</v>
      </c>
      <c r="K142" s="24" t="s">
        <v>908</v>
      </c>
      <c r="M142" s="24" t="s">
        <v>908</v>
      </c>
      <c r="N142" s="24"/>
      <c r="P142" s="1" t="str">
        <f t="shared" si="4"/>
        <v>21102002</v>
      </c>
      <c r="Q142" s="263" t="str">
        <f t="shared" si="5"/>
        <v>A/P Affiliated  PT. ……………………………</v>
      </c>
    </row>
    <row r="143" spans="1:17" hidden="1" x14ac:dyDescent="0.25">
      <c r="A143" s="20" t="s">
        <v>33</v>
      </c>
      <c r="B143" s="20" t="s">
        <v>20</v>
      </c>
      <c r="C143" s="20" t="s">
        <v>20</v>
      </c>
      <c r="D143" s="20" t="s">
        <v>4</v>
      </c>
      <c r="E143" s="20"/>
      <c r="F143" s="22" t="s">
        <v>116</v>
      </c>
      <c r="G143" s="23" t="s">
        <v>22</v>
      </c>
      <c r="H143" s="23" t="s">
        <v>86</v>
      </c>
      <c r="I143" s="23" t="s">
        <v>907</v>
      </c>
      <c r="J143" s="23" t="s">
        <v>907</v>
      </c>
      <c r="K143" s="23" t="s">
        <v>907</v>
      </c>
      <c r="M143" s="23" t="s">
        <v>907</v>
      </c>
      <c r="N143" s="23"/>
      <c r="Q143" s="263"/>
    </row>
    <row r="144" spans="1:17" x14ac:dyDescent="0.25">
      <c r="A144" s="24" t="s">
        <v>33</v>
      </c>
      <c r="B144" s="24" t="s">
        <v>20</v>
      </c>
      <c r="C144" s="24" t="s">
        <v>20</v>
      </c>
      <c r="D144" s="24" t="s">
        <v>4</v>
      </c>
      <c r="E144" s="25" t="s">
        <v>1</v>
      </c>
      <c r="F144" s="5" t="s">
        <v>117</v>
      </c>
      <c r="G144" s="2" t="s">
        <v>22</v>
      </c>
      <c r="H144" s="2" t="s">
        <v>86</v>
      </c>
      <c r="I144" s="24" t="s">
        <v>908</v>
      </c>
      <c r="J144" s="24" t="s">
        <v>908</v>
      </c>
      <c r="K144" s="24" t="s">
        <v>908</v>
      </c>
      <c r="M144" s="24" t="s">
        <v>908</v>
      </c>
      <c r="N144" s="24"/>
      <c r="P144" s="1" t="str">
        <f t="shared" si="4"/>
        <v>21103001</v>
      </c>
      <c r="Q144" s="263" t="str">
        <f t="shared" si="5"/>
        <v>Government Tax (PP 1)</v>
      </c>
    </row>
    <row r="145" spans="1:17" x14ac:dyDescent="0.25">
      <c r="A145" s="24" t="s">
        <v>33</v>
      </c>
      <c r="B145" s="24" t="s">
        <v>20</v>
      </c>
      <c r="C145" s="24" t="s">
        <v>20</v>
      </c>
      <c r="D145" s="24" t="s">
        <v>4</v>
      </c>
      <c r="E145" s="25" t="s">
        <v>3</v>
      </c>
      <c r="F145" s="5" t="s">
        <v>118</v>
      </c>
      <c r="G145" s="2" t="s">
        <v>22</v>
      </c>
      <c r="H145" s="2" t="s">
        <v>86</v>
      </c>
      <c r="I145" s="24" t="s">
        <v>908</v>
      </c>
      <c r="J145" s="24" t="s">
        <v>908</v>
      </c>
      <c r="K145" s="24" t="s">
        <v>908</v>
      </c>
      <c r="M145" s="24" t="s">
        <v>908</v>
      </c>
      <c r="N145" s="24"/>
      <c r="P145" s="1" t="str">
        <f t="shared" si="4"/>
        <v>21103002</v>
      </c>
      <c r="Q145" s="263" t="str">
        <f t="shared" si="5"/>
        <v>Tax Payable (PPh 21)</v>
      </c>
    </row>
    <row r="146" spans="1:17" x14ac:dyDescent="0.25">
      <c r="A146" s="24" t="s">
        <v>33</v>
      </c>
      <c r="B146" s="24" t="s">
        <v>20</v>
      </c>
      <c r="C146" s="24" t="s">
        <v>20</v>
      </c>
      <c r="D146" s="24" t="s">
        <v>4</v>
      </c>
      <c r="E146" s="24" t="s">
        <v>5</v>
      </c>
      <c r="F146" s="5" t="s">
        <v>119</v>
      </c>
      <c r="G146" s="2" t="s">
        <v>22</v>
      </c>
      <c r="H146" s="2" t="s">
        <v>86</v>
      </c>
      <c r="I146" s="24" t="s">
        <v>908</v>
      </c>
      <c r="J146" s="24" t="s">
        <v>908</v>
      </c>
      <c r="K146" s="24" t="s">
        <v>908</v>
      </c>
      <c r="M146" s="24" t="s">
        <v>908</v>
      </c>
      <c r="N146" s="24"/>
      <c r="P146" s="1" t="str">
        <f t="shared" si="4"/>
        <v>21103003</v>
      </c>
      <c r="Q146" s="263" t="str">
        <f t="shared" si="5"/>
        <v>Tax Payable (PPh 23)</v>
      </c>
    </row>
    <row r="147" spans="1:17" x14ac:dyDescent="0.25">
      <c r="A147" s="24" t="s">
        <v>33</v>
      </c>
      <c r="B147" s="24" t="s">
        <v>20</v>
      </c>
      <c r="C147" s="24" t="s">
        <v>20</v>
      </c>
      <c r="D147" s="24" t="s">
        <v>4</v>
      </c>
      <c r="E147" s="24" t="s">
        <v>7</v>
      </c>
      <c r="F147" s="5" t="s">
        <v>120</v>
      </c>
      <c r="G147" s="2" t="s">
        <v>22</v>
      </c>
      <c r="H147" s="2" t="s">
        <v>86</v>
      </c>
      <c r="I147" s="24" t="s">
        <v>908</v>
      </c>
      <c r="J147" s="24" t="s">
        <v>908</v>
      </c>
      <c r="K147" s="24" t="s">
        <v>908</v>
      </c>
      <c r="M147" s="24" t="s">
        <v>908</v>
      </c>
      <c r="N147" s="24"/>
      <c r="P147" s="1" t="str">
        <f t="shared" si="4"/>
        <v>21103004</v>
      </c>
      <c r="Q147" s="263" t="str">
        <f t="shared" si="5"/>
        <v>Tax Payable (PPh 25)</v>
      </c>
    </row>
    <row r="148" spans="1:17" x14ac:dyDescent="0.25">
      <c r="A148" s="24" t="s">
        <v>33</v>
      </c>
      <c r="B148" s="24" t="s">
        <v>20</v>
      </c>
      <c r="C148" s="24" t="s">
        <v>20</v>
      </c>
      <c r="D148" s="24" t="s">
        <v>4</v>
      </c>
      <c r="E148" s="25" t="s">
        <v>9</v>
      </c>
      <c r="F148" s="5" t="s">
        <v>121</v>
      </c>
      <c r="G148" s="2" t="s">
        <v>22</v>
      </c>
      <c r="H148" s="2" t="s">
        <v>86</v>
      </c>
      <c r="I148" s="24" t="s">
        <v>908</v>
      </c>
      <c r="J148" s="24" t="s">
        <v>908</v>
      </c>
      <c r="K148" s="24" t="s">
        <v>908</v>
      </c>
      <c r="M148" s="24" t="s">
        <v>908</v>
      </c>
      <c r="N148" s="24"/>
      <c r="P148" s="1" t="str">
        <f t="shared" si="4"/>
        <v>21103005</v>
      </c>
      <c r="Q148" s="263" t="str">
        <f t="shared" si="5"/>
        <v>Tax Payable (PPh 26)</v>
      </c>
    </row>
    <row r="149" spans="1:17" x14ac:dyDescent="0.25">
      <c r="A149" s="24" t="s">
        <v>33</v>
      </c>
      <c r="B149" s="24" t="s">
        <v>20</v>
      </c>
      <c r="C149" s="24" t="s">
        <v>20</v>
      </c>
      <c r="D149" s="24" t="s">
        <v>4</v>
      </c>
      <c r="E149" s="25" t="s">
        <v>10</v>
      </c>
      <c r="F149" s="5" t="s">
        <v>122</v>
      </c>
      <c r="G149" s="2" t="s">
        <v>22</v>
      </c>
      <c r="H149" s="2" t="s">
        <v>86</v>
      </c>
      <c r="I149" s="24" t="s">
        <v>908</v>
      </c>
      <c r="J149" s="24" t="s">
        <v>908</v>
      </c>
      <c r="K149" s="24" t="s">
        <v>908</v>
      </c>
      <c r="M149" s="24" t="s">
        <v>908</v>
      </c>
      <c r="N149" s="24"/>
      <c r="P149" s="1" t="str">
        <f t="shared" si="4"/>
        <v>21103006</v>
      </c>
      <c r="Q149" s="263" t="str">
        <f t="shared" si="5"/>
        <v>Tax Payable Final</v>
      </c>
    </row>
    <row r="150" spans="1:17" x14ac:dyDescent="0.25">
      <c r="A150" s="24" t="s">
        <v>33</v>
      </c>
      <c r="B150" s="24" t="s">
        <v>20</v>
      </c>
      <c r="C150" s="24" t="s">
        <v>20</v>
      </c>
      <c r="D150" s="24" t="s">
        <v>4</v>
      </c>
      <c r="E150" s="24" t="s">
        <v>11</v>
      </c>
      <c r="F150" s="5" t="s">
        <v>123</v>
      </c>
      <c r="G150" s="2" t="s">
        <v>22</v>
      </c>
      <c r="H150" s="2" t="s">
        <v>86</v>
      </c>
      <c r="I150" s="24" t="s">
        <v>908</v>
      </c>
      <c r="J150" s="24" t="s">
        <v>908</v>
      </c>
      <c r="K150" s="24" t="s">
        <v>908</v>
      </c>
      <c r="M150" s="24" t="s">
        <v>908</v>
      </c>
      <c r="N150" s="24"/>
      <c r="P150" s="1" t="str">
        <f t="shared" si="4"/>
        <v>21103007</v>
      </c>
      <c r="Q150" s="263" t="str">
        <f t="shared" si="5"/>
        <v>Tax Payable (PPh 29)</v>
      </c>
    </row>
    <row r="151" spans="1:17" x14ac:dyDescent="0.25">
      <c r="A151" s="24" t="s">
        <v>33</v>
      </c>
      <c r="B151" s="24" t="s">
        <v>20</v>
      </c>
      <c r="C151" s="24" t="s">
        <v>20</v>
      </c>
      <c r="D151" s="24" t="s">
        <v>4</v>
      </c>
      <c r="E151" s="25" t="s">
        <v>13</v>
      </c>
      <c r="F151" s="5" t="s">
        <v>587</v>
      </c>
      <c r="G151" s="2" t="s">
        <v>22</v>
      </c>
      <c r="H151" s="2" t="s">
        <v>86</v>
      </c>
      <c r="I151" s="24" t="s">
        <v>910</v>
      </c>
      <c r="J151" s="24" t="s">
        <v>910</v>
      </c>
      <c r="K151" s="24" t="s">
        <v>910</v>
      </c>
      <c r="M151" s="24" t="s">
        <v>908</v>
      </c>
      <c r="N151" s="24"/>
      <c r="P151" s="1" t="str">
        <f t="shared" si="4"/>
        <v>21103008</v>
      </c>
      <c r="Q151" s="263" t="str">
        <f t="shared" si="5"/>
        <v>Tax Payable VAT Out</v>
      </c>
    </row>
    <row r="152" spans="1:17" hidden="1" x14ac:dyDescent="0.25">
      <c r="A152" s="20" t="s">
        <v>33</v>
      </c>
      <c r="B152" s="20" t="s">
        <v>20</v>
      </c>
      <c r="C152" s="20" t="s">
        <v>20</v>
      </c>
      <c r="D152" s="20" t="s">
        <v>6</v>
      </c>
      <c r="E152" s="20"/>
      <c r="F152" s="22" t="s">
        <v>124</v>
      </c>
      <c r="G152" s="23" t="s">
        <v>22</v>
      </c>
      <c r="H152" s="23" t="s">
        <v>86</v>
      </c>
      <c r="I152" s="23" t="s">
        <v>907</v>
      </c>
      <c r="J152" s="23" t="s">
        <v>907</v>
      </c>
      <c r="K152" s="23" t="s">
        <v>907</v>
      </c>
      <c r="M152" s="23" t="s">
        <v>907</v>
      </c>
      <c r="N152" s="23"/>
      <c r="Q152" s="263"/>
    </row>
    <row r="153" spans="1:17" x14ac:dyDescent="0.25">
      <c r="A153" s="24" t="s">
        <v>33</v>
      </c>
      <c r="B153" s="24" t="s">
        <v>20</v>
      </c>
      <c r="C153" s="24" t="s">
        <v>20</v>
      </c>
      <c r="D153" s="24" t="s">
        <v>6</v>
      </c>
      <c r="E153" s="25" t="s">
        <v>1</v>
      </c>
      <c r="F153" s="5" t="s">
        <v>125</v>
      </c>
      <c r="G153" s="2" t="s">
        <v>22</v>
      </c>
      <c r="H153" s="2" t="s">
        <v>86</v>
      </c>
      <c r="I153" s="24" t="s">
        <v>908</v>
      </c>
      <c r="J153" s="24" t="s">
        <v>908</v>
      </c>
      <c r="K153" s="24" t="s">
        <v>908</v>
      </c>
      <c r="M153" s="24" t="s">
        <v>908</v>
      </c>
      <c r="N153" s="24"/>
      <c r="P153" s="1" t="str">
        <f t="shared" si="4"/>
        <v>21104001</v>
      </c>
      <c r="Q153" s="263" t="str">
        <f t="shared" si="5"/>
        <v>Notes Payable</v>
      </c>
    </row>
    <row r="154" spans="1:17" x14ac:dyDescent="0.25">
      <c r="A154" s="24" t="s">
        <v>33</v>
      </c>
      <c r="B154" s="24" t="s">
        <v>20</v>
      </c>
      <c r="C154" s="24" t="s">
        <v>20</v>
      </c>
      <c r="D154" s="24" t="s">
        <v>6</v>
      </c>
      <c r="E154" s="25" t="s">
        <v>3</v>
      </c>
      <c r="F154" s="5" t="s">
        <v>126</v>
      </c>
      <c r="G154" s="2" t="s">
        <v>22</v>
      </c>
      <c r="H154" s="2" t="s">
        <v>86</v>
      </c>
      <c r="I154" s="24" t="s">
        <v>908</v>
      </c>
      <c r="J154" s="24" t="s">
        <v>908</v>
      </c>
      <c r="K154" s="24" t="s">
        <v>908</v>
      </c>
      <c r="M154" s="24" t="s">
        <v>908</v>
      </c>
      <c r="N154" s="24"/>
      <c r="P154" s="1" t="str">
        <f t="shared" si="4"/>
        <v>21104002</v>
      </c>
      <c r="Q154" s="263" t="str">
        <f t="shared" si="5"/>
        <v>Outstanding Cheque</v>
      </c>
    </row>
    <row r="155" spans="1:17" x14ac:dyDescent="0.25">
      <c r="A155" s="24" t="s">
        <v>33</v>
      </c>
      <c r="B155" s="24" t="s">
        <v>20</v>
      </c>
      <c r="C155" s="24" t="s">
        <v>20</v>
      </c>
      <c r="D155" s="24" t="s">
        <v>6</v>
      </c>
      <c r="E155" s="24" t="s">
        <v>5</v>
      </c>
      <c r="F155" s="5" t="s">
        <v>38</v>
      </c>
      <c r="G155" s="2" t="s">
        <v>22</v>
      </c>
      <c r="H155" s="2" t="s">
        <v>86</v>
      </c>
      <c r="I155" s="24" t="s">
        <v>908</v>
      </c>
      <c r="J155" s="24" t="s">
        <v>908</v>
      </c>
      <c r="K155" s="24" t="s">
        <v>908</v>
      </c>
      <c r="L155" s="2" t="s">
        <v>909</v>
      </c>
      <c r="M155" s="24" t="s">
        <v>908</v>
      </c>
      <c r="N155" s="24"/>
      <c r="P155" s="1" t="str">
        <f t="shared" si="4"/>
        <v>21104003</v>
      </c>
      <c r="Q155" s="263" t="str">
        <f t="shared" si="5"/>
        <v>Pre Paid A/R</v>
      </c>
    </row>
    <row r="156" spans="1:17" x14ac:dyDescent="0.25">
      <c r="A156" s="24" t="s">
        <v>33</v>
      </c>
      <c r="B156" s="24" t="s">
        <v>20</v>
      </c>
      <c r="C156" s="24" t="s">
        <v>20</v>
      </c>
      <c r="D156" s="24" t="s">
        <v>6</v>
      </c>
      <c r="E156" s="25" t="s">
        <v>7</v>
      </c>
      <c r="F156" s="4" t="s">
        <v>842</v>
      </c>
      <c r="G156" s="2" t="s">
        <v>22</v>
      </c>
      <c r="H156" s="2" t="s">
        <v>86</v>
      </c>
      <c r="I156" s="24" t="s">
        <v>908</v>
      </c>
      <c r="J156" s="24" t="s">
        <v>908</v>
      </c>
      <c r="K156" s="24" t="s">
        <v>908</v>
      </c>
      <c r="M156" s="24" t="s">
        <v>908</v>
      </c>
      <c r="N156" s="24"/>
      <c r="P156" s="1" t="str">
        <f t="shared" si="4"/>
        <v>21104004</v>
      </c>
      <c r="Q156" s="263" t="str">
        <f t="shared" si="5"/>
        <v>A/P Owner</v>
      </c>
    </row>
    <row r="157" spans="1:17" x14ac:dyDescent="0.25">
      <c r="A157" s="24" t="s">
        <v>33</v>
      </c>
      <c r="B157" s="24" t="s">
        <v>20</v>
      </c>
      <c r="C157" s="24" t="s">
        <v>20</v>
      </c>
      <c r="D157" s="24" t="s">
        <v>6</v>
      </c>
      <c r="E157" s="24" t="s">
        <v>9</v>
      </c>
      <c r="F157" s="5" t="s">
        <v>843</v>
      </c>
      <c r="G157" s="2" t="s">
        <v>22</v>
      </c>
      <c r="H157" s="2" t="s">
        <v>86</v>
      </c>
      <c r="I157" s="24" t="s">
        <v>908</v>
      </c>
      <c r="J157" s="24" t="s">
        <v>908</v>
      </c>
      <c r="K157" s="24" t="s">
        <v>908</v>
      </c>
      <c r="M157" s="24" t="s">
        <v>908</v>
      </c>
      <c r="N157" s="24"/>
      <c r="P157" s="1" t="str">
        <f t="shared" si="4"/>
        <v>21104005</v>
      </c>
      <c r="Q157" s="263" t="str">
        <f t="shared" si="5"/>
        <v>A/P Employee</v>
      </c>
    </row>
    <row r="158" spans="1:17" x14ac:dyDescent="0.25">
      <c r="A158" s="24" t="s">
        <v>33</v>
      </c>
      <c r="B158" s="24" t="s">
        <v>20</v>
      </c>
      <c r="C158" s="24" t="s">
        <v>20</v>
      </c>
      <c r="D158" s="24" t="s">
        <v>6</v>
      </c>
      <c r="E158" s="24" t="s">
        <v>43</v>
      </c>
      <c r="F158" s="5" t="s">
        <v>528</v>
      </c>
      <c r="G158" s="2" t="s">
        <v>22</v>
      </c>
      <c r="H158" s="2" t="s">
        <v>86</v>
      </c>
      <c r="I158" s="24" t="s">
        <v>908</v>
      </c>
      <c r="J158" s="24" t="s">
        <v>908</v>
      </c>
      <c r="K158" s="24" t="s">
        <v>908</v>
      </c>
      <c r="M158" s="24" t="s">
        <v>908</v>
      </c>
      <c r="N158" s="24"/>
      <c r="P158" s="1" t="str">
        <f t="shared" si="4"/>
        <v>21104999</v>
      </c>
      <c r="Q158" s="263" t="str">
        <f t="shared" si="5"/>
        <v>Other - Other Payable</v>
      </c>
    </row>
    <row r="159" spans="1:17" hidden="1" x14ac:dyDescent="0.25">
      <c r="A159" s="16" t="s">
        <v>33</v>
      </c>
      <c r="B159" s="16" t="s">
        <v>20</v>
      </c>
      <c r="C159" s="16" t="s">
        <v>33</v>
      </c>
      <c r="D159" s="16"/>
      <c r="E159" s="16"/>
      <c r="F159" s="18" t="s">
        <v>127</v>
      </c>
      <c r="G159" s="19" t="s">
        <v>22</v>
      </c>
      <c r="H159" s="19" t="s">
        <v>86</v>
      </c>
      <c r="I159" s="19" t="s">
        <v>907</v>
      </c>
      <c r="J159" s="19" t="s">
        <v>907</v>
      </c>
      <c r="K159" s="19" t="s">
        <v>907</v>
      </c>
      <c r="M159" s="19" t="s">
        <v>907</v>
      </c>
      <c r="N159" s="19"/>
      <c r="Q159" s="263"/>
    </row>
    <row r="160" spans="1:17" hidden="1" x14ac:dyDescent="0.25">
      <c r="A160" s="20" t="s">
        <v>33</v>
      </c>
      <c r="B160" s="20" t="s">
        <v>20</v>
      </c>
      <c r="C160" s="20">
        <v>2</v>
      </c>
      <c r="D160" s="21" t="s">
        <v>0</v>
      </c>
      <c r="E160" s="20"/>
      <c r="F160" s="22" t="s">
        <v>128</v>
      </c>
      <c r="G160" s="23" t="s">
        <v>22</v>
      </c>
      <c r="H160" s="23" t="s">
        <v>86</v>
      </c>
      <c r="I160" s="23" t="s">
        <v>907</v>
      </c>
      <c r="J160" s="23" t="s">
        <v>907</v>
      </c>
      <c r="K160" s="23" t="s">
        <v>907</v>
      </c>
      <c r="M160" s="23" t="s">
        <v>907</v>
      </c>
      <c r="N160" s="23"/>
      <c r="Q160" s="263"/>
    </row>
    <row r="161" spans="1:17" x14ac:dyDescent="0.25">
      <c r="A161" s="24" t="s">
        <v>33</v>
      </c>
      <c r="B161" s="24" t="s">
        <v>20</v>
      </c>
      <c r="C161" s="24">
        <v>2</v>
      </c>
      <c r="D161" s="24" t="s">
        <v>0</v>
      </c>
      <c r="E161" s="24" t="s">
        <v>1</v>
      </c>
      <c r="F161" s="5" t="s">
        <v>129</v>
      </c>
      <c r="G161" s="2" t="s">
        <v>22</v>
      </c>
      <c r="H161" s="2" t="s">
        <v>86</v>
      </c>
      <c r="I161" s="24" t="s">
        <v>908</v>
      </c>
      <c r="J161" s="24" t="s">
        <v>908</v>
      </c>
      <c r="K161" s="24" t="s">
        <v>908</v>
      </c>
      <c r="M161" s="24" t="s">
        <v>908</v>
      </c>
      <c r="N161" s="24"/>
      <c r="P161" s="1" t="str">
        <f t="shared" si="4"/>
        <v>21201001</v>
      </c>
      <c r="Q161" s="263" t="str">
        <f t="shared" si="5"/>
        <v>Accrued Salary and Allowances</v>
      </c>
    </row>
    <row r="162" spans="1:17" x14ac:dyDescent="0.25">
      <c r="A162" s="24" t="s">
        <v>33</v>
      </c>
      <c r="B162" s="24" t="s">
        <v>20</v>
      </c>
      <c r="C162" s="24">
        <v>2</v>
      </c>
      <c r="D162" s="24" t="s">
        <v>0</v>
      </c>
      <c r="E162" s="24" t="s">
        <v>3</v>
      </c>
      <c r="F162" s="5" t="s">
        <v>130</v>
      </c>
      <c r="G162" s="2" t="s">
        <v>22</v>
      </c>
      <c r="H162" s="2" t="s">
        <v>86</v>
      </c>
      <c r="I162" s="24" t="s">
        <v>908</v>
      </c>
      <c r="J162" s="24" t="s">
        <v>908</v>
      </c>
      <c r="K162" s="24" t="s">
        <v>908</v>
      </c>
      <c r="M162" s="24" t="s">
        <v>908</v>
      </c>
      <c r="N162" s="24"/>
      <c r="P162" s="1" t="str">
        <f t="shared" si="4"/>
        <v>21201002</v>
      </c>
      <c r="Q162" s="263" t="str">
        <f t="shared" si="5"/>
        <v>Accrued THR and Bonus</v>
      </c>
    </row>
    <row r="163" spans="1:17" x14ac:dyDescent="0.25">
      <c r="A163" s="24" t="s">
        <v>33</v>
      </c>
      <c r="B163" s="24" t="s">
        <v>20</v>
      </c>
      <c r="C163" s="24">
        <v>2</v>
      </c>
      <c r="D163" s="24" t="s">
        <v>0</v>
      </c>
      <c r="E163" s="24" t="s">
        <v>5</v>
      </c>
      <c r="F163" s="5" t="s">
        <v>131</v>
      </c>
      <c r="G163" s="2" t="s">
        <v>22</v>
      </c>
      <c r="H163" s="2" t="s">
        <v>86</v>
      </c>
      <c r="I163" s="24" t="s">
        <v>908</v>
      </c>
      <c r="J163" s="24" t="s">
        <v>908</v>
      </c>
      <c r="K163" s="24" t="s">
        <v>908</v>
      </c>
      <c r="M163" s="24" t="s">
        <v>908</v>
      </c>
      <c r="N163" s="24"/>
      <c r="P163" s="1" t="str">
        <f t="shared" si="4"/>
        <v>21201003</v>
      </c>
      <c r="Q163" s="263" t="str">
        <f t="shared" si="5"/>
        <v>Accrued Service Charge</v>
      </c>
    </row>
    <row r="164" spans="1:17" x14ac:dyDescent="0.25">
      <c r="A164" s="24" t="s">
        <v>33</v>
      </c>
      <c r="B164" s="24" t="s">
        <v>20</v>
      </c>
      <c r="C164" s="24">
        <v>2</v>
      </c>
      <c r="D164" s="24" t="s">
        <v>0</v>
      </c>
      <c r="E164" s="24" t="s">
        <v>7</v>
      </c>
      <c r="F164" s="5" t="s">
        <v>132</v>
      </c>
      <c r="G164" s="2" t="s">
        <v>22</v>
      </c>
      <c r="H164" s="2" t="s">
        <v>86</v>
      </c>
      <c r="I164" s="24" t="s">
        <v>908</v>
      </c>
      <c r="J164" s="24" t="s">
        <v>908</v>
      </c>
      <c r="K164" s="24" t="s">
        <v>908</v>
      </c>
      <c r="M164" s="24" t="s">
        <v>908</v>
      </c>
      <c r="N164" s="24"/>
      <c r="P164" s="1" t="str">
        <f t="shared" si="4"/>
        <v>21201004</v>
      </c>
      <c r="Q164" s="263" t="str">
        <f t="shared" si="5"/>
        <v>Accrued Jamsostek</v>
      </c>
    </row>
    <row r="165" spans="1:17" x14ac:dyDescent="0.25">
      <c r="A165" s="24" t="s">
        <v>33</v>
      </c>
      <c r="B165" s="24" t="s">
        <v>20</v>
      </c>
      <c r="C165" s="24">
        <v>2</v>
      </c>
      <c r="D165" s="24" t="s">
        <v>0</v>
      </c>
      <c r="E165" s="24" t="s">
        <v>9</v>
      </c>
      <c r="F165" s="5" t="s">
        <v>133</v>
      </c>
      <c r="G165" s="2" t="s">
        <v>22</v>
      </c>
      <c r="H165" s="2" t="s">
        <v>86</v>
      </c>
      <c r="I165" s="24" t="s">
        <v>908</v>
      </c>
      <c r="J165" s="24" t="s">
        <v>908</v>
      </c>
      <c r="K165" s="24" t="s">
        <v>908</v>
      </c>
      <c r="M165" s="24" t="s">
        <v>908</v>
      </c>
      <c r="N165" s="24"/>
      <c r="P165" s="1" t="str">
        <f t="shared" si="4"/>
        <v>21201005</v>
      </c>
      <c r="Q165" s="263" t="str">
        <f t="shared" si="5"/>
        <v>Accrued Medical &amp; Insurance</v>
      </c>
    </row>
    <row r="166" spans="1:17" x14ac:dyDescent="0.25">
      <c r="A166" s="24" t="s">
        <v>33</v>
      </c>
      <c r="B166" s="24" t="s">
        <v>20</v>
      </c>
      <c r="C166" s="24">
        <v>2</v>
      </c>
      <c r="D166" s="24" t="s">
        <v>0</v>
      </c>
      <c r="E166" s="24" t="s">
        <v>10</v>
      </c>
      <c r="F166" s="5" t="s">
        <v>844</v>
      </c>
      <c r="G166" s="2" t="s">
        <v>22</v>
      </c>
      <c r="H166" s="2" t="s">
        <v>86</v>
      </c>
      <c r="I166" s="24" t="s">
        <v>908</v>
      </c>
      <c r="J166" s="24" t="s">
        <v>908</v>
      </c>
      <c r="K166" s="24" t="s">
        <v>908</v>
      </c>
      <c r="M166" s="24" t="s">
        <v>908</v>
      </c>
      <c r="N166" s="24"/>
      <c r="P166" s="1" t="str">
        <f t="shared" si="4"/>
        <v>21201006</v>
      </c>
      <c r="Q166" s="263" t="str">
        <f t="shared" si="5"/>
        <v>Accrued Pension Plan</v>
      </c>
    </row>
    <row r="167" spans="1:17" x14ac:dyDescent="0.25">
      <c r="A167" s="24" t="s">
        <v>33</v>
      </c>
      <c r="B167" s="24" t="s">
        <v>20</v>
      </c>
      <c r="C167" s="24">
        <v>2</v>
      </c>
      <c r="D167" s="24" t="s">
        <v>0</v>
      </c>
      <c r="E167" s="24" t="s">
        <v>43</v>
      </c>
      <c r="F167" s="5" t="s">
        <v>134</v>
      </c>
      <c r="G167" s="2" t="s">
        <v>22</v>
      </c>
      <c r="H167" s="2" t="s">
        <v>86</v>
      </c>
      <c r="I167" s="24" t="s">
        <v>908</v>
      </c>
      <c r="J167" s="24" t="s">
        <v>908</v>
      </c>
      <c r="K167" s="24" t="s">
        <v>908</v>
      </c>
      <c r="M167" s="24" t="s">
        <v>908</v>
      </c>
      <c r="N167" s="24"/>
      <c r="P167" s="1" t="str">
        <f t="shared" si="4"/>
        <v>21201999</v>
      </c>
      <c r="Q167" s="263" t="str">
        <f t="shared" si="5"/>
        <v>Accrued Employee Other Expense</v>
      </c>
    </row>
    <row r="168" spans="1:17" hidden="1" x14ac:dyDescent="0.25">
      <c r="A168" s="20" t="s">
        <v>33</v>
      </c>
      <c r="B168" s="20" t="s">
        <v>20</v>
      </c>
      <c r="C168" s="20">
        <v>2</v>
      </c>
      <c r="D168" s="21" t="s">
        <v>2</v>
      </c>
      <c r="E168" s="20"/>
      <c r="F168" s="22" t="s">
        <v>135</v>
      </c>
      <c r="G168" s="23" t="s">
        <v>22</v>
      </c>
      <c r="H168" s="23" t="s">
        <v>86</v>
      </c>
      <c r="I168" s="23" t="s">
        <v>907</v>
      </c>
      <c r="J168" s="23" t="s">
        <v>907</v>
      </c>
      <c r="K168" s="23" t="s">
        <v>907</v>
      </c>
      <c r="M168" s="23" t="s">
        <v>907</v>
      </c>
      <c r="N168" s="23"/>
      <c r="Q168" s="263"/>
    </row>
    <row r="169" spans="1:17" x14ac:dyDescent="0.25">
      <c r="A169" s="24" t="s">
        <v>33</v>
      </c>
      <c r="B169" s="24" t="s">
        <v>20</v>
      </c>
      <c r="C169" s="24">
        <v>2</v>
      </c>
      <c r="D169" s="24" t="s">
        <v>2</v>
      </c>
      <c r="E169" s="24" t="s">
        <v>1</v>
      </c>
      <c r="F169" s="5" t="s">
        <v>551</v>
      </c>
      <c r="G169" s="2" t="s">
        <v>22</v>
      </c>
      <c r="H169" s="2" t="s">
        <v>86</v>
      </c>
      <c r="I169" s="24" t="s">
        <v>908</v>
      </c>
      <c r="J169" s="24" t="s">
        <v>908</v>
      </c>
      <c r="K169" s="24" t="s">
        <v>908</v>
      </c>
      <c r="M169" s="24" t="s">
        <v>908</v>
      </c>
      <c r="N169" s="24"/>
      <c r="P169" s="1" t="str">
        <f t="shared" si="4"/>
        <v>21202001</v>
      </c>
      <c r="Q169" s="263" t="str">
        <f t="shared" si="5"/>
        <v>Accrued Consultant Fee</v>
      </c>
    </row>
    <row r="170" spans="1:17" x14ac:dyDescent="0.25">
      <c r="A170" s="24" t="s">
        <v>33</v>
      </c>
      <c r="B170" s="24" t="s">
        <v>20</v>
      </c>
      <c r="C170" s="24">
        <v>2</v>
      </c>
      <c r="D170" s="24" t="s">
        <v>2</v>
      </c>
      <c r="E170" s="24" t="s">
        <v>3</v>
      </c>
      <c r="F170" s="5" t="s">
        <v>136</v>
      </c>
      <c r="G170" s="2" t="s">
        <v>22</v>
      </c>
      <c r="H170" s="2" t="s">
        <v>86</v>
      </c>
      <c r="I170" s="24" t="s">
        <v>908</v>
      </c>
      <c r="J170" s="24" t="s">
        <v>908</v>
      </c>
      <c r="K170" s="24" t="s">
        <v>908</v>
      </c>
      <c r="M170" s="24" t="s">
        <v>908</v>
      </c>
      <c r="N170" s="24"/>
      <c r="P170" s="1" t="str">
        <f t="shared" si="4"/>
        <v>21202002</v>
      </c>
      <c r="Q170" s="263" t="str">
        <f t="shared" si="5"/>
        <v>Accrued Management Fee</v>
      </c>
    </row>
    <row r="171" spans="1:17" x14ac:dyDescent="0.25">
      <c r="A171" s="24" t="s">
        <v>33</v>
      </c>
      <c r="B171" s="24" t="s">
        <v>20</v>
      </c>
      <c r="C171" s="24">
        <v>2</v>
      </c>
      <c r="D171" s="24" t="s">
        <v>2</v>
      </c>
      <c r="E171" s="24" t="s">
        <v>5</v>
      </c>
      <c r="F171" s="5" t="s">
        <v>137</v>
      </c>
      <c r="G171" s="2" t="s">
        <v>22</v>
      </c>
      <c r="H171" s="2" t="s">
        <v>86</v>
      </c>
      <c r="I171" s="24" t="s">
        <v>908</v>
      </c>
      <c r="J171" s="24" t="s">
        <v>908</v>
      </c>
      <c r="K171" s="24" t="s">
        <v>908</v>
      </c>
      <c r="M171" s="24" t="s">
        <v>908</v>
      </c>
      <c r="N171" s="24"/>
      <c r="P171" s="1" t="str">
        <f t="shared" si="4"/>
        <v>21202003</v>
      </c>
      <c r="Q171" s="263" t="str">
        <f t="shared" si="5"/>
        <v>Accrued Marketing Fee</v>
      </c>
    </row>
    <row r="172" spans="1:17" x14ac:dyDescent="0.25">
      <c r="A172" s="24" t="s">
        <v>33</v>
      </c>
      <c r="B172" s="24" t="s">
        <v>20</v>
      </c>
      <c r="C172" s="24">
        <v>2</v>
      </c>
      <c r="D172" s="24" t="s">
        <v>2</v>
      </c>
      <c r="E172" s="24" t="s">
        <v>7</v>
      </c>
      <c r="F172" s="5" t="s">
        <v>138</v>
      </c>
      <c r="G172" s="2" t="s">
        <v>22</v>
      </c>
      <c r="H172" s="2" t="s">
        <v>86</v>
      </c>
      <c r="I172" s="24" t="s">
        <v>908</v>
      </c>
      <c r="J172" s="24" t="s">
        <v>908</v>
      </c>
      <c r="K172" s="24" t="s">
        <v>908</v>
      </c>
      <c r="M172" s="24" t="s">
        <v>908</v>
      </c>
      <c r="N172" s="24"/>
      <c r="P172" s="1" t="str">
        <f t="shared" si="4"/>
        <v>21202004</v>
      </c>
      <c r="Q172" s="263" t="str">
        <f t="shared" si="5"/>
        <v>Accrued Royalty Fee</v>
      </c>
    </row>
    <row r="173" spans="1:17" x14ac:dyDescent="0.25">
      <c r="A173" s="24" t="s">
        <v>33</v>
      </c>
      <c r="B173" s="24" t="s">
        <v>20</v>
      </c>
      <c r="C173" s="24">
        <v>2</v>
      </c>
      <c r="D173" s="24" t="s">
        <v>2</v>
      </c>
      <c r="E173" s="24" t="s">
        <v>9</v>
      </c>
      <c r="F173" s="5" t="s">
        <v>139</v>
      </c>
      <c r="G173" s="2" t="s">
        <v>22</v>
      </c>
      <c r="H173" s="2" t="s">
        <v>86</v>
      </c>
      <c r="I173" s="24" t="s">
        <v>908</v>
      </c>
      <c r="J173" s="24" t="s">
        <v>908</v>
      </c>
      <c r="K173" s="24" t="s">
        <v>908</v>
      </c>
      <c r="M173" s="24" t="s">
        <v>908</v>
      </c>
      <c r="N173" s="24"/>
      <c r="P173" s="1" t="str">
        <f t="shared" si="4"/>
        <v>21202005</v>
      </c>
      <c r="Q173" s="263" t="str">
        <f t="shared" si="5"/>
        <v>Accrued Petty Cash</v>
      </c>
    </row>
    <row r="174" spans="1:17" x14ac:dyDescent="0.25">
      <c r="A174" s="24" t="s">
        <v>33</v>
      </c>
      <c r="B174" s="24" t="s">
        <v>20</v>
      </c>
      <c r="C174" s="24">
        <v>2</v>
      </c>
      <c r="D174" s="24" t="s">
        <v>2</v>
      </c>
      <c r="E174" s="24" t="s">
        <v>10</v>
      </c>
      <c r="F174" s="5" t="s">
        <v>845</v>
      </c>
      <c r="G174" s="2" t="s">
        <v>22</v>
      </c>
      <c r="H174" s="2" t="s">
        <v>86</v>
      </c>
      <c r="I174" s="24" t="s">
        <v>908</v>
      </c>
      <c r="J174" s="24" t="s">
        <v>908</v>
      </c>
      <c r="K174" s="24" t="s">
        <v>908</v>
      </c>
      <c r="M174" s="24" t="s">
        <v>908</v>
      </c>
      <c r="N174" s="24"/>
      <c r="P174" s="1" t="str">
        <f t="shared" si="4"/>
        <v>21202006</v>
      </c>
      <c r="Q174" s="263" t="str">
        <f t="shared" si="5"/>
        <v>Accrued Commission</v>
      </c>
    </row>
    <row r="175" spans="1:17" x14ac:dyDescent="0.25">
      <c r="A175" s="24" t="s">
        <v>33</v>
      </c>
      <c r="B175" s="24" t="s">
        <v>20</v>
      </c>
      <c r="C175" s="24">
        <v>2</v>
      </c>
      <c r="D175" s="24" t="s">
        <v>2</v>
      </c>
      <c r="E175" s="24" t="s">
        <v>11</v>
      </c>
      <c r="F175" s="5" t="s">
        <v>846</v>
      </c>
      <c r="G175" s="2" t="s">
        <v>22</v>
      </c>
      <c r="H175" s="2" t="s">
        <v>86</v>
      </c>
      <c r="I175" s="24" t="s">
        <v>908</v>
      </c>
      <c r="J175" s="24" t="s">
        <v>908</v>
      </c>
      <c r="K175" s="24" t="s">
        <v>908</v>
      </c>
      <c r="M175" s="24" t="s">
        <v>908</v>
      </c>
      <c r="N175" s="24"/>
      <c r="P175" s="1" t="str">
        <f t="shared" si="4"/>
        <v>21202007</v>
      </c>
      <c r="Q175" s="263" t="str">
        <f t="shared" si="5"/>
        <v>Accrued Interest</v>
      </c>
    </row>
    <row r="176" spans="1:17" x14ac:dyDescent="0.25">
      <c r="A176" s="24" t="s">
        <v>33</v>
      </c>
      <c r="B176" s="24" t="s">
        <v>20</v>
      </c>
      <c r="C176" s="24">
        <v>2</v>
      </c>
      <c r="D176" s="24" t="s">
        <v>2</v>
      </c>
      <c r="E176" s="24" t="s">
        <v>43</v>
      </c>
      <c r="F176" s="5" t="s">
        <v>140</v>
      </c>
      <c r="G176" s="2" t="s">
        <v>22</v>
      </c>
      <c r="H176" s="2" t="s">
        <v>86</v>
      </c>
      <c r="I176" s="24" t="s">
        <v>908</v>
      </c>
      <c r="J176" s="24" t="s">
        <v>908</v>
      </c>
      <c r="K176" s="24" t="s">
        <v>908</v>
      </c>
      <c r="M176" s="24" t="s">
        <v>908</v>
      </c>
      <c r="N176" s="24"/>
      <c r="P176" s="1" t="str">
        <f t="shared" si="4"/>
        <v>21202999</v>
      </c>
      <c r="Q176" s="263" t="str">
        <f t="shared" si="5"/>
        <v>Accrued Administrative and General Other Expense</v>
      </c>
    </row>
    <row r="177" spans="1:17" hidden="1" x14ac:dyDescent="0.25">
      <c r="A177" s="20" t="s">
        <v>33</v>
      </c>
      <c r="B177" s="20" t="s">
        <v>20</v>
      </c>
      <c r="C177" s="20">
        <v>2</v>
      </c>
      <c r="D177" s="21" t="s">
        <v>4</v>
      </c>
      <c r="E177" s="20"/>
      <c r="F177" s="22" t="s">
        <v>141</v>
      </c>
      <c r="G177" s="23" t="s">
        <v>22</v>
      </c>
      <c r="H177" s="23" t="s">
        <v>86</v>
      </c>
      <c r="I177" s="23" t="s">
        <v>907</v>
      </c>
      <c r="J177" s="23" t="s">
        <v>907</v>
      </c>
      <c r="K177" s="23" t="s">
        <v>907</v>
      </c>
      <c r="M177" s="23" t="s">
        <v>907</v>
      </c>
      <c r="N177" s="23"/>
      <c r="Q177" s="263"/>
    </row>
    <row r="178" spans="1:17" x14ac:dyDescent="0.25">
      <c r="A178" s="24" t="s">
        <v>33</v>
      </c>
      <c r="B178" s="24" t="s">
        <v>20</v>
      </c>
      <c r="C178" s="24">
        <v>2</v>
      </c>
      <c r="D178" s="24" t="s">
        <v>4</v>
      </c>
      <c r="E178" s="24" t="s">
        <v>1</v>
      </c>
      <c r="F178" s="5" t="s">
        <v>142</v>
      </c>
      <c r="G178" s="2" t="s">
        <v>22</v>
      </c>
      <c r="H178" s="2" t="s">
        <v>86</v>
      </c>
      <c r="I178" s="24" t="s">
        <v>908</v>
      </c>
      <c r="J178" s="24" t="s">
        <v>908</v>
      </c>
      <c r="K178" s="24" t="s">
        <v>908</v>
      </c>
      <c r="M178" s="24" t="s">
        <v>908</v>
      </c>
      <c r="N178" s="24"/>
      <c r="P178" s="1" t="str">
        <f t="shared" si="4"/>
        <v>21203001</v>
      </c>
      <c r="Q178" s="263" t="str">
        <f t="shared" si="5"/>
        <v>Accrued Electricity</v>
      </c>
    </row>
    <row r="179" spans="1:17" x14ac:dyDescent="0.25">
      <c r="A179" s="24" t="s">
        <v>33</v>
      </c>
      <c r="B179" s="24" t="s">
        <v>20</v>
      </c>
      <c r="C179" s="24">
        <v>2</v>
      </c>
      <c r="D179" s="24" t="s">
        <v>4</v>
      </c>
      <c r="E179" s="24" t="s">
        <v>3</v>
      </c>
      <c r="F179" s="5" t="s">
        <v>143</v>
      </c>
      <c r="G179" s="2" t="s">
        <v>22</v>
      </c>
      <c r="H179" s="2" t="s">
        <v>86</v>
      </c>
      <c r="I179" s="24" t="s">
        <v>908</v>
      </c>
      <c r="J179" s="24" t="s">
        <v>908</v>
      </c>
      <c r="K179" s="24" t="s">
        <v>908</v>
      </c>
      <c r="M179" s="24" t="s">
        <v>908</v>
      </c>
      <c r="N179" s="24"/>
      <c r="P179" s="1" t="str">
        <f t="shared" si="4"/>
        <v>21203002</v>
      </c>
      <c r="Q179" s="263" t="str">
        <f t="shared" si="5"/>
        <v>Accrued Water</v>
      </c>
    </row>
    <row r="180" spans="1:17" x14ac:dyDescent="0.25">
      <c r="A180" s="24" t="s">
        <v>33</v>
      </c>
      <c r="B180" s="24" t="s">
        <v>20</v>
      </c>
      <c r="C180" s="24">
        <v>2</v>
      </c>
      <c r="D180" s="24" t="s">
        <v>4</v>
      </c>
      <c r="E180" s="24" t="s">
        <v>5</v>
      </c>
      <c r="F180" s="5" t="s">
        <v>144</v>
      </c>
      <c r="G180" s="2" t="s">
        <v>22</v>
      </c>
      <c r="H180" s="2" t="s">
        <v>86</v>
      </c>
      <c r="I180" s="24" t="s">
        <v>908</v>
      </c>
      <c r="J180" s="24" t="s">
        <v>908</v>
      </c>
      <c r="K180" s="24" t="s">
        <v>908</v>
      </c>
      <c r="M180" s="24" t="s">
        <v>908</v>
      </c>
      <c r="N180" s="24"/>
      <c r="P180" s="1" t="str">
        <f t="shared" si="4"/>
        <v>21203003</v>
      </c>
      <c r="Q180" s="263" t="str">
        <f t="shared" si="5"/>
        <v>Accrued Internet</v>
      </c>
    </row>
    <row r="181" spans="1:17" x14ac:dyDescent="0.25">
      <c r="A181" s="24" t="s">
        <v>33</v>
      </c>
      <c r="B181" s="24" t="s">
        <v>20</v>
      </c>
      <c r="C181" s="24">
        <v>2</v>
      </c>
      <c r="D181" s="24" t="s">
        <v>4</v>
      </c>
      <c r="E181" s="24" t="s">
        <v>7</v>
      </c>
      <c r="F181" s="5" t="s">
        <v>145</v>
      </c>
      <c r="G181" s="2" t="s">
        <v>22</v>
      </c>
      <c r="H181" s="2" t="s">
        <v>86</v>
      </c>
      <c r="I181" s="24" t="s">
        <v>908</v>
      </c>
      <c r="J181" s="24" t="s">
        <v>908</v>
      </c>
      <c r="K181" s="24" t="s">
        <v>908</v>
      </c>
      <c r="M181" s="24" t="s">
        <v>908</v>
      </c>
      <c r="N181" s="24"/>
      <c r="P181" s="1" t="str">
        <f t="shared" si="4"/>
        <v>21203004</v>
      </c>
      <c r="Q181" s="263" t="str">
        <f t="shared" si="5"/>
        <v>Accrued Telephone</v>
      </c>
    </row>
    <row r="182" spans="1:17" x14ac:dyDescent="0.25">
      <c r="A182" s="24" t="s">
        <v>33</v>
      </c>
      <c r="B182" s="24" t="s">
        <v>20</v>
      </c>
      <c r="C182" s="24" t="s">
        <v>33</v>
      </c>
      <c r="D182" s="24" t="s">
        <v>4</v>
      </c>
      <c r="E182" s="24" t="s">
        <v>43</v>
      </c>
      <c r="F182" s="5" t="s">
        <v>146</v>
      </c>
      <c r="G182" s="2" t="s">
        <v>22</v>
      </c>
      <c r="H182" s="2" t="s">
        <v>86</v>
      </c>
      <c r="I182" s="24" t="s">
        <v>908</v>
      </c>
      <c r="J182" s="24" t="s">
        <v>908</v>
      </c>
      <c r="K182" s="24" t="s">
        <v>908</v>
      </c>
      <c r="M182" s="24" t="s">
        <v>908</v>
      </c>
      <c r="N182" s="24"/>
      <c r="P182" s="1" t="str">
        <f t="shared" si="4"/>
        <v>21203999</v>
      </c>
      <c r="Q182" s="263" t="str">
        <f t="shared" si="5"/>
        <v>Accrued Utility Other Expense</v>
      </c>
    </row>
    <row r="183" spans="1:17" hidden="1" x14ac:dyDescent="0.25">
      <c r="A183" s="16" t="s">
        <v>33</v>
      </c>
      <c r="B183" s="16" t="s">
        <v>20</v>
      </c>
      <c r="C183" s="16" t="s">
        <v>44</v>
      </c>
      <c r="D183" s="16"/>
      <c r="E183" s="16"/>
      <c r="F183" s="18" t="s">
        <v>147</v>
      </c>
      <c r="G183" s="19" t="s">
        <v>22</v>
      </c>
      <c r="H183" s="19" t="s">
        <v>86</v>
      </c>
      <c r="I183" s="19" t="s">
        <v>907</v>
      </c>
      <c r="J183" s="19" t="s">
        <v>907</v>
      </c>
      <c r="K183" s="19" t="s">
        <v>907</v>
      </c>
      <c r="M183" s="19" t="s">
        <v>907</v>
      </c>
      <c r="N183" s="19"/>
      <c r="Q183" s="263"/>
    </row>
    <row r="184" spans="1:17" hidden="1" x14ac:dyDescent="0.25">
      <c r="A184" s="20" t="s">
        <v>33</v>
      </c>
      <c r="B184" s="20" t="s">
        <v>20</v>
      </c>
      <c r="C184" s="20" t="s">
        <v>44</v>
      </c>
      <c r="D184" s="21" t="s">
        <v>0</v>
      </c>
      <c r="E184" s="20"/>
      <c r="F184" s="22" t="s">
        <v>590</v>
      </c>
      <c r="G184" s="23" t="s">
        <v>22</v>
      </c>
      <c r="H184" s="23" t="s">
        <v>86</v>
      </c>
      <c r="I184" s="23" t="s">
        <v>907</v>
      </c>
      <c r="J184" s="23" t="s">
        <v>907</v>
      </c>
      <c r="K184" s="23" t="s">
        <v>907</v>
      </c>
      <c r="M184" s="23" t="s">
        <v>907</v>
      </c>
      <c r="N184" s="23"/>
      <c r="Q184" s="263"/>
    </row>
    <row r="185" spans="1:17" x14ac:dyDescent="0.25">
      <c r="A185" s="24" t="s">
        <v>33</v>
      </c>
      <c r="B185" s="24" t="s">
        <v>20</v>
      </c>
      <c r="C185" s="24" t="s">
        <v>44</v>
      </c>
      <c r="D185" s="24" t="s">
        <v>0</v>
      </c>
      <c r="E185" s="24" t="s">
        <v>1</v>
      </c>
      <c r="F185" s="5" t="s">
        <v>149</v>
      </c>
      <c r="G185" s="2" t="s">
        <v>22</v>
      </c>
      <c r="H185" s="2" t="s">
        <v>86</v>
      </c>
      <c r="I185" s="24" t="s">
        <v>908</v>
      </c>
      <c r="J185" s="24" t="s">
        <v>908</v>
      </c>
      <c r="K185" s="24" t="s">
        <v>908</v>
      </c>
      <c r="M185" s="24" t="s">
        <v>908</v>
      </c>
      <c r="N185" s="24"/>
      <c r="P185" s="1" t="str">
        <f t="shared" si="4"/>
        <v>21301001</v>
      </c>
      <c r="Q185" s="263" t="str">
        <f t="shared" si="5"/>
        <v>Reserve Service Charge</v>
      </c>
    </row>
    <row r="186" spans="1:17" x14ac:dyDescent="0.25">
      <c r="A186" s="24" t="s">
        <v>33</v>
      </c>
      <c r="B186" s="24" t="s">
        <v>20</v>
      </c>
      <c r="C186" s="24" t="s">
        <v>44</v>
      </c>
      <c r="D186" s="24" t="s">
        <v>0</v>
      </c>
      <c r="E186" s="24" t="s">
        <v>3</v>
      </c>
      <c r="F186" s="5" t="s">
        <v>150</v>
      </c>
      <c r="G186" s="2" t="s">
        <v>22</v>
      </c>
      <c r="H186" s="2" t="s">
        <v>86</v>
      </c>
      <c r="I186" s="2" t="s">
        <v>907</v>
      </c>
      <c r="J186" s="2" t="s">
        <v>907</v>
      </c>
      <c r="K186" s="2" t="s">
        <v>907</v>
      </c>
      <c r="M186" s="2" t="s">
        <v>907</v>
      </c>
      <c r="N186" s="24"/>
      <c r="P186" s="1" t="str">
        <f t="shared" si="4"/>
        <v>21301002</v>
      </c>
      <c r="Q186" s="263" t="str">
        <f t="shared" si="5"/>
        <v>Reserve THR</v>
      </c>
    </row>
    <row r="187" spans="1:17" x14ac:dyDescent="0.25">
      <c r="A187" s="24" t="s">
        <v>33</v>
      </c>
      <c r="B187" s="24" t="s">
        <v>20</v>
      </c>
      <c r="C187" s="24" t="s">
        <v>44</v>
      </c>
      <c r="D187" s="24" t="s">
        <v>0</v>
      </c>
      <c r="E187" s="24" t="s">
        <v>5</v>
      </c>
      <c r="F187" s="5" t="s">
        <v>151</v>
      </c>
      <c r="G187" s="2" t="s">
        <v>22</v>
      </c>
      <c r="H187" s="2" t="s">
        <v>86</v>
      </c>
      <c r="I187" s="2" t="s">
        <v>907</v>
      </c>
      <c r="J187" s="2" t="s">
        <v>907</v>
      </c>
      <c r="K187" s="2" t="s">
        <v>907</v>
      </c>
      <c r="M187" s="2" t="s">
        <v>907</v>
      </c>
      <c r="N187" s="24"/>
      <c r="P187" s="1" t="str">
        <f t="shared" si="4"/>
        <v>21301003</v>
      </c>
      <c r="Q187" s="263" t="str">
        <f t="shared" si="5"/>
        <v>Reserve Bonus</v>
      </c>
    </row>
    <row r="188" spans="1:17" x14ac:dyDescent="0.25">
      <c r="A188" s="24" t="s">
        <v>33</v>
      </c>
      <c r="B188" s="24" t="s">
        <v>20</v>
      </c>
      <c r="C188" s="24" t="s">
        <v>44</v>
      </c>
      <c r="D188" s="24" t="s">
        <v>0</v>
      </c>
      <c r="E188" s="24" t="s">
        <v>7</v>
      </c>
      <c r="F188" s="5" t="s">
        <v>153</v>
      </c>
      <c r="G188" s="2" t="s">
        <v>22</v>
      </c>
      <c r="H188" s="2" t="s">
        <v>86</v>
      </c>
      <c r="I188" s="24" t="s">
        <v>908</v>
      </c>
      <c r="J188" s="24" t="s">
        <v>908</v>
      </c>
      <c r="K188" s="24" t="s">
        <v>908</v>
      </c>
      <c r="M188" s="24" t="s">
        <v>908</v>
      </c>
      <c r="N188" s="24"/>
      <c r="P188" s="1" t="str">
        <f t="shared" si="4"/>
        <v>21301004</v>
      </c>
      <c r="Q188" s="263" t="str">
        <f t="shared" si="5"/>
        <v>Reserve Loss and Breakage</v>
      </c>
    </row>
    <row r="189" spans="1:17" x14ac:dyDescent="0.25">
      <c r="A189" s="24" t="s">
        <v>33</v>
      </c>
      <c r="B189" s="24" t="s">
        <v>20</v>
      </c>
      <c r="C189" s="24" t="s">
        <v>44</v>
      </c>
      <c r="D189" s="24" t="s">
        <v>0</v>
      </c>
      <c r="E189" s="24" t="s">
        <v>9</v>
      </c>
      <c r="F189" s="5" t="s">
        <v>548</v>
      </c>
      <c r="G189" s="2" t="s">
        <v>22</v>
      </c>
      <c r="H189" s="2" t="s">
        <v>86</v>
      </c>
      <c r="I189" s="24" t="s">
        <v>908</v>
      </c>
      <c r="J189" s="24" t="s">
        <v>908</v>
      </c>
      <c r="K189" s="24" t="s">
        <v>908</v>
      </c>
      <c r="M189" s="24" t="s">
        <v>908</v>
      </c>
      <c r="N189" s="24"/>
      <c r="P189" s="1" t="str">
        <f t="shared" si="4"/>
        <v>21301005</v>
      </c>
      <c r="Q189" s="263" t="str">
        <f t="shared" si="5"/>
        <v>Reserve Staff Development</v>
      </c>
    </row>
    <row r="190" spans="1:17" x14ac:dyDescent="0.25">
      <c r="A190" s="24" t="s">
        <v>33</v>
      </c>
      <c r="B190" s="24" t="s">
        <v>20</v>
      </c>
      <c r="C190" s="24" t="s">
        <v>44</v>
      </c>
      <c r="D190" s="24" t="s">
        <v>0</v>
      </c>
      <c r="E190" s="24" t="s">
        <v>10</v>
      </c>
      <c r="F190" s="5" t="s">
        <v>148</v>
      </c>
      <c r="G190" s="2" t="s">
        <v>22</v>
      </c>
      <c r="H190" s="2" t="s">
        <v>86</v>
      </c>
      <c r="I190" s="24" t="s">
        <v>908</v>
      </c>
      <c r="J190" s="24" t="s">
        <v>908</v>
      </c>
      <c r="K190" s="24" t="s">
        <v>908</v>
      </c>
      <c r="M190" s="24" t="s">
        <v>908</v>
      </c>
      <c r="N190" s="24"/>
      <c r="P190" s="1" t="str">
        <f t="shared" si="4"/>
        <v>21301006</v>
      </c>
      <c r="Q190" s="263" t="str">
        <f t="shared" si="5"/>
        <v>Reserve Employee Benefit</v>
      </c>
    </row>
    <row r="191" spans="1:17" x14ac:dyDescent="0.25">
      <c r="A191" s="24" t="s">
        <v>33</v>
      </c>
      <c r="B191" s="24" t="s">
        <v>20</v>
      </c>
      <c r="C191" s="24" t="s">
        <v>44</v>
      </c>
      <c r="D191" s="24" t="s">
        <v>0</v>
      </c>
      <c r="E191" s="24" t="s">
        <v>43</v>
      </c>
      <c r="F191" s="5" t="s">
        <v>591</v>
      </c>
      <c r="G191" s="2" t="s">
        <v>22</v>
      </c>
      <c r="H191" s="2" t="s">
        <v>86</v>
      </c>
      <c r="I191" s="24" t="s">
        <v>908</v>
      </c>
      <c r="J191" s="24" t="s">
        <v>908</v>
      </c>
      <c r="K191" s="24" t="s">
        <v>908</v>
      </c>
      <c r="M191" s="24" t="s">
        <v>908</v>
      </c>
      <c r="N191" s="24"/>
      <c r="P191" s="1" t="str">
        <f t="shared" si="4"/>
        <v>21301999</v>
      </c>
      <c r="Q191" s="263" t="str">
        <f t="shared" si="5"/>
        <v>Reserve Other Employee Related Expenses</v>
      </c>
    </row>
    <row r="192" spans="1:17" hidden="1" x14ac:dyDescent="0.25">
      <c r="A192" s="20" t="s">
        <v>33</v>
      </c>
      <c r="B192" s="20" t="s">
        <v>20</v>
      </c>
      <c r="C192" s="20" t="s">
        <v>44</v>
      </c>
      <c r="D192" s="21" t="s">
        <v>2</v>
      </c>
      <c r="E192" s="20"/>
      <c r="F192" s="22" t="s">
        <v>152</v>
      </c>
      <c r="G192" s="23" t="s">
        <v>22</v>
      </c>
      <c r="H192" s="23" t="s">
        <v>86</v>
      </c>
      <c r="I192" s="23" t="s">
        <v>907</v>
      </c>
      <c r="J192" s="23" t="s">
        <v>907</v>
      </c>
      <c r="K192" s="23" t="s">
        <v>907</v>
      </c>
      <c r="M192" s="23" t="s">
        <v>907</v>
      </c>
      <c r="N192" s="23"/>
      <c r="Q192" s="263"/>
    </row>
    <row r="193" spans="1:17" x14ac:dyDescent="0.25">
      <c r="A193" s="24" t="s">
        <v>33</v>
      </c>
      <c r="B193" s="24" t="s">
        <v>20</v>
      </c>
      <c r="C193" s="24" t="s">
        <v>44</v>
      </c>
      <c r="D193" s="24" t="s">
        <v>2</v>
      </c>
      <c r="E193" s="24" t="s">
        <v>1</v>
      </c>
      <c r="F193" s="5" t="s">
        <v>888</v>
      </c>
      <c r="G193" s="2" t="s">
        <v>22</v>
      </c>
      <c r="H193" s="2" t="s">
        <v>86</v>
      </c>
      <c r="I193" s="24" t="s">
        <v>908</v>
      </c>
      <c r="J193" s="24" t="s">
        <v>908</v>
      </c>
      <c r="K193" s="24" t="s">
        <v>908</v>
      </c>
      <c r="M193" s="24" t="s">
        <v>908</v>
      </c>
      <c r="N193" s="24"/>
      <c r="P193" s="1" t="str">
        <f t="shared" si="4"/>
        <v>21302001</v>
      </c>
      <c r="Q193" s="263" t="str">
        <f t="shared" si="5"/>
        <v>Reserve Replacement China/Glass/Silverware</v>
      </c>
    </row>
    <row r="194" spans="1:17" x14ac:dyDescent="0.25">
      <c r="A194" s="24" t="s">
        <v>33</v>
      </c>
      <c r="B194" s="24" t="s">
        <v>20</v>
      </c>
      <c r="C194" s="24" t="s">
        <v>44</v>
      </c>
      <c r="D194" s="24" t="s">
        <v>2</v>
      </c>
      <c r="E194" s="24" t="s">
        <v>3</v>
      </c>
      <c r="F194" s="5" t="s">
        <v>889</v>
      </c>
      <c r="G194" s="2" t="s">
        <v>22</v>
      </c>
      <c r="H194" s="2" t="s">
        <v>86</v>
      </c>
      <c r="I194" s="24" t="s">
        <v>908</v>
      </c>
      <c r="J194" s="24" t="s">
        <v>908</v>
      </c>
      <c r="K194" s="24" t="s">
        <v>908</v>
      </c>
      <c r="M194" s="24" t="s">
        <v>908</v>
      </c>
      <c r="N194" s="24"/>
      <c r="P194" s="1" t="str">
        <f t="shared" si="4"/>
        <v>21302002</v>
      </c>
      <c r="Q194" s="263" t="str">
        <f t="shared" si="5"/>
        <v>Reserve Replacement Linen and Towel</v>
      </c>
    </row>
    <row r="195" spans="1:17" x14ac:dyDescent="0.25">
      <c r="A195" s="24" t="s">
        <v>33</v>
      </c>
      <c r="B195" s="24" t="s">
        <v>20</v>
      </c>
      <c r="C195" s="24" t="s">
        <v>44</v>
      </c>
      <c r="D195" s="24" t="s">
        <v>2</v>
      </c>
      <c r="E195" s="24" t="s">
        <v>5</v>
      </c>
      <c r="F195" s="5" t="s">
        <v>592</v>
      </c>
      <c r="G195" s="2" t="s">
        <v>22</v>
      </c>
      <c r="H195" s="2" t="s">
        <v>86</v>
      </c>
      <c r="I195" s="24" t="s">
        <v>908</v>
      </c>
      <c r="J195" s="24" t="s">
        <v>908</v>
      </c>
      <c r="K195" s="24" t="s">
        <v>908</v>
      </c>
      <c r="M195" s="24" t="s">
        <v>908</v>
      </c>
      <c r="N195" s="24"/>
      <c r="P195" s="1" t="str">
        <f t="shared" si="4"/>
        <v>21302003</v>
      </c>
      <c r="Q195" s="263" t="str">
        <f t="shared" si="5"/>
        <v>Reserve Replacement Uniform</v>
      </c>
    </row>
    <row r="196" spans="1:17" x14ac:dyDescent="0.25">
      <c r="A196" s="24" t="s">
        <v>33</v>
      </c>
      <c r="B196" s="24" t="s">
        <v>20</v>
      </c>
      <c r="C196" s="24" t="s">
        <v>44</v>
      </c>
      <c r="D196" s="24" t="s">
        <v>2</v>
      </c>
      <c r="E196" s="24" t="s">
        <v>7</v>
      </c>
      <c r="F196" s="5" t="s">
        <v>154</v>
      </c>
      <c r="G196" s="2" t="s">
        <v>22</v>
      </c>
      <c r="H196" s="2" t="s">
        <v>86</v>
      </c>
      <c r="I196" s="24" t="s">
        <v>908</v>
      </c>
      <c r="J196" s="24" t="s">
        <v>908</v>
      </c>
      <c r="K196" s="24" t="s">
        <v>908</v>
      </c>
      <c r="M196" s="24" t="s">
        <v>908</v>
      </c>
      <c r="N196" s="24"/>
      <c r="P196" s="1" t="str">
        <f t="shared" si="4"/>
        <v>21302004</v>
      </c>
      <c r="Q196" s="263" t="str">
        <f t="shared" si="5"/>
        <v>Reserve Replacement FFE</v>
      </c>
    </row>
    <row r="197" spans="1:17" hidden="1" x14ac:dyDescent="0.25">
      <c r="A197" s="16" t="s">
        <v>33</v>
      </c>
      <c r="B197" s="16" t="s">
        <v>20</v>
      </c>
      <c r="C197" s="16" t="s">
        <v>54</v>
      </c>
      <c r="D197" s="16"/>
      <c r="E197" s="16"/>
      <c r="F197" s="18" t="s">
        <v>155</v>
      </c>
      <c r="G197" s="19" t="s">
        <v>22</v>
      </c>
      <c r="H197" s="19" t="s">
        <v>86</v>
      </c>
      <c r="I197" s="19" t="s">
        <v>907</v>
      </c>
      <c r="J197" s="19" t="s">
        <v>907</v>
      </c>
      <c r="K197" s="19" t="s">
        <v>907</v>
      </c>
      <c r="M197" s="19" t="s">
        <v>907</v>
      </c>
      <c r="N197" s="19"/>
      <c r="Q197" s="263"/>
    </row>
    <row r="198" spans="1:17" hidden="1" x14ac:dyDescent="0.25">
      <c r="A198" s="20" t="s">
        <v>33</v>
      </c>
      <c r="B198" s="20" t="s">
        <v>20</v>
      </c>
      <c r="C198" s="20" t="s">
        <v>54</v>
      </c>
      <c r="D198" s="21" t="s">
        <v>0</v>
      </c>
      <c r="E198" s="20"/>
      <c r="F198" s="22" t="s">
        <v>156</v>
      </c>
      <c r="G198" s="23" t="s">
        <v>22</v>
      </c>
      <c r="H198" s="23" t="s">
        <v>86</v>
      </c>
      <c r="I198" s="23" t="s">
        <v>907</v>
      </c>
      <c r="J198" s="23" t="s">
        <v>907</v>
      </c>
      <c r="K198" s="23" t="s">
        <v>907</v>
      </c>
      <c r="M198" s="23" t="s">
        <v>907</v>
      </c>
      <c r="N198" s="23"/>
      <c r="Q198" s="263"/>
    </row>
    <row r="199" spans="1:17" x14ac:dyDescent="0.25">
      <c r="A199" s="24" t="s">
        <v>33</v>
      </c>
      <c r="B199" s="24" t="s">
        <v>20</v>
      </c>
      <c r="C199" s="24" t="s">
        <v>54</v>
      </c>
      <c r="D199" s="24" t="s">
        <v>0</v>
      </c>
      <c r="E199" s="24" t="s">
        <v>1</v>
      </c>
      <c r="F199" s="5" t="s">
        <v>157</v>
      </c>
      <c r="G199" s="2" t="s">
        <v>22</v>
      </c>
      <c r="H199" s="2" t="s">
        <v>86</v>
      </c>
      <c r="I199" s="24" t="s">
        <v>908</v>
      </c>
      <c r="J199" s="24" t="s">
        <v>908</v>
      </c>
      <c r="K199" s="24" t="s">
        <v>908</v>
      </c>
      <c r="M199" s="24" t="s">
        <v>908</v>
      </c>
      <c r="N199" s="24"/>
      <c r="P199" s="1" t="str">
        <f t="shared" ref="P199:P260" si="6">CONCATENATE(A199,B199,C199,D199,E199)</f>
        <v>21401001</v>
      </c>
      <c r="Q199" s="263" t="str">
        <f t="shared" si="5"/>
        <v>Guest Deposit</v>
      </c>
    </row>
    <row r="200" spans="1:17" x14ac:dyDescent="0.25">
      <c r="A200" s="24" t="s">
        <v>33</v>
      </c>
      <c r="B200" s="24" t="s">
        <v>20</v>
      </c>
      <c r="C200" s="24" t="s">
        <v>54</v>
      </c>
      <c r="D200" s="24" t="s">
        <v>0</v>
      </c>
      <c r="E200" s="24" t="s">
        <v>3</v>
      </c>
      <c r="F200" s="5" t="s">
        <v>158</v>
      </c>
      <c r="G200" s="2" t="s">
        <v>22</v>
      </c>
      <c r="H200" s="2" t="s">
        <v>86</v>
      </c>
      <c r="I200" s="24" t="s">
        <v>908</v>
      </c>
      <c r="J200" s="24" t="s">
        <v>908</v>
      </c>
      <c r="K200" s="24" t="s">
        <v>908</v>
      </c>
      <c r="M200" s="24" t="s">
        <v>908</v>
      </c>
      <c r="N200" s="24"/>
      <c r="P200" s="1" t="str">
        <f t="shared" si="6"/>
        <v>21401002</v>
      </c>
      <c r="Q200" s="263" t="str">
        <f t="shared" si="5"/>
        <v>Account Deposit</v>
      </c>
    </row>
    <row r="201" spans="1:17" x14ac:dyDescent="0.25">
      <c r="A201" s="24" t="s">
        <v>33</v>
      </c>
      <c r="B201" s="24" t="s">
        <v>20</v>
      </c>
      <c r="C201" s="24" t="s">
        <v>54</v>
      </c>
      <c r="D201" s="24" t="s">
        <v>0</v>
      </c>
      <c r="E201" s="24" t="s">
        <v>5</v>
      </c>
      <c r="F201" s="5" t="s">
        <v>847</v>
      </c>
      <c r="G201" s="2" t="s">
        <v>22</v>
      </c>
      <c r="H201" s="2" t="s">
        <v>86</v>
      </c>
      <c r="I201" s="24" t="s">
        <v>908</v>
      </c>
      <c r="J201" s="24" t="s">
        <v>908</v>
      </c>
      <c r="K201" s="24" t="s">
        <v>908</v>
      </c>
      <c r="M201" s="24" t="s">
        <v>908</v>
      </c>
      <c r="N201" s="24"/>
      <c r="P201" s="1" t="str">
        <f t="shared" si="6"/>
        <v>21401003</v>
      </c>
      <c r="Q201" s="263" t="str">
        <f t="shared" ref="Q201:Q264" si="7">F201</f>
        <v>Deferred Income</v>
      </c>
    </row>
    <row r="202" spans="1:17" x14ac:dyDescent="0.25">
      <c r="A202" s="24" t="s">
        <v>33</v>
      </c>
      <c r="B202" s="24" t="s">
        <v>20</v>
      </c>
      <c r="C202" s="24" t="s">
        <v>54</v>
      </c>
      <c r="D202" s="24" t="s">
        <v>0</v>
      </c>
      <c r="E202" s="24" t="s">
        <v>43</v>
      </c>
      <c r="F202" s="5" t="s">
        <v>159</v>
      </c>
      <c r="G202" s="2" t="s">
        <v>22</v>
      </c>
      <c r="H202" s="2" t="s">
        <v>86</v>
      </c>
      <c r="I202" s="24" t="s">
        <v>908</v>
      </c>
      <c r="J202" s="24" t="s">
        <v>908</v>
      </c>
      <c r="K202" s="24" t="s">
        <v>908</v>
      </c>
      <c r="M202" s="24" t="s">
        <v>908</v>
      </c>
      <c r="N202" s="24"/>
      <c r="P202" s="1" t="str">
        <f t="shared" si="6"/>
        <v>21401999</v>
      </c>
      <c r="Q202" s="263" t="str">
        <f t="shared" si="7"/>
        <v>Other Liability Deposit</v>
      </c>
    </row>
    <row r="203" spans="1:17" hidden="1" x14ac:dyDescent="0.25">
      <c r="A203" s="12" t="s">
        <v>33</v>
      </c>
      <c r="B203" s="12" t="s">
        <v>33</v>
      </c>
      <c r="C203" s="12"/>
      <c r="D203" s="12"/>
      <c r="E203" s="12"/>
      <c r="F203" s="13" t="s">
        <v>160</v>
      </c>
      <c r="G203" s="14" t="s">
        <v>22</v>
      </c>
      <c r="H203" s="14" t="s">
        <v>86</v>
      </c>
      <c r="I203" s="14" t="s">
        <v>907</v>
      </c>
      <c r="J203" s="14" t="s">
        <v>907</v>
      </c>
      <c r="K203" s="14" t="s">
        <v>907</v>
      </c>
      <c r="M203" s="14" t="s">
        <v>907</v>
      </c>
      <c r="N203" s="14"/>
      <c r="Q203" s="263"/>
    </row>
    <row r="204" spans="1:17" hidden="1" x14ac:dyDescent="0.25">
      <c r="A204" s="16" t="s">
        <v>33</v>
      </c>
      <c r="B204" s="16" t="s">
        <v>33</v>
      </c>
      <c r="C204" s="16" t="s">
        <v>20</v>
      </c>
      <c r="D204" s="17"/>
      <c r="E204" s="16"/>
      <c r="F204" s="18" t="s">
        <v>579</v>
      </c>
      <c r="G204" s="19" t="s">
        <v>22</v>
      </c>
      <c r="H204" s="19" t="s">
        <v>86</v>
      </c>
      <c r="I204" s="19" t="s">
        <v>907</v>
      </c>
      <c r="J204" s="19" t="s">
        <v>907</v>
      </c>
      <c r="K204" s="19" t="s">
        <v>907</v>
      </c>
      <c r="M204" s="19" t="s">
        <v>907</v>
      </c>
      <c r="N204" s="19"/>
      <c r="Q204" s="263"/>
    </row>
    <row r="205" spans="1:17" hidden="1" x14ac:dyDescent="0.25">
      <c r="A205" s="20" t="s">
        <v>33</v>
      </c>
      <c r="B205" s="20" t="s">
        <v>33</v>
      </c>
      <c r="C205" s="20" t="s">
        <v>20</v>
      </c>
      <c r="D205" s="20" t="s">
        <v>0</v>
      </c>
      <c r="E205" s="20"/>
      <c r="F205" s="22" t="s">
        <v>161</v>
      </c>
      <c r="G205" s="23" t="s">
        <v>22</v>
      </c>
      <c r="H205" s="23" t="s">
        <v>86</v>
      </c>
      <c r="I205" s="23" t="s">
        <v>907</v>
      </c>
      <c r="J205" s="23" t="s">
        <v>907</v>
      </c>
      <c r="K205" s="23" t="s">
        <v>907</v>
      </c>
      <c r="M205" s="23" t="s">
        <v>907</v>
      </c>
      <c r="N205" s="23"/>
      <c r="Q205" s="263"/>
    </row>
    <row r="206" spans="1:17" x14ac:dyDescent="0.25">
      <c r="A206" s="24" t="s">
        <v>33</v>
      </c>
      <c r="B206" s="24" t="s">
        <v>33</v>
      </c>
      <c r="C206" s="24" t="s">
        <v>20</v>
      </c>
      <c r="D206" s="24" t="s">
        <v>0</v>
      </c>
      <c r="E206" s="24" t="s">
        <v>1</v>
      </c>
      <c r="F206" s="5" t="s">
        <v>162</v>
      </c>
      <c r="G206" s="2" t="s">
        <v>22</v>
      </c>
      <c r="H206" s="2" t="s">
        <v>86</v>
      </c>
      <c r="I206" s="24" t="s">
        <v>908</v>
      </c>
      <c r="J206" s="24" t="s">
        <v>908</v>
      </c>
      <c r="K206" s="24" t="s">
        <v>908</v>
      </c>
      <c r="M206" s="24" t="s">
        <v>908</v>
      </c>
      <c r="N206" s="24"/>
      <c r="P206" s="1" t="str">
        <f t="shared" si="6"/>
        <v>22101001</v>
      </c>
      <c r="Q206" s="263" t="str">
        <f t="shared" si="7"/>
        <v>Bank  Loan - Bank …………………………</v>
      </c>
    </row>
    <row r="207" spans="1:17" x14ac:dyDescent="0.25">
      <c r="A207" s="24" t="s">
        <v>33</v>
      </c>
      <c r="B207" s="24" t="s">
        <v>33</v>
      </c>
      <c r="C207" s="24" t="s">
        <v>20</v>
      </c>
      <c r="D207" s="24" t="s">
        <v>0</v>
      </c>
      <c r="E207" s="24" t="s">
        <v>3</v>
      </c>
      <c r="F207" s="5" t="s">
        <v>162</v>
      </c>
      <c r="G207" s="2" t="s">
        <v>22</v>
      </c>
      <c r="H207" s="2" t="s">
        <v>86</v>
      </c>
      <c r="I207" s="24" t="s">
        <v>908</v>
      </c>
      <c r="J207" s="24" t="s">
        <v>908</v>
      </c>
      <c r="K207" s="24" t="s">
        <v>908</v>
      </c>
      <c r="M207" s="24" t="s">
        <v>908</v>
      </c>
      <c r="N207" s="24"/>
      <c r="P207" s="1" t="str">
        <f t="shared" si="6"/>
        <v>22101002</v>
      </c>
      <c r="Q207" s="263" t="str">
        <f t="shared" si="7"/>
        <v>Bank  Loan - Bank …………………………</v>
      </c>
    </row>
    <row r="208" spans="1:17" hidden="1" x14ac:dyDescent="0.25">
      <c r="A208" s="20" t="s">
        <v>33</v>
      </c>
      <c r="B208" s="20" t="s">
        <v>33</v>
      </c>
      <c r="C208" s="20" t="s">
        <v>20</v>
      </c>
      <c r="D208" s="20" t="s">
        <v>2</v>
      </c>
      <c r="E208" s="20"/>
      <c r="F208" s="22" t="s">
        <v>529</v>
      </c>
      <c r="G208" s="23" t="s">
        <v>22</v>
      </c>
      <c r="H208" s="23" t="s">
        <v>23</v>
      </c>
      <c r="I208" s="23" t="s">
        <v>907</v>
      </c>
      <c r="J208" s="23" t="s">
        <v>907</v>
      </c>
      <c r="K208" s="23" t="s">
        <v>907</v>
      </c>
      <c r="M208" s="23" t="s">
        <v>907</v>
      </c>
      <c r="N208" s="23"/>
      <c r="Q208" s="263"/>
    </row>
    <row r="209" spans="1:17" x14ac:dyDescent="0.25">
      <c r="A209" s="24" t="s">
        <v>33</v>
      </c>
      <c r="B209" s="24" t="s">
        <v>33</v>
      </c>
      <c r="C209" s="24" t="s">
        <v>20</v>
      </c>
      <c r="D209" s="24" t="s">
        <v>2</v>
      </c>
      <c r="E209" s="24" t="s">
        <v>1</v>
      </c>
      <c r="F209" s="5" t="s">
        <v>530</v>
      </c>
      <c r="G209" s="2" t="s">
        <v>22</v>
      </c>
      <c r="H209" s="2" t="s">
        <v>23</v>
      </c>
      <c r="I209" s="24" t="s">
        <v>908</v>
      </c>
      <c r="J209" s="24" t="s">
        <v>908</v>
      </c>
      <c r="K209" s="24" t="s">
        <v>908</v>
      </c>
      <c r="M209" s="24" t="s">
        <v>908</v>
      </c>
      <c r="N209" s="24"/>
      <c r="P209" s="1" t="str">
        <f t="shared" si="6"/>
        <v>22102001</v>
      </c>
      <c r="Q209" s="263" t="str">
        <f t="shared" si="7"/>
        <v>Unamortized Provision - Bank …………………………</v>
      </c>
    </row>
    <row r="210" spans="1:17" x14ac:dyDescent="0.25">
      <c r="A210" s="24" t="s">
        <v>33</v>
      </c>
      <c r="B210" s="24" t="s">
        <v>33</v>
      </c>
      <c r="C210" s="24" t="s">
        <v>20</v>
      </c>
      <c r="D210" s="24" t="s">
        <v>2</v>
      </c>
      <c r="E210" s="24" t="s">
        <v>3</v>
      </c>
      <c r="F210" s="5" t="s">
        <v>530</v>
      </c>
      <c r="G210" s="2" t="s">
        <v>22</v>
      </c>
      <c r="H210" s="2" t="s">
        <v>23</v>
      </c>
      <c r="I210" s="24" t="s">
        <v>908</v>
      </c>
      <c r="J210" s="24" t="s">
        <v>908</v>
      </c>
      <c r="K210" s="24" t="s">
        <v>908</v>
      </c>
      <c r="M210" s="24" t="s">
        <v>908</v>
      </c>
      <c r="N210" s="24"/>
      <c r="P210" s="1" t="str">
        <f t="shared" si="6"/>
        <v>22102002</v>
      </c>
      <c r="Q210" s="263" t="str">
        <f t="shared" si="7"/>
        <v>Unamortized Provision - Bank …………………………</v>
      </c>
    </row>
    <row r="211" spans="1:17" hidden="1" x14ac:dyDescent="0.25">
      <c r="A211" s="16" t="s">
        <v>33</v>
      </c>
      <c r="B211" s="16" t="s">
        <v>33</v>
      </c>
      <c r="C211" s="16" t="s">
        <v>33</v>
      </c>
      <c r="D211" s="17"/>
      <c r="E211" s="16"/>
      <c r="F211" s="18" t="s">
        <v>163</v>
      </c>
      <c r="G211" s="19" t="s">
        <v>22</v>
      </c>
      <c r="H211" s="19" t="s">
        <v>86</v>
      </c>
      <c r="I211" s="19" t="s">
        <v>907</v>
      </c>
      <c r="J211" s="19" t="s">
        <v>907</v>
      </c>
      <c r="K211" s="19" t="s">
        <v>907</v>
      </c>
      <c r="M211" s="19" t="s">
        <v>907</v>
      </c>
      <c r="N211" s="19"/>
      <c r="Q211" s="263"/>
    </row>
    <row r="212" spans="1:17" hidden="1" x14ac:dyDescent="0.25">
      <c r="A212" s="20" t="s">
        <v>33</v>
      </c>
      <c r="B212" s="20" t="s">
        <v>33</v>
      </c>
      <c r="C212" s="20" t="s">
        <v>33</v>
      </c>
      <c r="D212" s="20" t="s">
        <v>0</v>
      </c>
      <c r="E212" s="20"/>
      <c r="F212" s="15" t="s">
        <v>580</v>
      </c>
      <c r="G212" s="23" t="s">
        <v>22</v>
      </c>
      <c r="H212" s="23" t="s">
        <v>86</v>
      </c>
      <c r="I212" s="20" t="s">
        <v>907</v>
      </c>
      <c r="J212" s="20" t="s">
        <v>907</v>
      </c>
      <c r="K212" s="20" t="s">
        <v>907</v>
      </c>
      <c r="M212" s="20" t="s">
        <v>907</v>
      </c>
      <c r="N212" s="20"/>
      <c r="Q212" s="263"/>
    </row>
    <row r="213" spans="1:17" x14ac:dyDescent="0.25">
      <c r="A213" s="24" t="s">
        <v>33</v>
      </c>
      <c r="B213" s="24" t="s">
        <v>33</v>
      </c>
      <c r="C213" s="24" t="s">
        <v>33</v>
      </c>
      <c r="D213" s="24" t="s">
        <v>0</v>
      </c>
      <c r="E213" s="24" t="s">
        <v>1</v>
      </c>
      <c r="F213" s="5" t="s">
        <v>164</v>
      </c>
      <c r="G213" s="2" t="s">
        <v>22</v>
      </c>
      <c r="H213" s="2" t="s">
        <v>86</v>
      </c>
      <c r="I213" s="24" t="s">
        <v>908</v>
      </c>
      <c r="J213" s="24" t="s">
        <v>908</v>
      </c>
      <c r="K213" s="24" t="s">
        <v>908</v>
      </c>
      <c r="M213" s="24" t="s">
        <v>908</v>
      </c>
      <c r="N213" s="24"/>
      <c r="P213" s="1" t="str">
        <f t="shared" si="6"/>
        <v>22201001</v>
      </c>
      <c r="Q213" s="263" t="str">
        <f t="shared" si="7"/>
        <v>Deferred Tax Liability</v>
      </c>
    </row>
    <row r="214" spans="1:17" x14ac:dyDescent="0.25">
      <c r="A214" s="24" t="s">
        <v>33</v>
      </c>
      <c r="B214" s="24" t="s">
        <v>33</v>
      </c>
      <c r="C214" s="24" t="s">
        <v>33</v>
      </c>
      <c r="D214" s="24" t="s">
        <v>0</v>
      </c>
      <c r="E214" s="24" t="s">
        <v>3</v>
      </c>
      <c r="F214" s="5" t="s">
        <v>165</v>
      </c>
      <c r="G214" s="2" t="s">
        <v>22</v>
      </c>
      <c r="H214" s="2" t="s">
        <v>86</v>
      </c>
      <c r="I214" s="24" t="s">
        <v>908</v>
      </c>
      <c r="J214" s="24" t="s">
        <v>908</v>
      </c>
      <c r="K214" s="24" t="s">
        <v>908</v>
      </c>
      <c r="M214" s="24" t="s">
        <v>908</v>
      </c>
      <c r="N214" s="24"/>
      <c r="P214" s="1" t="str">
        <f t="shared" si="6"/>
        <v>22201002</v>
      </c>
      <c r="Q214" s="263" t="str">
        <f t="shared" si="7"/>
        <v>Leased Payable</v>
      </c>
    </row>
    <row r="215" spans="1:17" hidden="1" x14ac:dyDescent="0.25">
      <c r="A215" s="8" t="s">
        <v>44</v>
      </c>
      <c r="B215" s="8"/>
      <c r="C215" s="8"/>
      <c r="D215" s="8"/>
      <c r="E215" s="8"/>
      <c r="F215" s="9" t="s">
        <v>166</v>
      </c>
      <c r="G215" s="10" t="s">
        <v>22</v>
      </c>
      <c r="H215" s="10" t="s">
        <v>86</v>
      </c>
      <c r="I215" s="10" t="s">
        <v>907</v>
      </c>
      <c r="J215" s="10" t="s">
        <v>907</v>
      </c>
      <c r="K215" s="10" t="s">
        <v>907</v>
      </c>
      <c r="M215" s="10" t="s">
        <v>907</v>
      </c>
      <c r="N215" s="10"/>
      <c r="Q215" s="263"/>
    </row>
    <row r="216" spans="1:17" hidden="1" x14ac:dyDescent="0.25">
      <c r="A216" s="12" t="s">
        <v>44</v>
      </c>
      <c r="B216" s="12" t="s">
        <v>20</v>
      </c>
      <c r="C216" s="12"/>
      <c r="D216" s="12"/>
      <c r="E216" s="12"/>
      <c r="F216" s="13" t="s">
        <v>558</v>
      </c>
      <c r="G216" s="14" t="s">
        <v>22</v>
      </c>
      <c r="H216" s="14" t="s">
        <v>86</v>
      </c>
      <c r="I216" s="14" t="s">
        <v>907</v>
      </c>
      <c r="J216" s="14" t="s">
        <v>907</v>
      </c>
      <c r="K216" s="14" t="s">
        <v>907</v>
      </c>
      <c r="M216" s="14" t="s">
        <v>907</v>
      </c>
      <c r="N216" s="14"/>
      <c r="Q216" s="263"/>
    </row>
    <row r="217" spans="1:17" hidden="1" x14ac:dyDescent="0.25">
      <c r="A217" s="16" t="s">
        <v>44</v>
      </c>
      <c r="B217" s="16" t="s">
        <v>20</v>
      </c>
      <c r="C217" s="16" t="s">
        <v>20</v>
      </c>
      <c r="D217" s="16"/>
      <c r="E217" s="16"/>
      <c r="F217" s="18" t="s">
        <v>168</v>
      </c>
      <c r="G217" s="19" t="s">
        <v>22</v>
      </c>
      <c r="H217" s="19" t="s">
        <v>86</v>
      </c>
      <c r="I217" s="19" t="s">
        <v>907</v>
      </c>
      <c r="J217" s="19" t="s">
        <v>907</v>
      </c>
      <c r="K217" s="19" t="s">
        <v>907</v>
      </c>
      <c r="M217" s="19" t="s">
        <v>907</v>
      </c>
      <c r="N217" s="19"/>
      <c r="Q217" s="263"/>
    </row>
    <row r="218" spans="1:17" hidden="1" x14ac:dyDescent="0.25">
      <c r="A218" s="20" t="s">
        <v>44</v>
      </c>
      <c r="B218" s="20" t="s">
        <v>20</v>
      </c>
      <c r="C218" s="20" t="s">
        <v>20</v>
      </c>
      <c r="D218" s="21" t="s">
        <v>0</v>
      </c>
      <c r="E218" s="20"/>
      <c r="F218" s="22" t="s">
        <v>167</v>
      </c>
      <c r="G218" s="23" t="s">
        <v>22</v>
      </c>
      <c r="H218" s="23" t="s">
        <v>86</v>
      </c>
      <c r="I218" s="23" t="s">
        <v>907</v>
      </c>
      <c r="J218" s="23" t="s">
        <v>907</v>
      </c>
      <c r="K218" s="23" t="s">
        <v>907</v>
      </c>
      <c r="M218" s="23" t="s">
        <v>907</v>
      </c>
      <c r="N218" s="23"/>
      <c r="Q218" s="263"/>
    </row>
    <row r="219" spans="1:17" x14ac:dyDescent="0.25">
      <c r="A219" s="24" t="s">
        <v>44</v>
      </c>
      <c r="B219" s="24" t="s">
        <v>20</v>
      </c>
      <c r="C219" s="24" t="s">
        <v>20</v>
      </c>
      <c r="D219" s="24" t="s">
        <v>0</v>
      </c>
      <c r="E219" s="24" t="s">
        <v>1</v>
      </c>
      <c r="F219" s="5" t="s">
        <v>848</v>
      </c>
      <c r="G219" s="2" t="s">
        <v>22</v>
      </c>
      <c r="H219" s="2" t="s">
        <v>86</v>
      </c>
      <c r="I219" s="24" t="s">
        <v>908</v>
      </c>
      <c r="J219" s="24" t="s">
        <v>908</v>
      </c>
      <c r="K219" s="24" t="s">
        <v>908</v>
      </c>
      <c r="M219" s="24" t="s">
        <v>908</v>
      </c>
      <c r="N219" s="24"/>
      <c r="P219" s="1" t="str">
        <f t="shared" si="6"/>
        <v>31101001</v>
      </c>
      <c r="Q219" s="263" t="str">
        <f t="shared" si="7"/>
        <v>Paid In Capital</v>
      </c>
    </row>
    <row r="220" spans="1:17" x14ac:dyDescent="0.25">
      <c r="A220" s="24" t="s">
        <v>44</v>
      </c>
      <c r="B220" s="24" t="s">
        <v>20</v>
      </c>
      <c r="C220" s="24" t="s">
        <v>20</v>
      </c>
      <c r="D220" s="24" t="s">
        <v>0</v>
      </c>
      <c r="E220" s="24" t="s">
        <v>3</v>
      </c>
      <c r="F220" s="4" t="s">
        <v>169</v>
      </c>
      <c r="G220" s="2" t="s">
        <v>22</v>
      </c>
      <c r="H220" s="2" t="s">
        <v>23</v>
      </c>
      <c r="I220" s="24" t="s">
        <v>908</v>
      </c>
      <c r="J220" s="24" t="s">
        <v>908</v>
      </c>
      <c r="K220" s="24" t="s">
        <v>908</v>
      </c>
      <c r="M220" s="24" t="s">
        <v>908</v>
      </c>
      <c r="N220" s="2"/>
      <c r="P220" s="1" t="str">
        <f t="shared" si="6"/>
        <v>31101002</v>
      </c>
      <c r="Q220" s="263" t="str">
        <f t="shared" si="7"/>
        <v>Withdrawal</v>
      </c>
    </row>
    <row r="221" spans="1:17" x14ac:dyDescent="0.25">
      <c r="A221" s="24" t="s">
        <v>44</v>
      </c>
      <c r="B221" s="24" t="s">
        <v>20</v>
      </c>
      <c r="C221" s="24" t="s">
        <v>20</v>
      </c>
      <c r="D221" s="24" t="s">
        <v>0</v>
      </c>
      <c r="E221" s="24" t="s">
        <v>5</v>
      </c>
      <c r="F221" s="4" t="s">
        <v>170</v>
      </c>
      <c r="G221" s="2" t="s">
        <v>22</v>
      </c>
      <c r="H221" s="2" t="s">
        <v>86</v>
      </c>
      <c r="I221" s="24" t="s">
        <v>908</v>
      </c>
      <c r="J221" s="24" t="s">
        <v>908</v>
      </c>
      <c r="K221" s="24" t="s">
        <v>908</v>
      </c>
      <c r="M221" s="24" t="s">
        <v>908</v>
      </c>
      <c r="N221" s="2"/>
      <c r="P221" s="1" t="str">
        <f t="shared" si="6"/>
        <v>31101003</v>
      </c>
      <c r="Q221" s="263" t="str">
        <f t="shared" si="7"/>
        <v>Revaluation of Fixed Assets</v>
      </c>
    </row>
    <row r="222" spans="1:17" hidden="1" x14ac:dyDescent="0.25">
      <c r="A222" s="20" t="s">
        <v>44</v>
      </c>
      <c r="B222" s="20" t="s">
        <v>20</v>
      </c>
      <c r="C222" s="20" t="s">
        <v>20</v>
      </c>
      <c r="D222" s="20" t="s">
        <v>2</v>
      </c>
      <c r="E222" s="20"/>
      <c r="F222" s="15" t="s">
        <v>559</v>
      </c>
      <c r="G222" s="23" t="s">
        <v>22</v>
      </c>
      <c r="H222" s="23" t="s">
        <v>86</v>
      </c>
      <c r="I222" s="20" t="s">
        <v>907</v>
      </c>
      <c r="J222" s="20" t="s">
        <v>907</v>
      </c>
      <c r="K222" s="20" t="s">
        <v>907</v>
      </c>
      <c r="M222" s="20" t="s">
        <v>907</v>
      </c>
      <c r="N222" s="20"/>
      <c r="Q222" s="263"/>
    </row>
    <row r="223" spans="1:17" x14ac:dyDescent="0.25">
      <c r="A223" s="24" t="s">
        <v>44</v>
      </c>
      <c r="B223" s="24" t="s">
        <v>20</v>
      </c>
      <c r="C223" s="24" t="s">
        <v>20</v>
      </c>
      <c r="D223" s="24" t="s">
        <v>2</v>
      </c>
      <c r="E223" s="24" t="s">
        <v>1</v>
      </c>
      <c r="F223" s="5" t="s">
        <v>171</v>
      </c>
      <c r="G223" s="2" t="s">
        <v>22</v>
      </c>
      <c r="H223" s="2" t="s">
        <v>86</v>
      </c>
      <c r="I223" s="24" t="s">
        <v>908</v>
      </c>
      <c r="J223" s="24" t="s">
        <v>908</v>
      </c>
      <c r="K223" s="24" t="s">
        <v>908</v>
      </c>
      <c r="M223" s="24" t="s">
        <v>908</v>
      </c>
      <c r="N223" s="24"/>
      <c r="P223" s="1" t="str">
        <f t="shared" si="6"/>
        <v>31102001</v>
      </c>
      <c r="Q223" s="263" t="str">
        <f t="shared" si="7"/>
        <v>Retained Earnings</v>
      </c>
    </row>
    <row r="224" spans="1:17" x14ac:dyDescent="0.25">
      <c r="A224" s="24" t="s">
        <v>44</v>
      </c>
      <c r="B224" s="24" t="s">
        <v>20</v>
      </c>
      <c r="C224" s="24" t="s">
        <v>20</v>
      </c>
      <c r="D224" s="24" t="s">
        <v>2</v>
      </c>
      <c r="E224" s="24" t="s">
        <v>3</v>
      </c>
      <c r="F224" s="5" t="s">
        <v>172</v>
      </c>
      <c r="G224" s="2" t="s">
        <v>22</v>
      </c>
      <c r="H224" s="2" t="s">
        <v>86</v>
      </c>
      <c r="I224" s="24" t="s">
        <v>908</v>
      </c>
      <c r="J224" s="24" t="s">
        <v>908</v>
      </c>
      <c r="K224" s="24" t="s">
        <v>908</v>
      </c>
      <c r="M224" s="24" t="s">
        <v>908</v>
      </c>
      <c r="N224" s="24"/>
      <c r="P224" s="1" t="str">
        <f t="shared" si="6"/>
        <v>31102002</v>
      </c>
      <c r="Q224" s="263" t="str">
        <f t="shared" si="7"/>
        <v>Profit (Loss) Current Period</v>
      </c>
    </row>
    <row r="225" spans="1:17" x14ac:dyDescent="0.25">
      <c r="A225" s="24" t="s">
        <v>44</v>
      </c>
      <c r="B225" s="24" t="s">
        <v>20</v>
      </c>
      <c r="C225" s="24" t="s">
        <v>20</v>
      </c>
      <c r="D225" s="24" t="s">
        <v>2</v>
      </c>
      <c r="E225" s="24" t="s">
        <v>5</v>
      </c>
      <c r="F225" s="5" t="s">
        <v>104</v>
      </c>
      <c r="G225" s="2" t="s">
        <v>22</v>
      </c>
      <c r="H225" s="2" t="s">
        <v>86</v>
      </c>
      <c r="I225" s="24" t="s">
        <v>908</v>
      </c>
      <c r="J225" s="24" t="s">
        <v>908</v>
      </c>
      <c r="K225" s="24" t="s">
        <v>908</v>
      </c>
      <c r="M225" s="24" t="s">
        <v>908</v>
      </c>
      <c r="N225" s="24"/>
      <c r="P225" s="1" t="str">
        <f t="shared" si="6"/>
        <v>31102003</v>
      </c>
      <c r="Q225" s="263" t="str">
        <f t="shared" si="7"/>
        <v>Package Account (Bridge Account)</v>
      </c>
    </row>
    <row r="226" spans="1:17" x14ac:dyDescent="0.25">
      <c r="A226" s="24" t="s">
        <v>44</v>
      </c>
      <c r="B226" s="24" t="s">
        <v>20</v>
      </c>
      <c r="C226" s="24" t="s">
        <v>20</v>
      </c>
      <c r="D226" s="24" t="s">
        <v>2</v>
      </c>
      <c r="E226" s="24" t="s">
        <v>7</v>
      </c>
      <c r="F226" s="5" t="s">
        <v>849</v>
      </c>
      <c r="G226" s="2" t="s">
        <v>22</v>
      </c>
      <c r="H226" s="2" t="s">
        <v>86</v>
      </c>
      <c r="I226" s="24" t="s">
        <v>908</v>
      </c>
      <c r="J226" s="24" t="s">
        <v>908</v>
      </c>
      <c r="K226" s="24" t="s">
        <v>908</v>
      </c>
      <c r="M226" s="24" t="s">
        <v>908</v>
      </c>
      <c r="N226" s="24"/>
      <c r="P226" s="1" t="str">
        <f t="shared" si="6"/>
        <v>31102004</v>
      </c>
      <c r="Q226" s="263" t="str">
        <f t="shared" si="7"/>
        <v>Suspend Account</v>
      </c>
    </row>
    <row r="227" spans="1:17" hidden="1" x14ac:dyDescent="0.25">
      <c r="A227" s="8" t="s">
        <v>54</v>
      </c>
      <c r="B227" s="8"/>
      <c r="C227" s="8"/>
      <c r="D227" s="8"/>
      <c r="E227" s="8"/>
      <c r="F227" s="9" t="s">
        <v>173</v>
      </c>
      <c r="G227" s="10" t="s">
        <v>174</v>
      </c>
      <c r="H227" s="10" t="s">
        <v>86</v>
      </c>
      <c r="I227" s="10" t="s">
        <v>907</v>
      </c>
      <c r="J227" s="10" t="s">
        <v>907</v>
      </c>
      <c r="K227" s="10" t="s">
        <v>907</v>
      </c>
      <c r="M227" s="10" t="s">
        <v>907</v>
      </c>
      <c r="N227" s="10"/>
      <c r="Q227" s="263"/>
    </row>
    <row r="228" spans="1:17" hidden="1" x14ac:dyDescent="0.25">
      <c r="A228" s="12" t="s">
        <v>54</v>
      </c>
      <c r="B228" s="12" t="s">
        <v>20</v>
      </c>
      <c r="C228" s="12"/>
      <c r="D228" s="12"/>
      <c r="E228" s="12"/>
      <c r="F228" s="13" t="s">
        <v>175</v>
      </c>
      <c r="G228" s="14" t="s">
        <v>174</v>
      </c>
      <c r="H228" s="14" t="s">
        <v>86</v>
      </c>
      <c r="I228" s="14" t="s">
        <v>907</v>
      </c>
      <c r="J228" s="14" t="s">
        <v>907</v>
      </c>
      <c r="K228" s="14" t="s">
        <v>907</v>
      </c>
      <c r="M228" s="14" t="s">
        <v>907</v>
      </c>
      <c r="N228" s="14"/>
      <c r="Q228" s="263"/>
    </row>
    <row r="229" spans="1:17" hidden="1" x14ac:dyDescent="0.25">
      <c r="A229" s="16" t="s">
        <v>54</v>
      </c>
      <c r="B229" s="16" t="s">
        <v>20</v>
      </c>
      <c r="C229" s="16" t="s">
        <v>20</v>
      </c>
      <c r="D229" s="16"/>
      <c r="E229" s="16"/>
      <c r="F229" s="18" t="s">
        <v>177</v>
      </c>
      <c r="G229" s="19" t="s">
        <v>174</v>
      </c>
      <c r="H229" s="19" t="s">
        <v>86</v>
      </c>
      <c r="I229" s="19" t="s">
        <v>907</v>
      </c>
      <c r="J229" s="19" t="s">
        <v>907</v>
      </c>
      <c r="K229" s="19" t="s">
        <v>907</v>
      </c>
      <c r="M229" s="19" t="s">
        <v>907</v>
      </c>
      <c r="N229" s="19"/>
      <c r="Q229" s="263"/>
    </row>
    <row r="230" spans="1:17" hidden="1" x14ac:dyDescent="0.25">
      <c r="A230" s="20" t="s">
        <v>54</v>
      </c>
      <c r="B230" s="20" t="s">
        <v>20</v>
      </c>
      <c r="C230" s="20" t="s">
        <v>20</v>
      </c>
      <c r="D230" s="21" t="s">
        <v>0</v>
      </c>
      <c r="E230" s="20"/>
      <c r="F230" s="22" t="s">
        <v>176</v>
      </c>
      <c r="G230" s="23" t="s">
        <v>174</v>
      </c>
      <c r="H230" s="23" t="s">
        <v>86</v>
      </c>
      <c r="I230" s="23" t="s">
        <v>907</v>
      </c>
      <c r="J230" s="23" t="s">
        <v>907</v>
      </c>
      <c r="K230" s="23" t="s">
        <v>907</v>
      </c>
      <c r="M230" s="23" t="s">
        <v>907</v>
      </c>
      <c r="N230" s="23"/>
      <c r="Q230" s="263"/>
    </row>
    <row r="231" spans="1:17" x14ac:dyDescent="0.25">
      <c r="A231" s="24" t="s">
        <v>54</v>
      </c>
      <c r="B231" s="24" t="s">
        <v>20</v>
      </c>
      <c r="C231" s="24" t="s">
        <v>20</v>
      </c>
      <c r="D231" s="24" t="s">
        <v>0</v>
      </c>
      <c r="E231" s="24" t="s">
        <v>1</v>
      </c>
      <c r="F231" s="5" t="s">
        <v>178</v>
      </c>
      <c r="G231" s="2" t="s">
        <v>174</v>
      </c>
      <c r="H231" s="2" t="s">
        <v>86</v>
      </c>
      <c r="I231" s="24" t="s">
        <v>908</v>
      </c>
      <c r="J231" s="24" t="s">
        <v>908</v>
      </c>
      <c r="K231" s="24" t="s">
        <v>908</v>
      </c>
      <c r="M231" s="24" t="s">
        <v>908</v>
      </c>
      <c r="N231" s="24"/>
      <c r="P231" s="1" t="str">
        <f t="shared" si="6"/>
        <v>41101001</v>
      </c>
      <c r="Q231" s="263" t="str">
        <f t="shared" si="7"/>
        <v>RM - Room Revenue</v>
      </c>
    </row>
    <row r="232" spans="1:17" x14ac:dyDescent="0.25">
      <c r="A232" s="24" t="s">
        <v>54</v>
      </c>
      <c r="B232" s="24" t="s">
        <v>20</v>
      </c>
      <c r="C232" s="24" t="s">
        <v>20</v>
      </c>
      <c r="D232" s="24" t="s">
        <v>0</v>
      </c>
      <c r="E232" s="24" t="s">
        <v>3</v>
      </c>
      <c r="F232" s="5" t="s">
        <v>179</v>
      </c>
      <c r="G232" s="2" t="s">
        <v>174</v>
      </c>
      <c r="H232" s="2" t="s">
        <v>86</v>
      </c>
      <c r="I232" s="24" t="s">
        <v>908</v>
      </c>
      <c r="J232" s="24" t="s">
        <v>908</v>
      </c>
      <c r="K232" s="24" t="s">
        <v>908</v>
      </c>
      <c r="M232" s="24" t="s">
        <v>908</v>
      </c>
      <c r="N232" s="24"/>
      <c r="P232" s="1" t="str">
        <f t="shared" si="6"/>
        <v>41101002</v>
      </c>
      <c r="Q232" s="263" t="str">
        <f t="shared" si="7"/>
        <v>RM - Other Revenue</v>
      </c>
    </row>
    <row r="233" spans="1:17" x14ac:dyDescent="0.25">
      <c r="A233" s="24" t="s">
        <v>54</v>
      </c>
      <c r="B233" s="24" t="s">
        <v>20</v>
      </c>
      <c r="C233" s="24" t="s">
        <v>20</v>
      </c>
      <c r="D233" s="24" t="s">
        <v>0</v>
      </c>
      <c r="E233" s="24" t="s">
        <v>5</v>
      </c>
      <c r="F233" s="5" t="s">
        <v>180</v>
      </c>
      <c r="G233" s="2" t="s">
        <v>174</v>
      </c>
      <c r="H233" s="2" t="s">
        <v>23</v>
      </c>
      <c r="I233" s="24" t="s">
        <v>908</v>
      </c>
      <c r="J233" s="24" t="s">
        <v>908</v>
      </c>
      <c r="K233" s="24" t="s">
        <v>908</v>
      </c>
      <c r="M233" s="24" t="s">
        <v>908</v>
      </c>
      <c r="N233" s="24"/>
      <c r="P233" s="1" t="str">
        <f t="shared" si="6"/>
        <v>41101003</v>
      </c>
      <c r="Q233" s="263" t="str">
        <f t="shared" si="7"/>
        <v>RM - Room Discount &amp; Allowances</v>
      </c>
    </row>
    <row r="234" spans="1:17" hidden="1" x14ac:dyDescent="0.25">
      <c r="A234" s="16" t="s">
        <v>54</v>
      </c>
      <c r="B234" s="16" t="s">
        <v>20</v>
      </c>
      <c r="C234" s="16" t="s">
        <v>33</v>
      </c>
      <c r="D234" s="16"/>
      <c r="E234" s="16"/>
      <c r="F234" s="18" t="s">
        <v>181</v>
      </c>
      <c r="G234" s="19" t="s">
        <v>174</v>
      </c>
      <c r="H234" s="19" t="s">
        <v>86</v>
      </c>
      <c r="I234" s="19" t="s">
        <v>907</v>
      </c>
      <c r="J234" s="19" t="s">
        <v>907</v>
      </c>
      <c r="K234" s="19" t="s">
        <v>907</v>
      </c>
      <c r="M234" s="19" t="s">
        <v>907</v>
      </c>
      <c r="N234" s="19"/>
      <c r="Q234" s="263"/>
    </row>
    <row r="235" spans="1:17" hidden="1" x14ac:dyDescent="0.25">
      <c r="A235" s="20" t="s">
        <v>54</v>
      </c>
      <c r="B235" s="20" t="s">
        <v>20</v>
      </c>
      <c r="C235" s="20" t="s">
        <v>33</v>
      </c>
      <c r="D235" s="21" t="s">
        <v>0</v>
      </c>
      <c r="E235" s="20"/>
      <c r="F235" s="22" t="s">
        <v>182</v>
      </c>
      <c r="G235" s="23" t="s">
        <v>174</v>
      </c>
      <c r="H235" s="23" t="s">
        <v>86</v>
      </c>
      <c r="I235" s="23" t="s">
        <v>907</v>
      </c>
      <c r="J235" s="23" t="s">
        <v>907</v>
      </c>
      <c r="K235" s="23" t="s">
        <v>907</v>
      </c>
      <c r="M235" s="23" t="s">
        <v>907</v>
      </c>
      <c r="N235" s="23"/>
      <c r="Q235" s="263"/>
    </row>
    <row r="236" spans="1:17" x14ac:dyDescent="0.25">
      <c r="A236" s="24" t="s">
        <v>54</v>
      </c>
      <c r="B236" s="24" t="s">
        <v>20</v>
      </c>
      <c r="C236" s="24" t="s">
        <v>33</v>
      </c>
      <c r="D236" s="24" t="s">
        <v>0</v>
      </c>
      <c r="E236" s="24" t="s">
        <v>1</v>
      </c>
      <c r="F236" s="5" t="s">
        <v>183</v>
      </c>
      <c r="G236" s="2" t="s">
        <v>174</v>
      </c>
      <c r="H236" s="2" t="s">
        <v>86</v>
      </c>
      <c r="I236" s="24" t="s">
        <v>907</v>
      </c>
      <c r="J236" s="2" t="s">
        <v>910</v>
      </c>
      <c r="K236" s="24" t="s">
        <v>908</v>
      </c>
      <c r="M236" s="2" t="s">
        <v>907</v>
      </c>
      <c r="N236" s="24"/>
      <c r="P236" s="1" t="str">
        <f t="shared" si="6"/>
        <v>41201001</v>
      </c>
      <c r="Q236" s="263" t="str">
        <f t="shared" si="7"/>
        <v>RB - Food Revenue</v>
      </c>
    </row>
    <row r="237" spans="1:17" x14ac:dyDescent="0.25">
      <c r="A237" s="24" t="s">
        <v>54</v>
      </c>
      <c r="B237" s="24" t="s">
        <v>20</v>
      </c>
      <c r="C237" s="24" t="s">
        <v>33</v>
      </c>
      <c r="D237" s="24" t="s">
        <v>0</v>
      </c>
      <c r="E237" s="24" t="s">
        <v>3</v>
      </c>
      <c r="F237" s="5" t="s">
        <v>184</v>
      </c>
      <c r="G237" s="2" t="s">
        <v>174</v>
      </c>
      <c r="H237" s="2" t="s">
        <v>86</v>
      </c>
      <c r="I237" s="24" t="s">
        <v>907</v>
      </c>
      <c r="J237" s="2" t="s">
        <v>910</v>
      </c>
      <c r="K237" s="24" t="s">
        <v>908</v>
      </c>
      <c r="M237" s="2" t="s">
        <v>907</v>
      </c>
      <c r="N237" s="24"/>
      <c r="P237" s="1" t="str">
        <f t="shared" si="6"/>
        <v>41201002</v>
      </c>
      <c r="Q237" s="263" t="str">
        <f t="shared" si="7"/>
        <v>RB - Beverage Revenue</v>
      </c>
    </row>
    <row r="238" spans="1:17" x14ac:dyDescent="0.25">
      <c r="A238" s="24" t="s">
        <v>54</v>
      </c>
      <c r="B238" s="24" t="s">
        <v>20</v>
      </c>
      <c r="C238" s="24" t="s">
        <v>33</v>
      </c>
      <c r="D238" s="24" t="s">
        <v>0</v>
      </c>
      <c r="E238" s="24" t="s">
        <v>5</v>
      </c>
      <c r="F238" s="5" t="s">
        <v>897</v>
      </c>
      <c r="G238" s="2" t="s">
        <v>174</v>
      </c>
      <c r="H238" s="2" t="s">
        <v>86</v>
      </c>
      <c r="I238" s="24" t="s">
        <v>908</v>
      </c>
      <c r="J238" s="2" t="s">
        <v>910</v>
      </c>
      <c r="K238" s="24" t="s">
        <v>907</v>
      </c>
      <c r="M238" s="2" t="s">
        <v>908</v>
      </c>
      <c r="N238" s="24"/>
      <c r="P238" s="1" t="str">
        <f t="shared" si="6"/>
        <v>41201003</v>
      </c>
      <c r="Q238" s="263" t="str">
        <f t="shared" si="7"/>
        <v>RB - Breakfast Catering</v>
      </c>
    </row>
    <row r="239" spans="1:17" x14ac:dyDescent="0.25">
      <c r="A239" s="24" t="s">
        <v>54</v>
      </c>
      <c r="B239" s="24" t="s">
        <v>20</v>
      </c>
      <c r="C239" s="24" t="s">
        <v>33</v>
      </c>
      <c r="D239" s="24" t="s">
        <v>0</v>
      </c>
      <c r="E239" s="24" t="s">
        <v>7</v>
      </c>
      <c r="F239" s="5" t="s">
        <v>185</v>
      </c>
      <c r="G239" s="2" t="s">
        <v>174</v>
      </c>
      <c r="H239" s="2" t="s">
        <v>86</v>
      </c>
      <c r="I239" s="24" t="s">
        <v>907</v>
      </c>
      <c r="J239" s="2" t="s">
        <v>910</v>
      </c>
      <c r="K239" s="24" t="s">
        <v>908</v>
      </c>
      <c r="M239" s="2" t="s">
        <v>907</v>
      </c>
      <c r="N239" s="24"/>
      <c r="P239" s="1" t="str">
        <f t="shared" si="6"/>
        <v>41201004</v>
      </c>
      <c r="Q239" s="263" t="str">
        <f t="shared" si="7"/>
        <v>RB - Other Revenue</v>
      </c>
    </row>
    <row r="240" spans="1:17" x14ac:dyDescent="0.25">
      <c r="A240" s="24" t="s">
        <v>54</v>
      </c>
      <c r="B240" s="24" t="s">
        <v>20</v>
      </c>
      <c r="C240" s="24" t="s">
        <v>33</v>
      </c>
      <c r="D240" s="24" t="s">
        <v>0</v>
      </c>
      <c r="E240" s="24" t="s">
        <v>9</v>
      </c>
      <c r="F240" s="5" t="s">
        <v>186</v>
      </c>
      <c r="G240" s="2" t="s">
        <v>174</v>
      </c>
      <c r="H240" s="2" t="s">
        <v>23</v>
      </c>
      <c r="I240" s="24" t="s">
        <v>907</v>
      </c>
      <c r="J240" s="2" t="s">
        <v>910</v>
      </c>
      <c r="K240" s="24" t="s">
        <v>908</v>
      </c>
      <c r="M240" s="2" t="s">
        <v>907</v>
      </c>
      <c r="N240" s="24"/>
      <c r="P240" s="1" t="str">
        <f t="shared" si="6"/>
        <v>41201005</v>
      </c>
      <c r="Q240" s="263" t="str">
        <f t="shared" si="7"/>
        <v>RB - Food Discount &amp; Allowances</v>
      </c>
    </row>
    <row r="241" spans="1:17" x14ac:dyDescent="0.25">
      <c r="A241" s="24" t="s">
        <v>54</v>
      </c>
      <c r="B241" s="24" t="s">
        <v>20</v>
      </c>
      <c r="C241" s="24" t="s">
        <v>33</v>
      </c>
      <c r="D241" s="24" t="s">
        <v>0</v>
      </c>
      <c r="E241" s="24" t="s">
        <v>9</v>
      </c>
      <c r="F241" s="5" t="s">
        <v>187</v>
      </c>
      <c r="G241" s="2" t="s">
        <v>174</v>
      </c>
      <c r="H241" s="2" t="s">
        <v>23</v>
      </c>
      <c r="I241" s="24" t="s">
        <v>907</v>
      </c>
      <c r="J241" s="2" t="s">
        <v>910</v>
      </c>
      <c r="K241" s="24" t="s">
        <v>908</v>
      </c>
      <c r="M241" s="2" t="s">
        <v>907</v>
      </c>
      <c r="N241" s="24"/>
      <c r="P241" s="1" t="str">
        <f t="shared" si="6"/>
        <v>41201005</v>
      </c>
      <c r="Q241" s="263" t="str">
        <f t="shared" si="7"/>
        <v>RB - Beverage Discount &amp; Allowances</v>
      </c>
    </row>
    <row r="242" spans="1:17" hidden="1" x14ac:dyDescent="0.25">
      <c r="A242" s="20" t="s">
        <v>54</v>
      </c>
      <c r="B242" s="20" t="s">
        <v>20</v>
      </c>
      <c r="C242" s="20" t="s">
        <v>33</v>
      </c>
      <c r="D242" s="21" t="s">
        <v>2</v>
      </c>
      <c r="E242" s="20"/>
      <c r="F242" s="22" t="s">
        <v>188</v>
      </c>
      <c r="G242" s="23" t="s">
        <v>174</v>
      </c>
      <c r="H242" s="23" t="s">
        <v>86</v>
      </c>
      <c r="I242" s="23" t="s">
        <v>907</v>
      </c>
      <c r="J242" s="23" t="s">
        <v>907</v>
      </c>
      <c r="K242" s="23" t="s">
        <v>907</v>
      </c>
      <c r="M242" s="23" t="s">
        <v>907</v>
      </c>
      <c r="N242" s="23"/>
      <c r="Q242" s="263"/>
    </row>
    <row r="243" spans="1:17" x14ac:dyDescent="0.25">
      <c r="A243" s="24" t="s">
        <v>54</v>
      </c>
      <c r="B243" s="24" t="s">
        <v>20</v>
      </c>
      <c r="C243" s="24" t="s">
        <v>33</v>
      </c>
      <c r="D243" s="24" t="s">
        <v>2</v>
      </c>
      <c r="E243" s="24" t="s">
        <v>1</v>
      </c>
      <c r="F243" s="5" t="s">
        <v>189</v>
      </c>
      <c r="G243" s="2" t="s">
        <v>174</v>
      </c>
      <c r="H243" s="2" t="s">
        <v>86</v>
      </c>
      <c r="I243" s="24" t="s">
        <v>907</v>
      </c>
      <c r="J243" s="2" t="s">
        <v>910</v>
      </c>
      <c r="K243" s="24" t="s">
        <v>908</v>
      </c>
      <c r="M243" s="2" t="s">
        <v>907</v>
      </c>
      <c r="N243" s="24"/>
      <c r="P243" s="1" t="str">
        <f t="shared" si="6"/>
        <v>41202001</v>
      </c>
      <c r="Q243" s="263" t="str">
        <f t="shared" si="7"/>
        <v>BL - Food Revenue</v>
      </c>
    </row>
    <row r="244" spans="1:17" x14ac:dyDescent="0.25">
      <c r="A244" s="24" t="s">
        <v>54</v>
      </c>
      <c r="B244" s="24" t="s">
        <v>20</v>
      </c>
      <c r="C244" s="24" t="s">
        <v>33</v>
      </c>
      <c r="D244" s="24" t="s">
        <v>2</v>
      </c>
      <c r="E244" s="24" t="s">
        <v>3</v>
      </c>
      <c r="F244" s="5" t="s">
        <v>190</v>
      </c>
      <c r="G244" s="2" t="s">
        <v>174</v>
      </c>
      <c r="H244" s="2" t="s">
        <v>86</v>
      </c>
      <c r="I244" s="24" t="s">
        <v>907</v>
      </c>
      <c r="J244" s="2" t="s">
        <v>910</v>
      </c>
      <c r="K244" s="24" t="s">
        <v>908</v>
      </c>
      <c r="M244" s="2" t="s">
        <v>907</v>
      </c>
      <c r="N244" s="24"/>
      <c r="P244" s="1" t="str">
        <f t="shared" si="6"/>
        <v>41202002</v>
      </c>
      <c r="Q244" s="263" t="str">
        <f t="shared" si="7"/>
        <v>BL - Beverage Revenue</v>
      </c>
    </row>
    <row r="245" spans="1:17" x14ac:dyDescent="0.25">
      <c r="A245" s="24" t="s">
        <v>54</v>
      </c>
      <c r="B245" s="24" t="s">
        <v>20</v>
      </c>
      <c r="C245" s="24" t="s">
        <v>33</v>
      </c>
      <c r="D245" s="24" t="s">
        <v>2</v>
      </c>
      <c r="E245" s="24" t="s">
        <v>5</v>
      </c>
      <c r="F245" s="5" t="s">
        <v>191</v>
      </c>
      <c r="G245" s="2" t="s">
        <v>174</v>
      </c>
      <c r="H245" s="2" t="s">
        <v>86</v>
      </c>
      <c r="I245" s="24" t="s">
        <v>907</v>
      </c>
      <c r="J245" s="2" t="s">
        <v>910</v>
      </c>
      <c r="K245" s="24" t="s">
        <v>908</v>
      </c>
      <c r="M245" s="2" t="s">
        <v>907</v>
      </c>
      <c r="N245" s="24"/>
      <c r="P245" s="1" t="str">
        <f t="shared" si="6"/>
        <v>41202003</v>
      </c>
      <c r="Q245" s="263" t="str">
        <f t="shared" si="7"/>
        <v>BL - Other Revenue</v>
      </c>
    </row>
    <row r="246" spans="1:17" x14ac:dyDescent="0.25">
      <c r="A246" s="24" t="s">
        <v>54</v>
      </c>
      <c r="B246" s="24" t="s">
        <v>20</v>
      </c>
      <c r="C246" s="24" t="s">
        <v>33</v>
      </c>
      <c r="D246" s="24" t="s">
        <v>2</v>
      </c>
      <c r="E246" s="24" t="s">
        <v>7</v>
      </c>
      <c r="F246" s="5" t="s">
        <v>192</v>
      </c>
      <c r="G246" s="2" t="s">
        <v>174</v>
      </c>
      <c r="H246" s="2" t="s">
        <v>23</v>
      </c>
      <c r="I246" s="24" t="s">
        <v>907</v>
      </c>
      <c r="J246" s="2" t="s">
        <v>910</v>
      </c>
      <c r="K246" s="24" t="s">
        <v>908</v>
      </c>
      <c r="M246" s="2" t="s">
        <v>907</v>
      </c>
      <c r="N246" s="24"/>
      <c r="P246" s="1" t="str">
        <f t="shared" si="6"/>
        <v>41202004</v>
      </c>
      <c r="Q246" s="263" t="str">
        <f t="shared" si="7"/>
        <v>BL - Food Discount &amp; Allowances</v>
      </c>
    </row>
    <row r="247" spans="1:17" x14ac:dyDescent="0.25">
      <c r="A247" s="24" t="s">
        <v>54</v>
      </c>
      <c r="B247" s="24" t="s">
        <v>20</v>
      </c>
      <c r="C247" s="24" t="s">
        <v>33</v>
      </c>
      <c r="D247" s="24" t="s">
        <v>2</v>
      </c>
      <c r="E247" s="24" t="s">
        <v>9</v>
      </c>
      <c r="F247" s="5" t="s">
        <v>193</v>
      </c>
      <c r="G247" s="2" t="s">
        <v>174</v>
      </c>
      <c r="H247" s="2" t="s">
        <v>23</v>
      </c>
      <c r="I247" s="24" t="s">
        <v>907</v>
      </c>
      <c r="J247" s="2" t="s">
        <v>910</v>
      </c>
      <c r="K247" s="24" t="s">
        <v>908</v>
      </c>
      <c r="M247" s="2" t="s">
        <v>907</v>
      </c>
      <c r="N247" s="24"/>
      <c r="P247" s="1" t="str">
        <f t="shared" si="6"/>
        <v>41202005</v>
      </c>
      <c r="Q247" s="263" t="str">
        <f t="shared" si="7"/>
        <v>BL - Beverage Discount &amp; Allowances</v>
      </c>
    </row>
    <row r="248" spans="1:17" hidden="1" x14ac:dyDescent="0.25">
      <c r="A248" s="20" t="s">
        <v>54</v>
      </c>
      <c r="B248" s="20" t="s">
        <v>20</v>
      </c>
      <c r="C248" s="20" t="s">
        <v>33</v>
      </c>
      <c r="D248" s="20" t="s">
        <v>4</v>
      </c>
      <c r="E248" s="20"/>
      <c r="F248" s="22" t="s">
        <v>194</v>
      </c>
      <c r="G248" s="23" t="s">
        <v>174</v>
      </c>
      <c r="H248" s="23" t="s">
        <v>86</v>
      </c>
      <c r="I248" s="23" t="s">
        <v>907</v>
      </c>
      <c r="J248" s="23" t="s">
        <v>907</v>
      </c>
      <c r="K248" s="23" t="s">
        <v>907</v>
      </c>
      <c r="M248" s="23" t="s">
        <v>907</v>
      </c>
      <c r="N248" s="23"/>
      <c r="Q248" s="263"/>
    </row>
    <row r="249" spans="1:17" x14ac:dyDescent="0.25">
      <c r="A249" s="24" t="s">
        <v>54</v>
      </c>
      <c r="B249" s="24" t="s">
        <v>20</v>
      </c>
      <c r="C249" s="24" t="s">
        <v>33</v>
      </c>
      <c r="D249" s="24" t="s">
        <v>4</v>
      </c>
      <c r="E249" s="24" t="s">
        <v>1</v>
      </c>
      <c r="F249" s="5" t="s">
        <v>195</v>
      </c>
      <c r="G249" s="2" t="s">
        <v>174</v>
      </c>
      <c r="H249" s="2" t="s">
        <v>86</v>
      </c>
      <c r="I249" s="24" t="s">
        <v>908</v>
      </c>
      <c r="J249" s="24" t="s">
        <v>908</v>
      </c>
      <c r="K249" s="24" t="s">
        <v>908</v>
      </c>
      <c r="M249" s="24" t="s">
        <v>908</v>
      </c>
      <c r="N249" s="24"/>
      <c r="P249" s="1" t="str">
        <f t="shared" si="6"/>
        <v>41203001</v>
      </c>
      <c r="Q249" s="263" t="str">
        <f t="shared" si="7"/>
        <v>BQ - Banquet Revenue</v>
      </c>
    </row>
    <row r="250" spans="1:17" x14ac:dyDescent="0.25">
      <c r="A250" s="24" t="s">
        <v>54</v>
      </c>
      <c r="B250" s="24" t="s">
        <v>20</v>
      </c>
      <c r="C250" s="24" t="s">
        <v>33</v>
      </c>
      <c r="D250" s="24" t="s">
        <v>4</v>
      </c>
      <c r="E250" s="24" t="s">
        <v>3</v>
      </c>
      <c r="F250" s="5" t="s">
        <v>196</v>
      </c>
      <c r="G250" s="2" t="s">
        <v>174</v>
      </c>
      <c r="H250" s="2" t="s">
        <v>86</v>
      </c>
      <c r="I250" s="24" t="s">
        <v>908</v>
      </c>
      <c r="J250" s="24" t="s">
        <v>908</v>
      </c>
      <c r="K250" s="24" t="s">
        <v>908</v>
      </c>
      <c r="M250" s="24" t="s">
        <v>908</v>
      </c>
      <c r="N250" s="24"/>
      <c r="P250" s="1" t="str">
        <f t="shared" si="6"/>
        <v>41203002</v>
      </c>
      <c r="Q250" s="263" t="str">
        <f t="shared" si="7"/>
        <v>BQ - Meeting Package Revenue</v>
      </c>
    </row>
    <row r="251" spans="1:17" x14ac:dyDescent="0.25">
      <c r="A251" s="24" t="s">
        <v>54</v>
      </c>
      <c r="B251" s="24" t="s">
        <v>20</v>
      </c>
      <c r="C251" s="24" t="s">
        <v>33</v>
      </c>
      <c r="D251" s="24" t="s">
        <v>4</v>
      </c>
      <c r="E251" s="24" t="s">
        <v>5</v>
      </c>
      <c r="F251" s="5" t="s">
        <v>197</v>
      </c>
      <c r="G251" s="2" t="s">
        <v>174</v>
      </c>
      <c r="H251" s="2" t="s">
        <v>86</v>
      </c>
      <c r="I251" s="24" t="s">
        <v>908</v>
      </c>
      <c r="J251" s="24" t="s">
        <v>908</v>
      </c>
      <c r="K251" s="24" t="s">
        <v>908</v>
      </c>
      <c r="M251" s="24" t="s">
        <v>908</v>
      </c>
      <c r="N251" s="24"/>
      <c r="P251" s="1" t="str">
        <f t="shared" si="6"/>
        <v>41203003</v>
      </c>
      <c r="Q251" s="263" t="str">
        <f t="shared" si="7"/>
        <v>BQ - Other Revenue</v>
      </c>
    </row>
    <row r="252" spans="1:17" x14ac:dyDescent="0.25">
      <c r="A252" s="24" t="s">
        <v>54</v>
      </c>
      <c r="B252" s="24" t="s">
        <v>20</v>
      </c>
      <c r="C252" s="24" t="s">
        <v>33</v>
      </c>
      <c r="D252" s="24" t="s">
        <v>4</v>
      </c>
      <c r="E252" s="24" t="s">
        <v>7</v>
      </c>
      <c r="F252" s="5" t="s">
        <v>198</v>
      </c>
      <c r="G252" s="2" t="s">
        <v>174</v>
      </c>
      <c r="H252" s="2" t="s">
        <v>23</v>
      </c>
      <c r="I252" s="24" t="s">
        <v>908</v>
      </c>
      <c r="J252" s="24" t="s">
        <v>908</v>
      </c>
      <c r="K252" s="24" t="s">
        <v>908</v>
      </c>
      <c r="M252" s="24" t="s">
        <v>908</v>
      </c>
      <c r="N252" s="24"/>
      <c r="P252" s="1" t="str">
        <f t="shared" si="6"/>
        <v>41203004</v>
      </c>
      <c r="Q252" s="263" t="str">
        <f t="shared" si="7"/>
        <v>BQ - Banquet Discount &amp; Allowances</v>
      </c>
    </row>
    <row r="253" spans="1:17" x14ac:dyDescent="0.25">
      <c r="A253" s="24" t="s">
        <v>54</v>
      </c>
      <c r="B253" s="24" t="s">
        <v>20</v>
      </c>
      <c r="C253" s="24" t="s">
        <v>33</v>
      </c>
      <c r="D253" s="24" t="s">
        <v>4</v>
      </c>
      <c r="E253" s="24" t="s">
        <v>9</v>
      </c>
      <c r="F253" s="5" t="s">
        <v>199</v>
      </c>
      <c r="G253" s="2" t="s">
        <v>174</v>
      </c>
      <c r="H253" s="2" t="s">
        <v>23</v>
      </c>
      <c r="I253" s="24" t="s">
        <v>908</v>
      </c>
      <c r="J253" s="24" t="s">
        <v>908</v>
      </c>
      <c r="K253" s="24" t="s">
        <v>908</v>
      </c>
      <c r="M253" s="24" t="s">
        <v>908</v>
      </c>
      <c r="N253" s="24"/>
      <c r="P253" s="1" t="str">
        <f t="shared" si="6"/>
        <v>41203005</v>
      </c>
      <c r="Q253" s="263" t="str">
        <f t="shared" si="7"/>
        <v>BQ - Meeting Package Discount &amp; Allowances</v>
      </c>
    </row>
    <row r="254" spans="1:17" hidden="1" x14ac:dyDescent="0.25">
      <c r="A254" s="16" t="s">
        <v>54</v>
      </c>
      <c r="B254" s="16" t="s">
        <v>20</v>
      </c>
      <c r="C254" s="16" t="s">
        <v>44</v>
      </c>
      <c r="D254" s="16"/>
      <c r="E254" s="16"/>
      <c r="F254" s="18" t="s">
        <v>200</v>
      </c>
      <c r="G254" s="19" t="s">
        <v>174</v>
      </c>
      <c r="H254" s="19" t="s">
        <v>86</v>
      </c>
      <c r="I254" s="19" t="s">
        <v>907</v>
      </c>
      <c r="J254" s="19" t="s">
        <v>907</v>
      </c>
      <c r="K254" s="19" t="s">
        <v>907</v>
      </c>
      <c r="M254" s="19" t="s">
        <v>907</v>
      </c>
      <c r="N254" s="19"/>
      <c r="Q254" s="263"/>
    </row>
    <row r="255" spans="1:17" hidden="1" x14ac:dyDescent="0.25">
      <c r="A255" s="20" t="s">
        <v>54</v>
      </c>
      <c r="B255" s="20" t="s">
        <v>20</v>
      </c>
      <c r="C255" s="20" t="s">
        <v>44</v>
      </c>
      <c r="D255" s="21" t="s">
        <v>0</v>
      </c>
      <c r="E255" s="20"/>
      <c r="F255" s="22" t="s">
        <v>201</v>
      </c>
      <c r="G255" s="23" t="s">
        <v>174</v>
      </c>
      <c r="H255" s="23" t="s">
        <v>86</v>
      </c>
      <c r="I255" s="23" t="s">
        <v>907</v>
      </c>
      <c r="J255" s="23" t="s">
        <v>907</v>
      </c>
      <c r="K255" s="23" t="s">
        <v>907</v>
      </c>
      <c r="M255" s="23" t="s">
        <v>907</v>
      </c>
      <c r="N255" s="23"/>
      <c r="Q255" s="263"/>
    </row>
    <row r="256" spans="1:17" x14ac:dyDescent="0.25">
      <c r="A256" s="24" t="s">
        <v>54</v>
      </c>
      <c r="B256" s="24" t="s">
        <v>20</v>
      </c>
      <c r="C256" s="24" t="s">
        <v>44</v>
      </c>
      <c r="D256" s="24" t="s">
        <v>0</v>
      </c>
      <c r="E256" s="24" t="s">
        <v>1</v>
      </c>
      <c r="F256" s="5" t="s">
        <v>202</v>
      </c>
      <c r="G256" s="2" t="s">
        <v>174</v>
      </c>
      <c r="H256" s="2" t="s">
        <v>86</v>
      </c>
      <c r="I256" s="24" t="s">
        <v>908</v>
      </c>
      <c r="J256" s="24" t="s">
        <v>908</v>
      </c>
      <c r="K256" s="24" t="s">
        <v>908</v>
      </c>
      <c r="M256" s="24" t="s">
        <v>908</v>
      </c>
      <c r="N256" s="24"/>
      <c r="P256" s="1" t="str">
        <f t="shared" si="6"/>
        <v>41301001</v>
      </c>
      <c r="Q256" s="263" t="str">
        <f t="shared" si="7"/>
        <v>OT - Business Center</v>
      </c>
    </row>
    <row r="257" spans="1:17" x14ac:dyDescent="0.25">
      <c r="A257" s="24" t="s">
        <v>54</v>
      </c>
      <c r="B257" s="24" t="s">
        <v>20</v>
      </c>
      <c r="C257" s="24" t="s">
        <v>44</v>
      </c>
      <c r="D257" s="24" t="s">
        <v>0</v>
      </c>
      <c r="E257" s="24" t="s">
        <v>3</v>
      </c>
      <c r="F257" s="5" t="s">
        <v>203</v>
      </c>
      <c r="G257" s="2" t="s">
        <v>174</v>
      </c>
      <c r="H257" s="2" t="s">
        <v>86</v>
      </c>
      <c r="I257" s="24" t="s">
        <v>908</v>
      </c>
      <c r="J257" s="24" t="s">
        <v>908</v>
      </c>
      <c r="K257" s="24" t="s">
        <v>908</v>
      </c>
      <c r="M257" s="24" t="s">
        <v>908</v>
      </c>
      <c r="N257" s="24"/>
      <c r="P257" s="1" t="str">
        <f t="shared" si="6"/>
        <v>41301002</v>
      </c>
      <c r="Q257" s="263" t="str">
        <f t="shared" si="7"/>
        <v>OT - Car Rental &amp; Transportation</v>
      </c>
    </row>
    <row r="258" spans="1:17" x14ac:dyDescent="0.25">
      <c r="A258" s="24" t="s">
        <v>54</v>
      </c>
      <c r="B258" s="24" t="s">
        <v>20</v>
      </c>
      <c r="C258" s="24" t="s">
        <v>44</v>
      </c>
      <c r="D258" s="24" t="s">
        <v>0</v>
      </c>
      <c r="E258" s="24" t="s">
        <v>5</v>
      </c>
      <c r="F258" s="5" t="s">
        <v>204</v>
      </c>
      <c r="G258" s="2" t="s">
        <v>174</v>
      </c>
      <c r="H258" s="2" t="s">
        <v>86</v>
      </c>
      <c r="I258" s="24" t="s">
        <v>908</v>
      </c>
      <c r="J258" s="24" t="s">
        <v>908</v>
      </c>
      <c r="K258" s="24" t="s">
        <v>908</v>
      </c>
      <c r="M258" s="24" t="s">
        <v>908</v>
      </c>
      <c r="N258" s="24"/>
      <c r="P258" s="1" t="str">
        <f t="shared" si="6"/>
        <v>41301003</v>
      </c>
      <c r="Q258" s="263" t="str">
        <f t="shared" si="7"/>
        <v>OT - Guest Laundry &amp; Dry Cleaning</v>
      </c>
    </row>
    <row r="259" spans="1:17" x14ac:dyDescent="0.25">
      <c r="A259" s="24" t="s">
        <v>54</v>
      </c>
      <c r="B259" s="24" t="s">
        <v>20</v>
      </c>
      <c r="C259" s="24" t="s">
        <v>44</v>
      </c>
      <c r="D259" s="24" t="s">
        <v>0</v>
      </c>
      <c r="E259" s="24" t="s">
        <v>7</v>
      </c>
      <c r="F259" s="5" t="s">
        <v>850</v>
      </c>
      <c r="G259" s="2" t="s">
        <v>174</v>
      </c>
      <c r="H259" s="2" t="s">
        <v>86</v>
      </c>
      <c r="I259" s="24" t="s">
        <v>907</v>
      </c>
      <c r="J259" s="24" t="s">
        <v>910</v>
      </c>
      <c r="K259" s="24" t="s">
        <v>910</v>
      </c>
      <c r="M259" s="24" t="s">
        <v>907</v>
      </c>
      <c r="N259" s="24"/>
      <c r="P259" s="1" t="str">
        <f t="shared" si="6"/>
        <v>41301004</v>
      </c>
      <c r="Q259" s="263" t="str">
        <f t="shared" si="7"/>
        <v>OT - Spa</v>
      </c>
    </row>
    <row r="260" spans="1:17" x14ac:dyDescent="0.25">
      <c r="A260" s="24" t="s">
        <v>54</v>
      </c>
      <c r="B260" s="24" t="s">
        <v>20</v>
      </c>
      <c r="C260" s="24" t="s">
        <v>44</v>
      </c>
      <c r="D260" s="24" t="s">
        <v>0</v>
      </c>
      <c r="E260" s="24" t="s">
        <v>9</v>
      </c>
      <c r="F260" s="5" t="s">
        <v>387</v>
      </c>
      <c r="G260" s="2" t="s">
        <v>174</v>
      </c>
      <c r="H260" s="2" t="s">
        <v>86</v>
      </c>
      <c r="I260" s="24" t="s">
        <v>908</v>
      </c>
      <c r="J260" s="24" t="s">
        <v>908</v>
      </c>
      <c r="K260" s="24" t="s">
        <v>908</v>
      </c>
      <c r="M260" s="24" t="s">
        <v>908</v>
      </c>
      <c r="N260" s="24"/>
      <c r="P260" s="1" t="str">
        <f t="shared" si="6"/>
        <v>41301005</v>
      </c>
      <c r="Q260" s="263" t="str">
        <f t="shared" si="7"/>
        <v>OT - Telephone &amp; Fax</v>
      </c>
    </row>
    <row r="261" spans="1:17" x14ac:dyDescent="0.25">
      <c r="A261" s="24" t="s">
        <v>54</v>
      </c>
      <c r="B261" s="24" t="s">
        <v>20</v>
      </c>
      <c r="C261" s="24" t="s">
        <v>44</v>
      </c>
      <c r="D261" s="24" t="s">
        <v>0</v>
      </c>
      <c r="E261" s="24" t="s">
        <v>10</v>
      </c>
      <c r="F261" s="5" t="s">
        <v>902</v>
      </c>
      <c r="G261" s="2" t="s">
        <v>174</v>
      </c>
      <c r="H261" s="2" t="s">
        <v>86</v>
      </c>
      <c r="I261" s="24" t="s">
        <v>907</v>
      </c>
      <c r="J261" s="24" t="s">
        <v>910</v>
      </c>
      <c r="K261" s="24" t="s">
        <v>910</v>
      </c>
      <c r="M261" s="24" t="s">
        <v>907</v>
      </c>
      <c r="N261" s="24"/>
      <c r="P261" s="1" t="str">
        <f t="shared" ref="P261:P323" si="8">CONCATENATE(A261,B261,C261,D261,E261)</f>
        <v>41301006</v>
      </c>
      <c r="Q261" s="263" t="str">
        <f t="shared" si="7"/>
        <v>OT - Sport &amp; Recreation</v>
      </c>
    </row>
    <row r="262" spans="1:17" x14ac:dyDescent="0.25">
      <c r="A262" s="24" t="s">
        <v>54</v>
      </c>
      <c r="B262" s="24" t="s">
        <v>20</v>
      </c>
      <c r="C262" s="24" t="s">
        <v>44</v>
      </c>
      <c r="D262" s="24" t="s">
        <v>0</v>
      </c>
      <c r="E262" s="24" t="s">
        <v>11</v>
      </c>
      <c r="F262" s="5" t="s">
        <v>851</v>
      </c>
      <c r="G262" s="2" t="s">
        <v>174</v>
      </c>
      <c r="H262" s="2" t="s">
        <v>86</v>
      </c>
      <c r="I262" s="24" t="s">
        <v>910</v>
      </c>
      <c r="J262" s="24" t="s">
        <v>910</v>
      </c>
      <c r="K262" s="24" t="s">
        <v>910</v>
      </c>
      <c r="M262" s="24" t="s">
        <v>907</v>
      </c>
      <c r="N262" s="24"/>
      <c r="P262" s="1" t="str">
        <f t="shared" si="8"/>
        <v>41301007</v>
      </c>
      <c r="Q262" s="263" t="str">
        <f t="shared" si="7"/>
        <v>OT - Space Rented</v>
      </c>
    </row>
    <row r="263" spans="1:17" x14ac:dyDescent="0.25">
      <c r="A263" s="24" t="s">
        <v>54</v>
      </c>
      <c r="B263" s="24" t="s">
        <v>20</v>
      </c>
      <c r="C263" s="24" t="s">
        <v>44</v>
      </c>
      <c r="D263" s="24" t="s">
        <v>0</v>
      </c>
      <c r="E263" s="24" t="s">
        <v>13</v>
      </c>
      <c r="F263" s="5" t="s">
        <v>531</v>
      </c>
      <c r="G263" s="2" t="s">
        <v>174</v>
      </c>
      <c r="H263" s="2" t="s">
        <v>23</v>
      </c>
      <c r="I263" s="24" t="s">
        <v>908</v>
      </c>
      <c r="J263" s="24" t="s">
        <v>908</v>
      </c>
      <c r="K263" s="24" t="s">
        <v>908</v>
      </c>
      <c r="M263" s="24" t="s">
        <v>908</v>
      </c>
      <c r="N263" s="24"/>
      <c r="P263" s="1" t="str">
        <f t="shared" si="8"/>
        <v>41301008</v>
      </c>
      <c r="Q263" s="263" t="str">
        <f t="shared" si="7"/>
        <v>OT - Business Center Discount &amp; Allowances</v>
      </c>
    </row>
    <row r="264" spans="1:17" x14ac:dyDescent="0.25">
      <c r="A264" s="24" t="s">
        <v>54</v>
      </c>
      <c r="B264" s="24" t="s">
        <v>20</v>
      </c>
      <c r="C264" s="24" t="s">
        <v>44</v>
      </c>
      <c r="D264" s="24" t="s">
        <v>0</v>
      </c>
      <c r="E264" s="24" t="s">
        <v>15</v>
      </c>
      <c r="F264" s="5" t="s">
        <v>532</v>
      </c>
      <c r="G264" s="2" t="s">
        <v>174</v>
      </c>
      <c r="H264" s="2" t="s">
        <v>23</v>
      </c>
      <c r="I264" s="24" t="s">
        <v>908</v>
      </c>
      <c r="J264" s="24" t="s">
        <v>908</v>
      </c>
      <c r="K264" s="24" t="s">
        <v>908</v>
      </c>
      <c r="M264" s="24" t="s">
        <v>908</v>
      </c>
      <c r="N264" s="24"/>
      <c r="P264" s="1" t="str">
        <f t="shared" si="8"/>
        <v>41301009</v>
      </c>
      <c r="Q264" s="263" t="str">
        <f t="shared" si="7"/>
        <v>OT - Car Rental &amp; Transportation Discount &amp; Allowances</v>
      </c>
    </row>
    <row r="265" spans="1:17" x14ac:dyDescent="0.25">
      <c r="A265" s="24" t="s">
        <v>54</v>
      </c>
      <c r="B265" s="24" t="s">
        <v>20</v>
      </c>
      <c r="C265" s="24" t="s">
        <v>44</v>
      </c>
      <c r="D265" s="24" t="s">
        <v>0</v>
      </c>
      <c r="E265" s="24" t="s">
        <v>238</v>
      </c>
      <c r="F265" s="5" t="s">
        <v>533</v>
      </c>
      <c r="G265" s="2" t="s">
        <v>174</v>
      </c>
      <c r="H265" s="2" t="s">
        <v>23</v>
      </c>
      <c r="I265" s="24" t="s">
        <v>908</v>
      </c>
      <c r="J265" s="24" t="s">
        <v>908</v>
      </c>
      <c r="K265" s="24" t="s">
        <v>908</v>
      </c>
      <c r="M265" s="24" t="s">
        <v>908</v>
      </c>
      <c r="N265" s="24"/>
      <c r="P265" s="1" t="str">
        <f t="shared" si="8"/>
        <v>41301010</v>
      </c>
      <c r="Q265" s="263" t="str">
        <f t="shared" ref="Q265:Q328" si="9">F265</f>
        <v>OT - Guest Laundry &amp; Dry Cleaning Discount &amp; Allowances</v>
      </c>
    </row>
    <row r="266" spans="1:17" x14ac:dyDescent="0.25">
      <c r="A266" s="24" t="s">
        <v>54</v>
      </c>
      <c r="B266" s="24" t="s">
        <v>20</v>
      </c>
      <c r="C266" s="24" t="s">
        <v>44</v>
      </c>
      <c r="D266" s="24" t="s">
        <v>0</v>
      </c>
      <c r="E266" s="24" t="s">
        <v>240</v>
      </c>
      <c r="F266" s="5" t="s">
        <v>852</v>
      </c>
      <c r="G266" s="2" t="s">
        <v>174</v>
      </c>
      <c r="H266" s="2" t="s">
        <v>23</v>
      </c>
      <c r="I266" s="24" t="s">
        <v>907</v>
      </c>
      <c r="J266" s="24" t="s">
        <v>910</v>
      </c>
      <c r="K266" s="24" t="s">
        <v>910</v>
      </c>
      <c r="M266" s="24" t="s">
        <v>907</v>
      </c>
      <c r="N266" s="24"/>
      <c r="P266" s="1" t="str">
        <f t="shared" si="8"/>
        <v>41301011</v>
      </c>
      <c r="Q266" s="263" t="str">
        <f t="shared" si="9"/>
        <v>OT - Spa Discount &amp; Allowances</v>
      </c>
    </row>
    <row r="267" spans="1:17" x14ac:dyDescent="0.25">
      <c r="A267" s="24" t="s">
        <v>54</v>
      </c>
      <c r="B267" s="24" t="s">
        <v>20</v>
      </c>
      <c r="C267" s="24" t="s">
        <v>44</v>
      </c>
      <c r="D267" s="24" t="s">
        <v>0</v>
      </c>
      <c r="E267" s="24" t="s">
        <v>331</v>
      </c>
      <c r="F267" s="5" t="s">
        <v>853</v>
      </c>
      <c r="G267" s="2" t="s">
        <v>174</v>
      </c>
      <c r="H267" s="2" t="s">
        <v>23</v>
      </c>
      <c r="I267" s="24" t="s">
        <v>908</v>
      </c>
      <c r="J267" s="24" t="s">
        <v>908</v>
      </c>
      <c r="K267" s="24" t="s">
        <v>908</v>
      </c>
      <c r="M267" s="24" t="s">
        <v>908</v>
      </c>
      <c r="N267" s="24"/>
      <c r="P267" s="1" t="str">
        <f t="shared" si="8"/>
        <v>41301012</v>
      </c>
      <c r="Q267" s="263" t="str">
        <f t="shared" si="9"/>
        <v>OT - Telephone &amp; Fax Discount &amp; Allowances</v>
      </c>
    </row>
    <row r="268" spans="1:17" x14ac:dyDescent="0.25">
      <c r="A268" s="24" t="s">
        <v>54</v>
      </c>
      <c r="B268" s="24" t="s">
        <v>20</v>
      </c>
      <c r="C268" s="24" t="s">
        <v>44</v>
      </c>
      <c r="D268" s="24" t="s">
        <v>0</v>
      </c>
      <c r="E268" s="24" t="s">
        <v>333</v>
      </c>
      <c r="F268" s="5" t="s">
        <v>903</v>
      </c>
      <c r="G268" s="2" t="s">
        <v>174</v>
      </c>
      <c r="H268" s="2" t="s">
        <v>23</v>
      </c>
      <c r="I268" s="24" t="s">
        <v>907</v>
      </c>
      <c r="J268" s="24" t="s">
        <v>910</v>
      </c>
      <c r="K268" s="24" t="s">
        <v>910</v>
      </c>
      <c r="M268" s="24" t="s">
        <v>907</v>
      </c>
      <c r="N268" s="24"/>
      <c r="P268" s="1" t="str">
        <f t="shared" si="8"/>
        <v>41301013</v>
      </c>
      <c r="Q268" s="263" t="str">
        <f t="shared" si="9"/>
        <v>OT - Sport &amp; Recreation Discount &amp; Allowances</v>
      </c>
    </row>
    <row r="269" spans="1:17" x14ac:dyDescent="0.25">
      <c r="A269" s="24" t="s">
        <v>54</v>
      </c>
      <c r="B269" s="24" t="s">
        <v>20</v>
      </c>
      <c r="C269" s="24" t="s">
        <v>44</v>
      </c>
      <c r="D269" s="24" t="s">
        <v>0</v>
      </c>
      <c r="E269" s="24" t="s">
        <v>43</v>
      </c>
      <c r="F269" s="5" t="s">
        <v>585</v>
      </c>
      <c r="G269" s="2" t="s">
        <v>174</v>
      </c>
      <c r="H269" s="2" t="s">
        <v>86</v>
      </c>
      <c r="I269" s="24" t="s">
        <v>908</v>
      </c>
      <c r="J269" s="24" t="s">
        <v>908</v>
      </c>
      <c r="K269" s="24" t="s">
        <v>908</v>
      </c>
      <c r="M269" s="24" t="s">
        <v>908</v>
      </c>
      <c r="N269" s="24"/>
      <c r="P269" s="1" t="str">
        <f t="shared" si="8"/>
        <v>41301999</v>
      </c>
      <c r="Q269" s="263" t="str">
        <f t="shared" si="9"/>
        <v>OT - Miscellaneous Revenue</v>
      </c>
    </row>
    <row r="270" spans="1:17" hidden="1" x14ac:dyDescent="0.25">
      <c r="A270" s="8" t="s">
        <v>58</v>
      </c>
      <c r="B270" s="8"/>
      <c r="C270" s="8"/>
      <c r="D270" s="8"/>
      <c r="E270" s="8"/>
      <c r="F270" s="9" t="s">
        <v>205</v>
      </c>
      <c r="G270" s="10" t="s">
        <v>174</v>
      </c>
      <c r="H270" s="10" t="s">
        <v>23</v>
      </c>
      <c r="I270" s="10" t="s">
        <v>907</v>
      </c>
      <c r="J270" s="10" t="s">
        <v>907</v>
      </c>
      <c r="K270" s="10" t="s">
        <v>907</v>
      </c>
      <c r="M270" s="10" t="s">
        <v>907</v>
      </c>
      <c r="N270" s="10"/>
      <c r="Q270" s="263"/>
    </row>
    <row r="271" spans="1:17" hidden="1" x14ac:dyDescent="0.25">
      <c r="A271" s="12" t="s">
        <v>58</v>
      </c>
      <c r="B271" s="12" t="s">
        <v>20</v>
      </c>
      <c r="C271" s="12"/>
      <c r="D271" s="12"/>
      <c r="E271" s="12"/>
      <c r="F271" s="13" t="s">
        <v>206</v>
      </c>
      <c r="G271" s="14" t="s">
        <v>174</v>
      </c>
      <c r="H271" s="14" t="s">
        <v>23</v>
      </c>
      <c r="I271" s="14" t="s">
        <v>907</v>
      </c>
      <c r="J271" s="14" t="s">
        <v>907</v>
      </c>
      <c r="K271" s="14" t="s">
        <v>907</v>
      </c>
      <c r="M271" s="14" t="s">
        <v>907</v>
      </c>
      <c r="N271" s="14"/>
      <c r="Q271" s="263"/>
    </row>
    <row r="272" spans="1:17" hidden="1" x14ac:dyDescent="0.25">
      <c r="A272" s="16" t="s">
        <v>58</v>
      </c>
      <c r="B272" s="16" t="s">
        <v>20</v>
      </c>
      <c r="C272" s="16" t="s">
        <v>20</v>
      </c>
      <c r="D272" s="16"/>
      <c r="E272" s="16"/>
      <c r="F272" s="18" t="s">
        <v>207</v>
      </c>
      <c r="G272" s="19" t="s">
        <v>174</v>
      </c>
      <c r="H272" s="19" t="s">
        <v>23</v>
      </c>
      <c r="I272" s="19" t="s">
        <v>907</v>
      </c>
      <c r="J272" s="19" t="s">
        <v>907</v>
      </c>
      <c r="K272" s="19" t="s">
        <v>907</v>
      </c>
      <c r="M272" s="19" t="s">
        <v>907</v>
      </c>
      <c r="N272" s="19"/>
      <c r="Q272" s="263"/>
    </row>
    <row r="273" spans="1:17" hidden="1" x14ac:dyDescent="0.25">
      <c r="A273" s="20" t="s">
        <v>58</v>
      </c>
      <c r="B273" s="20" t="s">
        <v>20</v>
      </c>
      <c r="C273" s="20" t="s">
        <v>20</v>
      </c>
      <c r="D273" s="21" t="s">
        <v>0</v>
      </c>
      <c r="E273" s="20"/>
      <c r="F273" s="22" t="s">
        <v>208</v>
      </c>
      <c r="G273" s="23" t="s">
        <v>174</v>
      </c>
      <c r="H273" s="23" t="s">
        <v>23</v>
      </c>
      <c r="I273" s="23" t="s">
        <v>907</v>
      </c>
      <c r="J273" s="23" t="s">
        <v>907</v>
      </c>
      <c r="K273" s="23" t="s">
        <v>907</v>
      </c>
      <c r="M273" s="23" t="s">
        <v>907</v>
      </c>
      <c r="N273" s="23"/>
      <c r="Q273" s="263"/>
    </row>
    <row r="274" spans="1:17" x14ac:dyDescent="0.25">
      <c r="A274" s="24" t="s">
        <v>58</v>
      </c>
      <c r="B274" s="24" t="s">
        <v>20</v>
      </c>
      <c r="C274" s="24" t="s">
        <v>20</v>
      </c>
      <c r="D274" s="24" t="s">
        <v>0</v>
      </c>
      <c r="E274" s="24" t="s">
        <v>1</v>
      </c>
      <c r="F274" s="5" t="s">
        <v>209</v>
      </c>
      <c r="G274" s="2" t="s">
        <v>174</v>
      </c>
      <c r="H274" s="2" t="s">
        <v>23</v>
      </c>
      <c r="I274" s="24" t="s">
        <v>907</v>
      </c>
      <c r="J274" s="2" t="s">
        <v>910</v>
      </c>
      <c r="K274" s="24" t="s">
        <v>908</v>
      </c>
      <c r="M274" s="2" t="s">
        <v>907</v>
      </c>
      <c r="N274" s="24"/>
      <c r="P274" s="1" t="str">
        <f t="shared" si="8"/>
        <v>51101001</v>
      </c>
      <c r="Q274" s="263" t="str">
        <f t="shared" si="9"/>
        <v>RB - Cost of Food</v>
      </c>
    </row>
    <row r="275" spans="1:17" x14ac:dyDescent="0.25">
      <c r="A275" s="24" t="s">
        <v>58</v>
      </c>
      <c r="B275" s="24" t="s">
        <v>20</v>
      </c>
      <c r="C275" s="24" t="s">
        <v>20</v>
      </c>
      <c r="D275" s="24" t="s">
        <v>0</v>
      </c>
      <c r="E275" s="24" t="s">
        <v>3</v>
      </c>
      <c r="F275" s="5" t="s">
        <v>210</v>
      </c>
      <c r="G275" s="2" t="s">
        <v>174</v>
      </c>
      <c r="H275" s="2" t="s">
        <v>23</v>
      </c>
      <c r="I275" s="24" t="s">
        <v>907</v>
      </c>
      <c r="J275" s="2" t="s">
        <v>910</v>
      </c>
      <c r="K275" s="24" t="s">
        <v>908</v>
      </c>
      <c r="M275" s="2" t="s">
        <v>907</v>
      </c>
      <c r="N275" s="24"/>
      <c r="P275" s="1" t="str">
        <f t="shared" si="8"/>
        <v>51101002</v>
      </c>
      <c r="Q275" s="263" t="str">
        <f t="shared" si="9"/>
        <v>RB - Cost of Beverage</v>
      </c>
    </row>
    <row r="276" spans="1:17" x14ac:dyDescent="0.25">
      <c r="A276" s="24" t="s">
        <v>58</v>
      </c>
      <c r="B276" s="24" t="s">
        <v>20</v>
      </c>
      <c r="C276" s="24" t="s">
        <v>20</v>
      </c>
      <c r="D276" s="24" t="s">
        <v>0</v>
      </c>
      <c r="E276" s="24" t="s">
        <v>5</v>
      </c>
      <c r="F276" s="5" t="s">
        <v>898</v>
      </c>
      <c r="G276" s="2" t="s">
        <v>174</v>
      </c>
      <c r="H276" s="2" t="s">
        <v>23</v>
      </c>
      <c r="I276" s="24" t="s">
        <v>908</v>
      </c>
      <c r="J276" s="2" t="s">
        <v>910</v>
      </c>
      <c r="K276" s="24" t="s">
        <v>907</v>
      </c>
      <c r="M276" s="2" t="s">
        <v>908</v>
      </c>
      <c r="N276" s="24"/>
      <c r="P276" s="1" t="str">
        <f t="shared" si="8"/>
        <v>51101003</v>
      </c>
      <c r="Q276" s="263" t="str">
        <f t="shared" si="9"/>
        <v>RB - Cost of Breakfast Catering</v>
      </c>
    </row>
    <row r="277" spans="1:17" x14ac:dyDescent="0.25">
      <c r="A277" s="24" t="s">
        <v>58</v>
      </c>
      <c r="B277" s="24" t="s">
        <v>20</v>
      </c>
      <c r="C277" s="24" t="s">
        <v>20</v>
      </c>
      <c r="D277" s="24" t="s">
        <v>0</v>
      </c>
      <c r="E277" s="24" t="s">
        <v>7</v>
      </c>
      <c r="F277" s="5" t="s">
        <v>211</v>
      </c>
      <c r="G277" s="2" t="s">
        <v>174</v>
      </c>
      <c r="H277" s="2" t="s">
        <v>23</v>
      </c>
      <c r="I277" s="24" t="s">
        <v>908</v>
      </c>
      <c r="J277" s="24" t="s">
        <v>908</v>
      </c>
      <c r="K277" s="24" t="s">
        <v>908</v>
      </c>
      <c r="M277" s="24" t="s">
        <v>908</v>
      </c>
      <c r="N277" s="24"/>
      <c r="P277" s="1" t="str">
        <f t="shared" si="8"/>
        <v>51101004</v>
      </c>
      <c r="Q277" s="263" t="str">
        <f t="shared" si="9"/>
        <v>RB - Other Cost of Sales</v>
      </c>
    </row>
    <row r="278" spans="1:17" x14ac:dyDescent="0.25">
      <c r="A278" s="20" t="s">
        <v>58</v>
      </c>
      <c r="B278" s="20" t="s">
        <v>20</v>
      </c>
      <c r="C278" s="20" t="s">
        <v>20</v>
      </c>
      <c r="D278" s="21" t="s">
        <v>2</v>
      </c>
      <c r="E278" s="20"/>
      <c r="F278" s="22" t="s">
        <v>212</v>
      </c>
      <c r="G278" s="23" t="s">
        <v>174</v>
      </c>
      <c r="H278" s="23" t="s">
        <v>23</v>
      </c>
      <c r="I278" s="23" t="s">
        <v>907</v>
      </c>
      <c r="J278" s="23" t="s">
        <v>907</v>
      </c>
      <c r="K278" s="23" t="s">
        <v>907</v>
      </c>
      <c r="M278" s="23" t="s">
        <v>907</v>
      </c>
      <c r="N278" s="23"/>
      <c r="P278" s="1" t="str">
        <f t="shared" si="8"/>
        <v>51102</v>
      </c>
      <c r="Q278" s="263" t="str">
        <f t="shared" si="9"/>
        <v>Bar &amp; Lounge  - Cost Of Sales</v>
      </c>
    </row>
    <row r="279" spans="1:17" x14ac:dyDescent="0.25">
      <c r="A279" s="24" t="s">
        <v>58</v>
      </c>
      <c r="B279" s="24" t="s">
        <v>20</v>
      </c>
      <c r="C279" s="24" t="s">
        <v>20</v>
      </c>
      <c r="D279" s="24" t="s">
        <v>2</v>
      </c>
      <c r="E279" s="24" t="s">
        <v>1</v>
      </c>
      <c r="F279" s="5" t="s">
        <v>213</v>
      </c>
      <c r="G279" s="2" t="s">
        <v>174</v>
      </c>
      <c r="H279" s="2" t="s">
        <v>23</v>
      </c>
      <c r="I279" s="24" t="s">
        <v>907</v>
      </c>
      <c r="J279" s="2" t="s">
        <v>910</v>
      </c>
      <c r="K279" s="24" t="s">
        <v>908</v>
      </c>
      <c r="M279" s="2" t="s">
        <v>907</v>
      </c>
      <c r="N279" s="24"/>
      <c r="P279" s="1" t="str">
        <f t="shared" si="8"/>
        <v>51102001</v>
      </c>
      <c r="Q279" s="263" t="str">
        <f t="shared" si="9"/>
        <v>BL - Cost of Food</v>
      </c>
    </row>
    <row r="280" spans="1:17" x14ac:dyDescent="0.25">
      <c r="A280" s="24" t="s">
        <v>58</v>
      </c>
      <c r="B280" s="24" t="s">
        <v>20</v>
      </c>
      <c r="C280" s="24" t="s">
        <v>20</v>
      </c>
      <c r="D280" s="24" t="s">
        <v>2</v>
      </c>
      <c r="E280" s="24" t="s">
        <v>3</v>
      </c>
      <c r="F280" s="5" t="s">
        <v>214</v>
      </c>
      <c r="G280" s="2" t="s">
        <v>174</v>
      </c>
      <c r="H280" s="2" t="s">
        <v>23</v>
      </c>
      <c r="I280" s="24" t="s">
        <v>907</v>
      </c>
      <c r="J280" s="2" t="s">
        <v>910</v>
      </c>
      <c r="K280" s="24" t="s">
        <v>908</v>
      </c>
      <c r="M280" s="2" t="s">
        <v>907</v>
      </c>
      <c r="N280" s="24"/>
      <c r="P280" s="1" t="str">
        <f t="shared" si="8"/>
        <v>51102002</v>
      </c>
      <c r="Q280" s="263" t="str">
        <f t="shared" si="9"/>
        <v>BL - Cost of Beverage</v>
      </c>
    </row>
    <row r="281" spans="1:17" x14ac:dyDescent="0.25">
      <c r="A281" s="24" t="s">
        <v>58</v>
      </c>
      <c r="B281" s="24" t="s">
        <v>20</v>
      </c>
      <c r="C281" s="24" t="s">
        <v>20</v>
      </c>
      <c r="D281" s="24" t="s">
        <v>2</v>
      </c>
      <c r="E281" s="24" t="s">
        <v>5</v>
      </c>
      <c r="F281" s="5" t="s">
        <v>215</v>
      </c>
      <c r="G281" s="2" t="s">
        <v>174</v>
      </c>
      <c r="H281" s="2" t="s">
        <v>23</v>
      </c>
      <c r="I281" s="24" t="s">
        <v>907</v>
      </c>
      <c r="J281" s="2" t="s">
        <v>910</v>
      </c>
      <c r="K281" s="24" t="s">
        <v>908</v>
      </c>
      <c r="M281" s="2" t="s">
        <v>907</v>
      </c>
      <c r="N281" s="24"/>
      <c r="P281" s="1" t="str">
        <f t="shared" si="8"/>
        <v>51102003</v>
      </c>
      <c r="Q281" s="263" t="str">
        <f t="shared" si="9"/>
        <v>BL - Other Cost of Sales</v>
      </c>
    </row>
    <row r="282" spans="1:17" x14ac:dyDescent="0.25">
      <c r="A282" s="20" t="s">
        <v>58</v>
      </c>
      <c r="B282" s="20" t="s">
        <v>20</v>
      </c>
      <c r="C282" s="20" t="s">
        <v>20</v>
      </c>
      <c r="D282" s="21" t="s">
        <v>4</v>
      </c>
      <c r="E282" s="20"/>
      <c r="F282" s="22" t="s">
        <v>216</v>
      </c>
      <c r="G282" s="23" t="s">
        <v>174</v>
      </c>
      <c r="H282" s="23" t="s">
        <v>23</v>
      </c>
      <c r="I282" s="23" t="s">
        <v>907</v>
      </c>
      <c r="J282" s="23" t="s">
        <v>907</v>
      </c>
      <c r="K282" s="23" t="s">
        <v>907</v>
      </c>
      <c r="M282" s="23" t="s">
        <v>907</v>
      </c>
      <c r="N282" s="23"/>
      <c r="P282" s="1" t="str">
        <f t="shared" si="8"/>
        <v>51103</v>
      </c>
      <c r="Q282" s="263" t="str">
        <f t="shared" si="9"/>
        <v>Banquet &amp; Meeting Package - Cost Of Sales</v>
      </c>
    </row>
    <row r="283" spans="1:17" x14ac:dyDescent="0.25">
      <c r="A283" s="24" t="s">
        <v>58</v>
      </c>
      <c r="B283" s="24" t="s">
        <v>20</v>
      </c>
      <c r="C283" s="24" t="s">
        <v>20</v>
      </c>
      <c r="D283" s="24" t="s">
        <v>4</v>
      </c>
      <c r="E283" s="24" t="s">
        <v>1</v>
      </c>
      <c r="F283" s="5" t="s">
        <v>217</v>
      </c>
      <c r="G283" s="2" t="s">
        <v>174</v>
      </c>
      <c r="H283" s="2" t="s">
        <v>23</v>
      </c>
      <c r="I283" s="24" t="s">
        <v>908</v>
      </c>
      <c r="J283" s="24" t="s">
        <v>908</v>
      </c>
      <c r="K283" s="24" t="s">
        <v>908</v>
      </c>
      <c r="M283" s="24" t="s">
        <v>908</v>
      </c>
      <c r="N283" s="24"/>
      <c r="P283" s="1" t="str">
        <f t="shared" si="8"/>
        <v>51103001</v>
      </c>
      <c r="Q283" s="263" t="str">
        <f t="shared" si="9"/>
        <v>BQ - Cost of Banquet</v>
      </c>
    </row>
    <row r="284" spans="1:17" x14ac:dyDescent="0.25">
      <c r="A284" s="24" t="s">
        <v>58</v>
      </c>
      <c r="B284" s="24" t="s">
        <v>20</v>
      </c>
      <c r="C284" s="24" t="s">
        <v>20</v>
      </c>
      <c r="D284" s="24" t="s">
        <v>4</v>
      </c>
      <c r="E284" s="24" t="s">
        <v>3</v>
      </c>
      <c r="F284" s="5" t="s">
        <v>218</v>
      </c>
      <c r="G284" s="2" t="s">
        <v>174</v>
      </c>
      <c r="H284" s="2" t="s">
        <v>23</v>
      </c>
      <c r="I284" s="24" t="s">
        <v>908</v>
      </c>
      <c r="J284" s="24" t="s">
        <v>908</v>
      </c>
      <c r="K284" s="24" t="s">
        <v>908</v>
      </c>
      <c r="M284" s="24" t="s">
        <v>908</v>
      </c>
      <c r="N284" s="24"/>
      <c r="P284" s="1" t="str">
        <f t="shared" si="8"/>
        <v>51103002</v>
      </c>
      <c r="Q284" s="263" t="str">
        <f t="shared" si="9"/>
        <v>BQ - Cost of Meeting Package</v>
      </c>
    </row>
    <row r="285" spans="1:17" x14ac:dyDescent="0.25">
      <c r="A285" s="24" t="s">
        <v>58</v>
      </c>
      <c r="B285" s="24" t="s">
        <v>20</v>
      </c>
      <c r="C285" s="24" t="s">
        <v>20</v>
      </c>
      <c r="D285" s="24" t="s">
        <v>4</v>
      </c>
      <c r="E285" s="24" t="s">
        <v>5</v>
      </c>
      <c r="F285" s="5" t="s">
        <v>219</v>
      </c>
      <c r="G285" s="2" t="s">
        <v>174</v>
      </c>
      <c r="H285" s="2" t="s">
        <v>23</v>
      </c>
      <c r="I285" s="24" t="s">
        <v>908</v>
      </c>
      <c r="J285" s="24" t="s">
        <v>908</v>
      </c>
      <c r="K285" s="24" t="s">
        <v>908</v>
      </c>
      <c r="M285" s="24" t="s">
        <v>908</v>
      </c>
      <c r="N285" s="24"/>
      <c r="P285" s="1" t="str">
        <f t="shared" si="8"/>
        <v>51103003</v>
      </c>
      <c r="Q285" s="263" t="str">
        <f t="shared" si="9"/>
        <v>BQ - Other Cost of Sales</v>
      </c>
    </row>
    <row r="286" spans="1:17" hidden="1" x14ac:dyDescent="0.25">
      <c r="A286" s="16" t="s">
        <v>58</v>
      </c>
      <c r="B286" s="16" t="s">
        <v>20</v>
      </c>
      <c r="C286" s="16" t="s">
        <v>33</v>
      </c>
      <c r="D286" s="16"/>
      <c r="E286" s="16"/>
      <c r="F286" s="11" t="s">
        <v>854</v>
      </c>
      <c r="G286" s="19" t="s">
        <v>174</v>
      </c>
      <c r="H286" s="19" t="s">
        <v>23</v>
      </c>
      <c r="I286" s="16" t="s">
        <v>907</v>
      </c>
      <c r="J286" s="16" t="s">
        <v>907</v>
      </c>
      <c r="K286" s="16" t="s">
        <v>907</v>
      </c>
      <c r="M286" s="16" t="s">
        <v>907</v>
      </c>
      <c r="N286" s="16"/>
      <c r="Q286" s="263"/>
    </row>
    <row r="287" spans="1:17" hidden="1" x14ac:dyDescent="0.25">
      <c r="A287" s="20" t="s">
        <v>58</v>
      </c>
      <c r="B287" s="20" t="s">
        <v>20</v>
      </c>
      <c r="C287" s="20" t="s">
        <v>33</v>
      </c>
      <c r="D287" s="21" t="s">
        <v>0</v>
      </c>
      <c r="E287" s="20"/>
      <c r="F287" s="22" t="s">
        <v>220</v>
      </c>
      <c r="G287" s="23" t="s">
        <v>174</v>
      </c>
      <c r="H287" s="23" t="s">
        <v>23</v>
      </c>
      <c r="I287" s="23" t="s">
        <v>907</v>
      </c>
      <c r="J287" s="23" t="s">
        <v>907</v>
      </c>
      <c r="K287" s="23" t="s">
        <v>907</v>
      </c>
      <c r="M287" s="23" t="s">
        <v>907</v>
      </c>
      <c r="N287" s="23"/>
      <c r="Q287" s="263"/>
    </row>
    <row r="288" spans="1:17" x14ac:dyDescent="0.25">
      <c r="A288" s="24" t="s">
        <v>58</v>
      </c>
      <c r="B288" s="24" t="s">
        <v>20</v>
      </c>
      <c r="C288" s="24" t="s">
        <v>33</v>
      </c>
      <c r="D288" s="24" t="s">
        <v>0</v>
      </c>
      <c r="E288" s="24" t="s">
        <v>1</v>
      </c>
      <c r="F288" s="5" t="s">
        <v>221</v>
      </c>
      <c r="G288" s="2" t="s">
        <v>174</v>
      </c>
      <c r="H288" s="2" t="s">
        <v>23</v>
      </c>
      <c r="I288" s="24" t="s">
        <v>908</v>
      </c>
      <c r="J288" s="24" t="s">
        <v>908</v>
      </c>
      <c r="K288" s="24" t="s">
        <v>908</v>
      </c>
      <c r="M288" s="24" t="s">
        <v>908</v>
      </c>
      <c r="N288" s="2"/>
      <c r="P288" s="1" t="str">
        <f t="shared" si="8"/>
        <v>51201001</v>
      </c>
      <c r="Q288" s="263" t="str">
        <f t="shared" si="9"/>
        <v>OT - Cost of Business Center</v>
      </c>
    </row>
    <row r="289" spans="1:17" x14ac:dyDescent="0.25">
      <c r="A289" s="24" t="s">
        <v>58</v>
      </c>
      <c r="B289" s="24" t="s">
        <v>20</v>
      </c>
      <c r="C289" s="24" t="s">
        <v>33</v>
      </c>
      <c r="D289" s="24" t="s">
        <v>0</v>
      </c>
      <c r="E289" s="24" t="s">
        <v>3</v>
      </c>
      <c r="F289" s="5" t="s">
        <v>222</v>
      </c>
      <c r="G289" s="2" t="s">
        <v>174</v>
      </c>
      <c r="H289" s="2" t="s">
        <v>23</v>
      </c>
      <c r="I289" s="24" t="s">
        <v>908</v>
      </c>
      <c r="J289" s="24" t="s">
        <v>908</v>
      </c>
      <c r="K289" s="24" t="s">
        <v>908</v>
      </c>
      <c r="M289" s="24" t="s">
        <v>908</v>
      </c>
      <c r="N289" s="2"/>
      <c r="P289" s="1" t="str">
        <f t="shared" si="8"/>
        <v>51201002</v>
      </c>
      <c r="Q289" s="263" t="str">
        <f t="shared" si="9"/>
        <v>OT - Cost of Car Rental &amp; Transportation</v>
      </c>
    </row>
    <row r="290" spans="1:17" x14ac:dyDescent="0.25">
      <c r="A290" s="24" t="s">
        <v>58</v>
      </c>
      <c r="B290" s="24" t="s">
        <v>20</v>
      </c>
      <c r="C290" s="24" t="s">
        <v>33</v>
      </c>
      <c r="D290" s="24" t="s">
        <v>0</v>
      </c>
      <c r="E290" s="24" t="s">
        <v>5</v>
      </c>
      <c r="F290" s="5" t="s">
        <v>223</v>
      </c>
      <c r="G290" s="2" t="s">
        <v>174</v>
      </c>
      <c r="H290" s="2" t="s">
        <v>23</v>
      </c>
      <c r="I290" s="24" t="s">
        <v>908</v>
      </c>
      <c r="J290" s="24" t="s">
        <v>908</v>
      </c>
      <c r="K290" s="24" t="s">
        <v>908</v>
      </c>
      <c r="M290" s="24" t="s">
        <v>908</v>
      </c>
      <c r="N290" s="2"/>
      <c r="P290" s="1" t="str">
        <f t="shared" si="8"/>
        <v>51201003</v>
      </c>
      <c r="Q290" s="263" t="str">
        <f t="shared" si="9"/>
        <v>OT - Cost of Guest Laundry &amp; Dry Cleaning</v>
      </c>
    </row>
    <row r="291" spans="1:17" x14ac:dyDescent="0.25">
      <c r="A291" s="24" t="s">
        <v>58</v>
      </c>
      <c r="B291" s="24" t="s">
        <v>20</v>
      </c>
      <c r="C291" s="24" t="s">
        <v>33</v>
      </c>
      <c r="D291" s="24" t="s">
        <v>0</v>
      </c>
      <c r="E291" s="24" t="s">
        <v>7</v>
      </c>
      <c r="F291" s="5" t="s">
        <v>855</v>
      </c>
      <c r="G291" s="2" t="s">
        <v>174</v>
      </c>
      <c r="H291" s="2" t="s">
        <v>23</v>
      </c>
      <c r="I291" s="24" t="s">
        <v>907</v>
      </c>
      <c r="J291" s="24" t="s">
        <v>910</v>
      </c>
      <c r="K291" s="24" t="s">
        <v>910</v>
      </c>
      <c r="M291" s="24" t="s">
        <v>907</v>
      </c>
      <c r="N291" s="2"/>
      <c r="P291" s="1" t="str">
        <f t="shared" si="8"/>
        <v>51201004</v>
      </c>
      <c r="Q291" s="263" t="str">
        <f t="shared" si="9"/>
        <v>OT - Cost of Spa</v>
      </c>
    </row>
    <row r="292" spans="1:17" x14ac:dyDescent="0.25">
      <c r="A292" s="24" t="s">
        <v>58</v>
      </c>
      <c r="B292" s="24" t="s">
        <v>20</v>
      </c>
      <c r="C292" s="24" t="s">
        <v>33</v>
      </c>
      <c r="D292" s="24" t="s">
        <v>0</v>
      </c>
      <c r="E292" s="24" t="s">
        <v>9</v>
      </c>
      <c r="F292" s="5" t="s">
        <v>856</v>
      </c>
      <c r="G292" s="2" t="s">
        <v>174</v>
      </c>
      <c r="H292" s="2" t="s">
        <v>23</v>
      </c>
      <c r="I292" s="24" t="s">
        <v>908</v>
      </c>
      <c r="J292" s="24" t="s">
        <v>908</v>
      </c>
      <c r="K292" s="24" t="s">
        <v>908</v>
      </c>
      <c r="M292" s="24" t="s">
        <v>908</v>
      </c>
      <c r="N292" s="2"/>
      <c r="P292" s="1" t="str">
        <f t="shared" si="8"/>
        <v>51201005</v>
      </c>
      <c r="Q292" s="263" t="str">
        <f t="shared" si="9"/>
        <v>OT - Cost of Telephone &amp; Fax</v>
      </c>
    </row>
    <row r="293" spans="1:17" x14ac:dyDescent="0.25">
      <c r="A293" s="24" t="s">
        <v>58</v>
      </c>
      <c r="B293" s="24" t="s">
        <v>20</v>
      </c>
      <c r="C293" s="24" t="s">
        <v>33</v>
      </c>
      <c r="D293" s="24" t="s">
        <v>0</v>
      </c>
      <c r="E293" s="24" t="s">
        <v>10</v>
      </c>
      <c r="F293" s="5" t="s">
        <v>901</v>
      </c>
      <c r="G293" s="2" t="s">
        <v>174</v>
      </c>
      <c r="H293" s="2" t="s">
        <v>23</v>
      </c>
      <c r="I293" s="24" t="s">
        <v>907</v>
      </c>
      <c r="J293" s="24" t="s">
        <v>910</v>
      </c>
      <c r="K293" s="24" t="s">
        <v>910</v>
      </c>
      <c r="M293" s="24" t="s">
        <v>907</v>
      </c>
      <c r="N293" s="2"/>
      <c r="P293" s="1" t="str">
        <f t="shared" si="8"/>
        <v>51201006</v>
      </c>
      <c r="Q293" s="263" t="str">
        <f t="shared" si="9"/>
        <v>OT - Cost of Sport &amp; Recreation</v>
      </c>
    </row>
    <row r="294" spans="1:17" x14ac:dyDescent="0.25">
      <c r="A294" s="24" t="s">
        <v>58</v>
      </c>
      <c r="B294" s="24" t="s">
        <v>20</v>
      </c>
      <c r="C294" s="24" t="s">
        <v>33</v>
      </c>
      <c r="D294" s="24" t="s">
        <v>2</v>
      </c>
      <c r="E294" s="2">
        <v>999</v>
      </c>
      <c r="F294" s="5" t="s">
        <v>586</v>
      </c>
      <c r="G294" s="2" t="s">
        <v>174</v>
      </c>
      <c r="H294" s="2" t="s">
        <v>23</v>
      </c>
      <c r="I294" s="24" t="s">
        <v>908</v>
      </c>
      <c r="J294" s="24" t="s">
        <v>908</v>
      </c>
      <c r="K294" s="24" t="s">
        <v>908</v>
      </c>
      <c r="M294" s="24" t="s">
        <v>908</v>
      </c>
      <c r="N294" s="24"/>
      <c r="P294" s="1" t="str">
        <f t="shared" si="8"/>
        <v>51202999</v>
      </c>
      <c r="Q294" s="263" t="str">
        <f t="shared" si="9"/>
        <v>OT - Cost of Miscellaneous Revenue</v>
      </c>
    </row>
    <row r="295" spans="1:17" hidden="1" x14ac:dyDescent="0.25">
      <c r="A295" s="8" t="s">
        <v>224</v>
      </c>
      <c r="B295" s="8"/>
      <c r="C295" s="8"/>
      <c r="D295" s="8"/>
      <c r="E295" s="8"/>
      <c r="F295" s="9" t="s">
        <v>225</v>
      </c>
      <c r="G295" s="10" t="s">
        <v>174</v>
      </c>
      <c r="H295" s="10" t="s">
        <v>23</v>
      </c>
      <c r="I295" s="10" t="s">
        <v>907</v>
      </c>
      <c r="J295" s="10" t="s">
        <v>907</v>
      </c>
      <c r="K295" s="10" t="s">
        <v>907</v>
      </c>
      <c r="M295" s="10" t="s">
        <v>907</v>
      </c>
      <c r="N295" s="10"/>
      <c r="Q295" s="263"/>
    </row>
    <row r="296" spans="1:17" hidden="1" x14ac:dyDescent="0.25">
      <c r="A296" s="12" t="s">
        <v>224</v>
      </c>
      <c r="B296" s="12" t="s">
        <v>20</v>
      </c>
      <c r="C296" s="12"/>
      <c r="D296" s="12"/>
      <c r="E296" s="12"/>
      <c r="F296" s="13" t="s">
        <v>226</v>
      </c>
      <c r="G296" s="14" t="s">
        <v>174</v>
      </c>
      <c r="H296" s="14" t="s">
        <v>23</v>
      </c>
      <c r="I296" s="14" t="s">
        <v>907</v>
      </c>
      <c r="J296" s="14" t="s">
        <v>907</v>
      </c>
      <c r="K296" s="14" t="s">
        <v>907</v>
      </c>
      <c r="M296" s="14" t="s">
        <v>907</v>
      </c>
      <c r="N296" s="14"/>
      <c r="Q296" s="263"/>
    </row>
    <row r="297" spans="1:17" hidden="1" x14ac:dyDescent="0.25">
      <c r="A297" s="16" t="s">
        <v>224</v>
      </c>
      <c r="B297" s="16" t="s">
        <v>20</v>
      </c>
      <c r="C297" s="16" t="s">
        <v>20</v>
      </c>
      <c r="D297" s="16"/>
      <c r="E297" s="16"/>
      <c r="F297" s="18" t="s">
        <v>227</v>
      </c>
      <c r="G297" s="19" t="s">
        <v>174</v>
      </c>
      <c r="H297" s="19" t="s">
        <v>23</v>
      </c>
      <c r="I297" s="19" t="s">
        <v>907</v>
      </c>
      <c r="J297" s="19" t="s">
        <v>907</v>
      </c>
      <c r="K297" s="19" t="s">
        <v>907</v>
      </c>
      <c r="M297" s="19" t="s">
        <v>907</v>
      </c>
      <c r="N297" s="19"/>
      <c r="Q297" s="263"/>
    </row>
    <row r="298" spans="1:17" hidden="1" x14ac:dyDescent="0.25">
      <c r="A298" s="20" t="s">
        <v>224</v>
      </c>
      <c r="B298" s="20" t="s">
        <v>20</v>
      </c>
      <c r="C298" s="20" t="s">
        <v>20</v>
      </c>
      <c r="D298" s="21" t="s">
        <v>0</v>
      </c>
      <c r="E298" s="20"/>
      <c r="F298" s="22" t="s">
        <v>228</v>
      </c>
      <c r="G298" s="23" t="s">
        <v>174</v>
      </c>
      <c r="H298" s="23" t="s">
        <v>23</v>
      </c>
      <c r="I298" s="23" t="s">
        <v>907</v>
      </c>
      <c r="J298" s="23" t="s">
        <v>907</v>
      </c>
      <c r="K298" s="23" t="s">
        <v>907</v>
      </c>
      <c r="M298" s="23" t="s">
        <v>907</v>
      </c>
      <c r="N298" s="23"/>
      <c r="Q298" s="263"/>
    </row>
    <row r="299" spans="1:17" x14ac:dyDescent="0.25">
      <c r="A299" s="24" t="s">
        <v>224</v>
      </c>
      <c r="B299" s="24" t="s">
        <v>20</v>
      </c>
      <c r="C299" s="24" t="s">
        <v>20</v>
      </c>
      <c r="D299" s="24" t="s">
        <v>0</v>
      </c>
      <c r="E299" s="25" t="s">
        <v>1</v>
      </c>
      <c r="F299" s="5" t="s">
        <v>229</v>
      </c>
      <c r="G299" s="2" t="s">
        <v>174</v>
      </c>
      <c r="H299" s="2" t="s">
        <v>23</v>
      </c>
      <c r="I299" s="24" t="s">
        <v>908</v>
      </c>
      <c r="J299" s="24" t="s">
        <v>908</v>
      </c>
      <c r="K299" s="24" t="s">
        <v>908</v>
      </c>
      <c r="M299" s="24" t="s">
        <v>908</v>
      </c>
      <c r="N299" s="24"/>
      <c r="P299" s="1" t="str">
        <f t="shared" si="8"/>
        <v>61101001</v>
      </c>
      <c r="Q299" s="263" t="str">
        <f t="shared" si="9"/>
        <v>FO - Salary</v>
      </c>
    </row>
    <row r="300" spans="1:17" x14ac:dyDescent="0.25">
      <c r="A300" s="24" t="s">
        <v>224</v>
      </c>
      <c r="B300" s="24" t="s">
        <v>20</v>
      </c>
      <c r="C300" s="24" t="s">
        <v>20</v>
      </c>
      <c r="D300" s="24" t="s">
        <v>0</v>
      </c>
      <c r="E300" s="25" t="s">
        <v>3</v>
      </c>
      <c r="F300" s="5" t="s">
        <v>230</v>
      </c>
      <c r="G300" s="2" t="s">
        <v>174</v>
      </c>
      <c r="H300" s="2" t="s">
        <v>23</v>
      </c>
      <c r="I300" s="24" t="s">
        <v>908</v>
      </c>
      <c r="J300" s="24" t="s">
        <v>908</v>
      </c>
      <c r="K300" s="24" t="s">
        <v>908</v>
      </c>
      <c r="M300" s="24" t="s">
        <v>908</v>
      </c>
      <c r="N300" s="24"/>
      <c r="P300" s="1" t="str">
        <f t="shared" si="8"/>
        <v>61101002</v>
      </c>
      <c r="Q300" s="263" t="str">
        <f t="shared" si="9"/>
        <v>FO - Overtime</v>
      </c>
    </row>
    <row r="301" spans="1:17" x14ac:dyDescent="0.25">
      <c r="A301" s="24" t="s">
        <v>224</v>
      </c>
      <c r="B301" s="24" t="s">
        <v>20</v>
      </c>
      <c r="C301" s="24" t="s">
        <v>20</v>
      </c>
      <c r="D301" s="24" t="s">
        <v>0</v>
      </c>
      <c r="E301" s="25" t="s">
        <v>5</v>
      </c>
      <c r="F301" s="5" t="s">
        <v>231</v>
      </c>
      <c r="G301" s="2" t="s">
        <v>174</v>
      </c>
      <c r="H301" s="2" t="s">
        <v>23</v>
      </c>
      <c r="I301" s="24" t="s">
        <v>908</v>
      </c>
      <c r="J301" s="24" t="s">
        <v>908</v>
      </c>
      <c r="K301" s="24" t="s">
        <v>908</v>
      </c>
      <c r="M301" s="24" t="s">
        <v>908</v>
      </c>
      <c r="N301" s="24"/>
      <c r="P301" s="1" t="str">
        <f t="shared" si="8"/>
        <v>61101003</v>
      </c>
      <c r="Q301" s="263" t="str">
        <f t="shared" si="9"/>
        <v>FO - THR</v>
      </c>
    </row>
    <row r="302" spans="1:17" x14ac:dyDescent="0.25">
      <c r="A302" s="24" t="s">
        <v>224</v>
      </c>
      <c r="B302" s="24" t="s">
        <v>20</v>
      </c>
      <c r="C302" s="24" t="s">
        <v>20</v>
      </c>
      <c r="D302" s="24" t="s">
        <v>0</v>
      </c>
      <c r="E302" s="25" t="s">
        <v>7</v>
      </c>
      <c r="F302" s="5" t="s">
        <v>232</v>
      </c>
      <c r="G302" s="2" t="s">
        <v>174</v>
      </c>
      <c r="H302" s="2" t="s">
        <v>23</v>
      </c>
      <c r="I302" s="24" t="s">
        <v>908</v>
      </c>
      <c r="J302" s="24" t="s">
        <v>908</v>
      </c>
      <c r="K302" s="24" t="s">
        <v>908</v>
      </c>
      <c r="M302" s="24" t="s">
        <v>908</v>
      </c>
      <c r="N302" s="24"/>
      <c r="P302" s="1" t="str">
        <f t="shared" si="8"/>
        <v>61101004</v>
      </c>
      <c r="Q302" s="263" t="str">
        <f t="shared" si="9"/>
        <v>FO - Bonus</v>
      </c>
    </row>
    <row r="303" spans="1:17" x14ac:dyDescent="0.25">
      <c r="A303" s="24" t="s">
        <v>224</v>
      </c>
      <c r="B303" s="24" t="s">
        <v>20</v>
      </c>
      <c r="C303" s="24" t="s">
        <v>20</v>
      </c>
      <c r="D303" s="24" t="s">
        <v>0</v>
      </c>
      <c r="E303" s="25" t="s">
        <v>9</v>
      </c>
      <c r="F303" s="5" t="s">
        <v>233</v>
      </c>
      <c r="G303" s="2" t="s">
        <v>174</v>
      </c>
      <c r="H303" s="2" t="s">
        <v>23</v>
      </c>
      <c r="I303" s="24" t="s">
        <v>908</v>
      </c>
      <c r="J303" s="24" t="s">
        <v>908</v>
      </c>
      <c r="K303" s="24" t="s">
        <v>908</v>
      </c>
      <c r="M303" s="24" t="s">
        <v>908</v>
      </c>
      <c r="N303" s="24"/>
      <c r="P303" s="1" t="str">
        <f t="shared" si="8"/>
        <v>61101005</v>
      </c>
      <c r="Q303" s="263" t="str">
        <f t="shared" si="9"/>
        <v>FO - Income Tax Allowance</v>
      </c>
    </row>
    <row r="304" spans="1:17" x14ac:dyDescent="0.25">
      <c r="A304" s="24" t="s">
        <v>224</v>
      </c>
      <c r="B304" s="24" t="s">
        <v>20</v>
      </c>
      <c r="C304" s="24" t="s">
        <v>20</v>
      </c>
      <c r="D304" s="24" t="s">
        <v>0</v>
      </c>
      <c r="E304" s="25" t="s">
        <v>10</v>
      </c>
      <c r="F304" s="5" t="s">
        <v>234</v>
      </c>
      <c r="G304" s="2" t="s">
        <v>174</v>
      </c>
      <c r="H304" s="2" t="s">
        <v>23</v>
      </c>
      <c r="I304" s="24" t="s">
        <v>908</v>
      </c>
      <c r="J304" s="24" t="s">
        <v>908</v>
      </c>
      <c r="K304" s="24" t="s">
        <v>908</v>
      </c>
      <c r="M304" s="24" t="s">
        <v>908</v>
      </c>
      <c r="N304" s="24"/>
      <c r="P304" s="1" t="str">
        <f t="shared" si="8"/>
        <v>61101006</v>
      </c>
      <c r="Q304" s="263" t="str">
        <f t="shared" si="9"/>
        <v>FO - Meal Allowance</v>
      </c>
    </row>
    <row r="305" spans="1:17" x14ac:dyDescent="0.25">
      <c r="A305" s="24" t="s">
        <v>224</v>
      </c>
      <c r="B305" s="24" t="s">
        <v>20</v>
      </c>
      <c r="C305" s="24" t="s">
        <v>20</v>
      </c>
      <c r="D305" s="24" t="s">
        <v>0</v>
      </c>
      <c r="E305" s="25" t="s">
        <v>11</v>
      </c>
      <c r="F305" s="5" t="s">
        <v>235</v>
      </c>
      <c r="G305" s="2" t="s">
        <v>174</v>
      </c>
      <c r="H305" s="2" t="s">
        <v>23</v>
      </c>
      <c r="I305" s="24" t="s">
        <v>908</v>
      </c>
      <c r="J305" s="24" t="s">
        <v>908</v>
      </c>
      <c r="K305" s="24" t="s">
        <v>908</v>
      </c>
      <c r="M305" s="24" t="s">
        <v>908</v>
      </c>
      <c r="N305" s="24"/>
      <c r="P305" s="1" t="str">
        <f t="shared" si="8"/>
        <v>61101007</v>
      </c>
      <c r="Q305" s="263" t="str">
        <f t="shared" si="9"/>
        <v>FO - Jamsostek</v>
      </c>
    </row>
    <row r="306" spans="1:17" x14ac:dyDescent="0.25">
      <c r="A306" s="24" t="s">
        <v>224</v>
      </c>
      <c r="B306" s="24" t="s">
        <v>20</v>
      </c>
      <c r="C306" s="24" t="s">
        <v>20</v>
      </c>
      <c r="D306" s="24" t="s">
        <v>0</v>
      </c>
      <c r="E306" s="25" t="s">
        <v>13</v>
      </c>
      <c r="F306" s="5" t="s">
        <v>236</v>
      </c>
      <c r="G306" s="2" t="s">
        <v>174</v>
      </c>
      <c r="H306" s="2" t="s">
        <v>23</v>
      </c>
      <c r="I306" s="24" t="s">
        <v>908</v>
      </c>
      <c r="J306" s="24" t="s">
        <v>908</v>
      </c>
      <c r="K306" s="24" t="s">
        <v>908</v>
      </c>
      <c r="M306" s="24" t="s">
        <v>908</v>
      </c>
      <c r="N306" s="24"/>
      <c r="P306" s="1" t="str">
        <f t="shared" si="8"/>
        <v>61101008</v>
      </c>
      <c r="Q306" s="263" t="str">
        <f t="shared" si="9"/>
        <v>FO - Medical &amp; Insurance</v>
      </c>
    </row>
    <row r="307" spans="1:17" x14ac:dyDescent="0.25">
      <c r="A307" s="24" t="s">
        <v>224</v>
      </c>
      <c r="B307" s="24" t="s">
        <v>20</v>
      </c>
      <c r="C307" s="24" t="s">
        <v>20</v>
      </c>
      <c r="D307" s="24" t="s">
        <v>0</v>
      </c>
      <c r="E307" s="25" t="s">
        <v>15</v>
      </c>
      <c r="F307" s="5" t="s">
        <v>237</v>
      </c>
      <c r="G307" s="2" t="s">
        <v>174</v>
      </c>
      <c r="H307" s="2" t="s">
        <v>23</v>
      </c>
      <c r="I307" s="24" t="s">
        <v>908</v>
      </c>
      <c r="J307" s="24" t="s">
        <v>908</v>
      </c>
      <c r="K307" s="24" t="s">
        <v>908</v>
      </c>
      <c r="M307" s="24" t="s">
        <v>908</v>
      </c>
      <c r="N307" s="24"/>
      <c r="P307" s="1" t="str">
        <f t="shared" si="8"/>
        <v>61101009</v>
      </c>
      <c r="Q307" s="263" t="str">
        <f t="shared" si="9"/>
        <v>FO - Pension Plan</v>
      </c>
    </row>
    <row r="308" spans="1:17" x14ac:dyDescent="0.25">
      <c r="A308" s="24" t="s">
        <v>224</v>
      </c>
      <c r="B308" s="24" t="s">
        <v>20</v>
      </c>
      <c r="C308" s="24" t="s">
        <v>20</v>
      </c>
      <c r="D308" s="24" t="s">
        <v>0</v>
      </c>
      <c r="E308" s="25" t="s">
        <v>238</v>
      </c>
      <c r="F308" s="5" t="s">
        <v>239</v>
      </c>
      <c r="G308" s="2" t="s">
        <v>174</v>
      </c>
      <c r="H308" s="2" t="s">
        <v>23</v>
      </c>
      <c r="I308" s="24" t="s">
        <v>908</v>
      </c>
      <c r="J308" s="24" t="s">
        <v>908</v>
      </c>
      <c r="K308" s="24" t="s">
        <v>908</v>
      </c>
      <c r="M308" s="24" t="s">
        <v>908</v>
      </c>
      <c r="N308" s="24"/>
      <c r="P308" s="1" t="str">
        <f t="shared" si="8"/>
        <v>61101010</v>
      </c>
      <c r="Q308" s="263" t="str">
        <f t="shared" si="9"/>
        <v>FO - Temporary Staff &amp; Daily Worker</v>
      </c>
    </row>
    <row r="309" spans="1:17" x14ac:dyDescent="0.25">
      <c r="A309" s="24" t="s">
        <v>224</v>
      </c>
      <c r="B309" s="24" t="s">
        <v>20</v>
      </c>
      <c r="C309" s="24" t="s">
        <v>20</v>
      </c>
      <c r="D309" s="24" t="s">
        <v>0</v>
      </c>
      <c r="E309" s="25" t="s">
        <v>240</v>
      </c>
      <c r="F309" s="5" t="s">
        <v>241</v>
      </c>
      <c r="G309" s="2" t="s">
        <v>174</v>
      </c>
      <c r="H309" s="2" t="s">
        <v>23</v>
      </c>
      <c r="I309" s="24" t="s">
        <v>908</v>
      </c>
      <c r="J309" s="24" t="s">
        <v>908</v>
      </c>
      <c r="K309" s="24" t="s">
        <v>908</v>
      </c>
      <c r="M309" s="24" t="s">
        <v>908</v>
      </c>
      <c r="N309" s="24"/>
      <c r="P309" s="1" t="str">
        <f t="shared" si="8"/>
        <v>61101011</v>
      </c>
      <c r="Q309" s="263" t="str">
        <f t="shared" si="9"/>
        <v>FO - Employee Benefit</v>
      </c>
    </row>
    <row r="310" spans="1:17" x14ac:dyDescent="0.25">
      <c r="A310" s="24" t="s">
        <v>224</v>
      </c>
      <c r="B310" s="24" t="s">
        <v>20</v>
      </c>
      <c r="C310" s="24" t="s">
        <v>20</v>
      </c>
      <c r="D310" s="24" t="s">
        <v>0</v>
      </c>
      <c r="E310" s="25" t="s">
        <v>43</v>
      </c>
      <c r="F310" s="5" t="s">
        <v>242</v>
      </c>
      <c r="G310" s="2" t="s">
        <v>174</v>
      </c>
      <c r="H310" s="2" t="s">
        <v>23</v>
      </c>
      <c r="I310" s="24" t="s">
        <v>908</v>
      </c>
      <c r="J310" s="24" t="s">
        <v>908</v>
      </c>
      <c r="K310" s="24" t="s">
        <v>908</v>
      </c>
      <c r="M310" s="24" t="s">
        <v>908</v>
      </c>
      <c r="N310" s="24"/>
      <c r="P310" s="1" t="str">
        <f t="shared" si="8"/>
        <v>61101999</v>
      </c>
      <c r="Q310" s="263" t="str">
        <f t="shared" si="9"/>
        <v>FO - Other Payroll and Related Expense</v>
      </c>
    </row>
    <row r="311" spans="1:17" hidden="1" x14ac:dyDescent="0.25">
      <c r="A311" s="20" t="s">
        <v>224</v>
      </c>
      <c r="B311" s="20" t="s">
        <v>20</v>
      </c>
      <c r="C311" s="20" t="s">
        <v>20</v>
      </c>
      <c r="D311" s="21" t="s">
        <v>2</v>
      </c>
      <c r="E311" s="20"/>
      <c r="F311" s="22" t="s">
        <v>243</v>
      </c>
      <c r="G311" s="23" t="s">
        <v>174</v>
      </c>
      <c r="H311" s="23" t="s">
        <v>23</v>
      </c>
      <c r="I311" s="23" t="s">
        <v>907</v>
      </c>
      <c r="J311" s="23" t="s">
        <v>907</v>
      </c>
      <c r="K311" s="23" t="s">
        <v>907</v>
      </c>
      <c r="M311" s="23" t="s">
        <v>907</v>
      </c>
      <c r="N311" s="23"/>
      <c r="Q311" s="263"/>
    </row>
    <row r="312" spans="1:17" x14ac:dyDescent="0.25">
      <c r="A312" s="24" t="s">
        <v>224</v>
      </c>
      <c r="B312" s="24" t="s">
        <v>20</v>
      </c>
      <c r="C312" s="24" t="s">
        <v>20</v>
      </c>
      <c r="D312" s="24" t="s">
        <v>2</v>
      </c>
      <c r="E312" s="25" t="s">
        <v>1</v>
      </c>
      <c r="F312" s="5" t="s">
        <v>244</v>
      </c>
      <c r="G312" s="2" t="s">
        <v>174</v>
      </c>
      <c r="H312" s="2" t="s">
        <v>23</v>
      </c>
      <c r="I312" s="24" t="s">
        <v>908</v>
      </c>
      <c r="J312" s="24" t="s">
        <v>908</v>
      </c>
      <c r="K312" s="24" t="s">
        <v>908</v>
      </c>
      <c r="M312" s="24" t="s">
        <v>908</v>
      </c>
      <c r="N312" s="24"/>
      <c r="P312" s="1" t="str">
        <f t="shared" si="8"/>
        <v>61102001</v>
      </c>
      <c r="Q312" s="263" t="str">
        <f t="shared" si="9"/>
        <v>HK - Salary</v>
      </c>
    </row>
    <row r="313" spans="1:17" x14ac:dyDescent="0.25">
      <c r="A313" s="24" t="s">
        <v>224</v>
      </c>
      <c r="B313" s="24" t="s">
        <v>20</v>
      </c>
      <c r="C313" s="24" t="s">
        <v>20</v>
      </c>
      <c r="D313" s="24" t="s">
        <v>2</v>
      </c>
      <c r="E313" s="25" t="s">
        <v>3</v>
      </c>
      <c r="F313" s="5" t="s">
        <v>245</v>
      </c>
      <c r="G313" s="2" t="s">
        <v>174</v>
      </c>
      <c r="H313" s="2" t="s">
        <v>23</v>
      </c>
      <c r="I313" s="24" t="s">
        <v>908</v>
      </c>
      <c r="J313" s="24" t="s">
        <v>908</v>
      </c>
      <c r="K313" s="24" t="s">
        <v>908</v>
      </c>
      <c r="M313" s="24" t="s">
        <v>908</v>
      </c>
      <c r="N313" s="24"/>
      <c r="P313" s="1" t="str">
        <f t="shared" si="8"/>
        <v>61102002</v>
      </c>
      <c r="Q313" s="263" t="str">
        <f t="shared" si="9"/>
        <v>HK - Overtime</v>
      </c>
    </row>
    <row r="314" spans="1:17" x14ac:dyDescent="0.25">
      <c r="A314" s="24" t="s">
        <v>224</v>
      </c>
      <c r="B314" s="24" t="s">
        <v>20</v>
      </c>
      <c r="C314" s="24" t="s">
        <v>20</v>
      </c>
      <c r="D314" s="24" t="s">
        <v>2</v>
      </c>
      <c r="E314" s="25" t="s">
        <v>5</v>
      </c>
      <c r="F314" s="5" t="s">
        <v>246</v>
      </c>
      <c r="G314" s="2" t="s">
        <v>174</v>
      </c>
      <c r="H314" s="2" t="s">
        <v>23</v>
      </c>
      <c r="I314" s="24" t="s">
        <v>908</v>
      </c>
      <c r="J314" s="24" t="s">
        <v>908</v>
      </c>
      <c r="K314" s="24" t="s">
        <v>908</v>
      </c>
      <c r="M314" s="24" t="s">
        <v>908</v>
      </c>
      <c r="N314" s="24"/>
      <c r="P314" s="1" t="str">
        <f t="shared" si="8"/>
        <v>61102003</v>
      </c>
      <c r="Q314" s="263" t="str">
        <f t="shared" si="9"/>
        <v>HK - THR</v>
      </c>
    </row>
    <row r="315" spans="1:17" x14ac:dyDescent="0.25">
      <c r="A315" s="24" t="s">
        <v>224</v>
      </c>
      <c r="B315" s="24" t="s">
        <v>20</v>
      </c>
      <c r="C315" s="24" t="s">
        <v>20</v>
      </c>
      <c r="D315" s="24" t="s">
        <v>2</v>
      </c>
      <c r="E315" s="25" t="s">
        <v>7</v>
      </c>
      <c r="F315" s="5" t="s">
        <v>247</v>
      </c>
      <c r="G315" s="2" t="s">
        <v>174</v>
      </c>
      <c r="H315" s="2" t="s">
        <v>23</v>
      </c>
      <c r="I315" s="24" t="s">
        <v>908</v>
      </c>
      <c r="J315" s="24" t="s">
        <v>908</v>
      </c>
      <c r="K315" s="24" t="s">
        <v>908</v>
      </c>
      <c r="M315" s="24" t="s">
        <v>908</v>
      </c>
      <c r="N315" s="24"/>
      <c r="P315" s="1" t="str">
        <f t="shared" si="8"/>
        <v>61102004</v>
      </c>
      <c r="Q315" s="263" t="str">
        <f t="shared" si="9"/>
        <v>HK - Bonus</v>
      </c>
    </row>
    <row r="316" spans="1:17" x14ac:dyDescent="0.25">
      <c r="A316" s="24" t="s">
        <v>224</v>
      </c>
      <c r="B316" s="24" t="s">
        <v>20</v>
      </c>
      <c r="C316" s="24" t="s">
        <v>20</v>
      </c>
      <c r="D316" s="24" t="s">
        <v>2</v>
      </c>
      <c r="E316" s="25" t="s">
        <v>9</v>
      </c>
      <c r="F316" s="5" t="s">
        <v>248</v>
      </c>
      <c r="G316" s="2" t="s">
        <v>174</v>
      </c>
      <c r="H316" s="2" t="s">
        <v>23</v>
      </c>
      <c r="I316" s="24" t="s">
        <v>908</v>
      </c>
      <c r="J316" s="24" t="s">
        <v>908</v>
      </c>
      <c r="K316" s="24" t="s">
        <v>908</v>
      </c>
      <c r="M316" s="24" t="s">
        <v>908</v>
      </c>
      <c r="N316" s="24"/>
      <c r="P316" s="1" t="str">
        <f t="shared" si="8"/>
        <v>61102005</v>
      </c>
      <c r="Q316" s="263" t="str">
        <f t="shared" si="9"/>
        <v>HK - Income Tax Allowance</v>
      </c>
    </row>
    <row r="317" spans="1:17" x14ac:dyDescent="0.25">
      <c r="A317" s="24" t="s">
        <v>224</v>
      </c>
      <c r="B317" s="24" t="s">
        <v>20</v>
      </c>
      <c r="C317" s="24" t="s">
        <v>20</v>
      </c>
      <c r="D317" s="24" t="s">
        <v>2</v>
      </c>
      <c r="E317" s="25" t="s">
        <v>10</v>
      </c>
      <c r="F317" s="5" t="s">
        <v>249</v>
      </c>
      <c r="G317" s="2" t="s">
        <v>174</v>
      </c>
      <c r="H317" s="2" t="s">
        <v>23</v>
      </c>
      <c r="I317" s="24" t="s">
        <v>908</v>
      </c>
      <c r="J317" s="24" t="s">
        <v>908</v>
      </c>
      <c r="K317" s="24" t="s">
        <v>908</v>
      </c>
      <c r="M317" s="24" t="s">
        <v>908</v>
      </c>
      <c r="N317" s="24"/>
      <c r="P317" s="1" t="str">
        <f t="shared" si="8"/>
        <v>61102006</v>
      </c>
      <c r="Q317" s="263" t="str">
        <f t="shared" si="9"/>
        <v>HK - Meal Allowance</v>
      </c>
    </row>
    <row r="318" spans="1:17" x14ac:dyDescent="0.25">
      <c r="A318" s="24" t="s">
        <v>224</v>
      </c>
      <c r="B318" s="24" t="s">
        <v>20</v>
      </c>
      <c r="C318" s="24" t="s">
        <v>20</v>
      </c>
      <c r="D318" s="24" t="s">
        <v>2</v>
      </c>
      <c r="E318" s="25" t="s">
        <v>11</v>
      </c>
      <c r="F318" s="5" t="s">
        <v>250</v>
      </c>
      <c r="G318" s="2" t="s">
        <v>174</v>
      </c>
      <c r="H318" s="2" t="s">
        <v>23</v>
      </c>
      <c r="I318" s="24" t="s">
        <v>908</v>
      </c>
      <c r="J318" s="24" t="s">
        <v>908</v>
      </c>
      <c r="K318" s="24" t="s">
        <v>908</v>
      </c>
      <c r="M318" s="24" t="s">
        <v>908</v>
      </c>
      <c r="N318" s="24"/>
      <c r="P318" s="1" t="str">
        <f t="shared" si="8"/>
        <v>61102007</v>
      </c>
      <c r="Q318" s="263" t="str">
        <f t="shared" si="9"/>
        <v>HK - Jamsostek</v>
      </c>
    </row>
    <row r="319" spans="1:17" x14ac:dyDescent="0.25">
      <c r="A319" s="24" t="s">
        <v>224</v>
      </c>
      <c r="B319" s="24" t="s">
        <v>20</v>
      </c>
      <c r="C319" s="24" t="s">
        <v>20</v>
      </c>
      <c r="D319" s="24" t="s">
        <v>2</v>
      </c>
      <c r="E319" s="25" t="s">
        <v>13</v>
      </c>
      <c r="F319" s="5" t="s">
        <v>251</v>
      </c>
      <c r="G319" s="2" t="s">
        <v>174</v>
      </c>
      <c r="H319" s="2" t="s">
        <v>23</v>
      </c>
      <c r="I319" s="24" t="s">
        <v>908</v>
      </c>
      <c r="J319" s="24" t="s">
        <v>908</v>
      </c>
      <c r="K319" s="24" t="s">
        <v>908</v>
      </c>
      <c r="M319" s="24" t="s">
        <v>908</v>
      </c>
      <c r="N319" s="24"/>
      <c r="P319" s="1" t="str">
        <f t="shared" si="8"/>
        <v>61102008</v>
      </c>
      <c r="Q319" s="263" t="str">
        <f t="shared" si="9"/>
        <v>HK - Medical &amp; Insurance</v>
      </c>
    </row>
    <row r="320" spans="1:17" x14ac:dyDescent="0.25">
      <c r="A320" s="24" t="s">
        <v>224</v>
      </c>
      <c r="B320" s="24" t="s">
        <v>20</v>
      </c>
      <c r="C320" s="24" t="s">
        <v>20</v>
      </c>
      <c r="D320" s="24" t="s">
        <v>2</v>
      </c>
      <c r="E320" s="25" t="s">
        <v>15</v>
      </c>
      <c r="F320" s="5" t="s">
        <v>252</v>
      </c>
      <c r="G320" s="2" t="s">
        <v>174</v>
      </c>
      <c r="H320" s="2" t="s">
        <v>23</v>
      </c>
      <c r="I320" s="24" t="s">
        <v>908</v>
      </c>
      <c r="J320" s="24" t="s">
        <v>908</v>
      </c>
      <c r="K320" s="24" t="s">
        <v>908</v>
      </c>
      <c r="M320" s="24" t="s">
        <v>908</v>
      </c>
      <c r="N320" s="24"/>
      <c r="P320" s="1" t="str">
        <f t="shared" si="8"/>
        <v>61102009</v>
      </c>
      <c r="Q320" s="263" t="str">
        <f t="shared" si="9"/>
        <v>HK - Pension Plan</v>
      </c>
    </row>
    <row r="321" spans="1:17" x14ac:dyDescent="0.25">
      <c r="A321" s="24" t="s">
        <v>224</v>
      </c>
      <c r="B321" s="24" t="s">
        <v>20</v>
      </c>
      <c r="C321" s="24" t="s">
        <v>20</v>
      </c>
      <c r="D321" s="24" t="s">
        <v>2</v>
      </c>
      <c r="E321" s="25" t="s">
        <v>238</v>
      </c>
      <c r="F321" s="5" t="s">
        <v>915</v>
      </c>
      <c r="G321" s="2" t="s">
        <v>174</v>
      </c>
      <c r="H321" s="2" t="s">
        <v>23</v>
      </c>
      <c r="I321" s="24" t="s">
        <v>908</v>
      </c>
      <c r="J321" s="24" t="s">
        <v>908</v>
      </c>
      <c r="K321" s="24" t="s">
        <v>908</v>
      </c>
      <c r="M321" s="24" t="s">
        <v>908</v>
      </c>
      <c r="N321" s="24"/>
      <c r="P321" s="1" t="str">
        <f t="shared" si="8"/>
        <v>61102010</v>
      </c>
      <c r="Q321" s="263" t="str">
        <f t="shared" si="9"/>
        <v>HK - Temporary Staff &amp; Daily Worker</v>
      </c>
    </row>
    <row r="322" spans="1:17" x14ac:dyDescent="0.25">
      <c r="A322" s="24" t="s">
        <v>224</v>
      </c>
      <c r="B322" s="24" t="s">
        <v>20</v>
      </c>
      <c r="C322" s="24" t="s">
        <v>20</v>
      </c>
      <c r="D322" s="24" t="s">
        <v>2</v>
      </c>
      <c r="E322" s="25" t="s">
        <v>240</v>
      </c>
      <c r="F322" s="5" t="s">
        <v>253</v>
      </c>
      <c r="G322" s="2" t="s">
        <v>174</v>
      </c>
      <c r="H322" s="2" t="s">
        <v>23</v>
      </c>
      <c r="I322" s="24" t="s">
        <v>908</v>
      </c>
      <c r="J322" s="24" t="s">
        <v>908</v>
      </c>
      <c r="K322" s="24" t="s">
        <v>908</v>
      </c>
      <c r="M322" s="24" t="s">
        <v>908</v>
      </c>
      <c r="N322" s="24"/>
      <c r="P322" s="1" t="str">
        <f t="shared" si="8"/>
        <v>61102011</v>
      </c>
      <c r="Q322" s="263" t="str">
        <f t="shared" si="9"/>
        <v>HK - Employee Benefit</v>
      </c>
    </row>
    <row r="323" spans="1:17" x14ac:dyDescent="0.25">
      <c r="A323" s="24" t="s">
        <v>224</v>
      </c>
      <c r="B323" s="24" t="s">
        <v>20</v>
      </c>
      <c r="C323" s="24" t="s">
        <v>20</v>
      </c>
      <c r="D323" s="24" t="s">
        <v>2</v>
      </c>
      <c r="E323" s="25" t="s">
        <v>43</v>
      </c>
      <c r="F323" s="5" t="s">
        <v>254</v>
      </c>
      <c r="G323" s="2" t="s">
        <v>174</v>
      </c>
      <c r="H323" s="2" t="s">
        <v>23</v>
      </c>
      <c r="I323" s="24" t="s">
        <v>908</v>
      </c>
      <c r="J323" s="24" t="s">
        <v>908</v>
      </c>
      <c r="K323" s="24" t="s">
        <v>908</v>
      </c>
      <c r="M323" s="24" t="s">
        <v>908</v>
      </c>
      <c r="N323" s="24"/>
      <c r="P323" s="1" t="str">
        <f t="shared" si="8"/>
        <v>61102999</v>
      </c>
      <c r="Q323" s="263" t="str">
        <f t="shared" si="9"/>
        <v>HK - Other Payroll and Related Expense</v>
      </c>
    </row>
    <row r="324" spans="1:17" hidden="1" x14ac:dyDescent="0.25">
      <c r="A324" s="16" t="s">
        <v>224</v>
      </c>
      <c r="B324" s="16" t="s">
        <v>20</v>
      </c>
      <c r="C324" s="16" t="s">
        <v>33</v>
      </c>
      <c r="D324" s="16"/>
      <c r="E324" s="16"/>
      <c r="F324" s="18" t="s">
        <v>255</v>
      </c>
      <c r="G324" s="19" t="s">
        <v>174</v>
      </c>
      <c r="H324" s="19" t="s">
        <v>23</v>
      </c>
      <c r="I324" s="19" t="s">
        <v>907</v>
      </c>
      <c r="J324" s="19" t="s">
        <v>907</v>
      </c>
      <c r="K324" s="19" t="s">
        <v>907</v>
      </c>
      <c r="M324" s="19" t="s">
        <v>907</v>
      </c>
      <c r="N324" s="19"/>
      <c r="Q324" s="263"/>
    </row>
    <row r="325" spans="1:17" hidden="1" x14ac:dyDescent="0.25">
      <c r="A325" s="20" t="s">
        <v>224</v>
      </c>
      <c r="B325" s="20" t="s">
        <v>20</v>
      </c>
      <c r="C325" s="20" t="s">
        <v>33</v>
      </c>
      <c r="D325" s="21" t="s">
        <v>0</v>
      </c>
      <c r="E325" s="20"/>
      <c r="F325" s="22" t="s">
        <v>534</v>
      </c>
      <c r="G325" s="23" t="s">
        <v>174</v>
      </c>
      <c r="H325" s="23" t="s">
        <v>23</v>
      </c>
      <c r="I325" s="23" t="s">
        <v>907</v>
      </c>
      <c r="J325" s="23" t="s">
        <v>907</v>
      </c>
      <c r="K325" s="23" t="s">
        <v>907</v>
      </c>
      <c r="M325" s="23" t="s">
        <v>907</v>
      </c>
      <c r="N325" s="23"/>
      <c r="Q325" s="263"/>
    </row>
    <row r="326" spans="1:17" x14ac:dyDescent="0.25">
      <c r="A326" s="24" t="s">
        <v>224</v>
      </c>
      <c r="B326" s="24" t="s">
        <v>20</v>
      </c>
      <c r="C326" s="24" t="s">
        <v>33</v>
      </c>
      <c r="D326" s="24" t="s">
        <v>0</v>
      </c>
      <c r="E326" s="25" t="s">
        <v>1</v>
      </c>
      <c r="F326" s="5" t="s">
        <v>535</v>
      </c>
      <c r="G326" s="2" t="s">
        <v>174</v>
      </c>
      <c r="H326" s="2" t="s">
        <v>23</v>
      </c>
      <c r="I326" s="24" t="s">
        <v>908</v>
      </c>
      <c r="J326" s="24" t="s">
        <v>908</v>
      </c>
      <c r="K326" s="24" t="s">
        <v>908</v>
      </c>
      <c r="M326" s="24" t="s">
        <v>908</v>
      </c>
      <c r="N326" s="24"/>
      <c r="P326" s="1" t="str">
        <f t="shared" ref="P326:P388" si="10">CONCATENATE(A326,B326,C326,D326,E326)</f>
        <v>61201001</v>
      </c>
      <c r="Q326" s="263" t="str">
        <f t="shared" si="9"/>
        <v>FB - Salary</v>
      </c>
    </row>
    <row r="327" spans="1:17" x14ac:dyDescent="0.25">
      <c r="A327" s="24" t="s">
        <v>224</v>
      </c>
      <c r="B327" s="24" t="s">
        <v>20</v>
      </c>
      <c r="C327" s="24" t="s">
        <v>33</v>
      </c>
      <c r="D327" s="24" t="s">
        <v>0</v>
      </c>
      <c r="E327" s="25" t="s">
        <v>3</v>
      </c>
      <c r="F327" s="5" t="s">
        <v>536</v>
      </c>
      <c r="G327" s="2" t="s">
        <v>174</v>
      </c>
      <c r="H327" s="2" t="s">
        <v>23</v>
      </c>
      <c r="I327" s="24" t="s">
        <v>908</v>
      </c>
      <c r="J327" s="24" t="s">
        <v>908</v>
      </c>
      <c r="K327" s="24" t="s">
        <v>908</v>
      </c>
      <c r="M327" s="24" t="s">
        <v>908</v>
      </c>
      <c r="N327" s="24"/>
      <c r="P327" s="1" t="str">
        <f t="shared" si="10"/>
        <v>61201002</v>
      </c>
      <c r="Q327" s="263" t="str">
        <f t="shared" si="9"/>
        <v>FB - Overtime</v>
      </c>
    </row>
    <row r="328" spans="1:17" x14ac:dyDescent="0.25">
      <c r="A328" s="24" t="s">
        <v>224</v>
      </c>
      <c r="B328" s="24" t="s">
        <v>20</v>
      </c>
      <c r="C328" s="24" t="s">
        <v>33</v>
      </c>
      <c r="D328" s="24" t="s">
        <v>0</v>
      </c>
      <c r="E328" s="25" t="s">
        <v>5</v>
      </c>
      <c r="F328" s="5" t="s">
        <v>537</v>
      </c>
      <c r="G328" s="2" t="s">
        <v>174</v>
      </c>
      <c r="H328" s="2" t="s">
        <v>23</v>
      </c>
      <c r="I328" s="24" t="s">
        <v>908</v>
      </c>
      <c r="J328" s="24" t="s">
        <v>908</v>
      </c>
      <c r="K328" s="24" t="s">
        <v>908</v>
      </c>
      <c r="M328" s="24" t="s">
        <v>908</v>
      </c>
      <c r="N328" s="24"/>
      <c r="P328" s="1" t="str">
        <f t="shared" si="10"/>
        <v>61201003</v>
      </c>
      <c r="Q328" s="263" t="str">
        <f t="shared" si="9"/>
        <v>FB - THR</v>
      </c>
    </row>
    <row r="329" spans="1:17" x14ac:dyDescent="0.25">
      <c r="A329" s="24" t="s">
        <v>224</v>
      </c>
      <c r="B329" s="24" t="s">
        <v>20</v>
      </c>
      <c r="C329" s="24" t="s">
        <v>33</v>
      </c>
      <c r="D329" s="24" t="s">
        <v>0</v>
      </c>
      <c r="E329" s="25" t="s">
        <v>7</v>
      </c>
      <c r="F329" s="5" t="s">
        <v>538</v>
      </c>
      <c r="G329" s="2" t="s">
        <v>174</v>
      </c>
      <c r="H329" s="2" t="s">
        <v>23</v>
      </c>
      <c r="I329" s="24" t="s">
        <v>908</v>
      </c>
      <c r="J329" s="24" t="s">
        <v>908</v>
      </c>
      <c r="K329" s="24" t="s">
        <v>908</v>
      </c>
      <c r="M329" s="24" t="s">
        <v>908</v>
      </c>
      <c r="N329" s="24"/>
      <c r="P329" s="1" t="str">
        <f t="shared" si="10"/>
        <v>61201004</v>
      </c>
      <c r="Q329" s="263" t="str">
        <f t="shared" ref="Q329:Q391" si="11">F329</f>
        <v>FB - Bonus</v>
      </c>
    </row>
    <row r="330" spans="1:17" x14ac:dyDescent="0.25">
      <c r="A330" s="24" t="s">
        <v>224</v>
      </c>
      <c r="B330" s="24" t="s">
        <v>20</v>
      </c>
      <c r="C330" s="24" t="s">
        <v>33</v>
      </c>
      <c r="D330" s="24" t="s">
        <v>0</v>
      </c>
      <c r="E330" s="25" t="s">
        <v>9</v>
      </c>
      <c r="F330" s="5" t="s">
        <v>539</v>
      </c>
      <c r="G330" s="2" t="s">
        <v>174</v>
      </c>
      <c r="H330" s="2" t="s">
        <v>23</v>
      </c>
      <c r="I330" s="24" t="s">
        <v>908</v>
      </c>
      <c r="J330" s="24" t="s">
        <v>908</v>
      </c>
      <c r="K330" s="24" t="s">
        <v>908</v>
      </c>
      <c r="M330" s="24" t="s">
        <v>908</v>
      </c>
      <c r="N330" s="24"/>
      <c r="P330" s="1" t="str">
        <f t="shared" si="10"/>
        <v>61201005</v>
      </c>
      <c r="Q330" s="263" t="str">
        <f t="shared" si="11"/>
        <v>FB - Income Tax Allowance</v>
      </c>
    </row>
    <row r="331" spans="1:17" x14ac:dyDescent="0.25">
      <c r="A331" s="24" t="s">
        <v>224</v>
      </c>
      <c r="B331" s="24" t="s">
        <v>20</v>
      </c>
      <c r="C331" s="24" t="s">
        <v>33</v>
      </c>
      <c r="D331" s="24" t="s">
        <v>0</v>
      </c>
      <c r="E331" s="25" t="s">
        <v>10</v>
      </c>
      <c r="F331" s="5" t="s">
        <v>540</v>
      </c>
      <c r="G331" s="2" t="s">
        <v>174</v>
      </c>
      <c r="H331" s="2" t="s">
        <v>23</v>
      </c>
      <c r="I331" s="24" t="s">
        <v>908</v>
      </c>
      <c r="J331" s="24" t="s">
        <v>908</v>
      </c>
      <c r="K331" s="24" t="s">
        <v>908</v>
      </c>
      <c r="M331" s="24" t="s">
        <v>908</v>
      </c>
      <c r="N331" s="24"/>
      <c r="P331" s="1" t="str">
        <f t="shared" si="10"/>
        <v>61201006</v>
      </c>
      <c r="Q331" s="263" t="str">
        <f t="shared" si="11"/>
        <v>FB - Meal Allowance</v>
      </c>
    </row>
    <row r="332" spans="1:17" x14ac:dyDescent="0.25">
      <c r="A332" s="24" t="s">
        <v>224</v>
      </c>
      <c r="B332" s="24" t="s">
        <v>20</v>
      </c>
      <c r="C332" s="24" t="s">
        <v>33</v>
      </c>
      <c r="D332" s="24" t="s">
        <v>0</v>
      </c>
      <c r="E332" s="25" t="s">
        <v>11</v>
      </c>
      <c r="F332" s="5" t="s">
        <v>541</v>
      </c>
      <c r="G332" s="2" t="s">
        <v>174</v>
      </c>
      <c r="H332" s="2" t="s">
        <v>23</v>
      </c>
      <c r="I332" s="24" t="s">
        <v>908</v>
      </c>
      <c r="J332" s="24" t="s">
        <v>908</v>
      </c>
      <c r="K332" s="24" t="s">
        <v>908</v>
      </c>
      <c r="M332" s="24" t="s">
        <v>908</v>
      </c>
      <c r="N332" s="24"/>
      <c r="P332" s="1" t="str">
        <f t="shared" si="10"/>
        <v>61201007</v>
      </c>
      <c r="Q332" s="263" t="str">
        <f t="shared" si="11"/>
        <v>FB - Jamsostek</v>
      </c>
    </row>
    <row r="333" spans="1:17" x14ac:dyDescent="0.25">
      <c r="A333" s="24" t="s">
        <v>224</v>
      </c>
      <c r="B333" s="24" t="s">
        <v>20</v>
      </c>
      <c r="C333" s="24" t="s">
        <v>33</v>
      </c>
      <c r="D333" s="24" t="s">
        <v>0</v>
      </c>
      <c r="E333" s="25" t="s">
        <v>13</v>
      </c>
      <c r="F333" s="5" t="s">
        <v>542</v>
      </c>
      <c r="G333" s="2" t="s">
        <v>174</v>
      </c>
      <c r="H333" s="2" t="s">
        <v>23</v>
      </c>
      <c r="I333" s="24" t="s">
        <v>908</v>
      </c>
      <c r="J333" s="24" t="s">
        <v>908</v>
      </c>
      <c r="K333" s="24" t="s">
        <v>908</v>
      </c>
      <c r="M333" s="24" t="s">
        <v>908</v>
      </c>
      <c r="N333" s="24"/>
      <c r="P333" s="1" t="str">
        <f t="shared" si="10"/>
        <v>61201008</v>
      </c>
      <c r="Q333" s="263" t="str">
        <f t="shared" si="11"/>
        <v>FB - Medical &amp; Insurance</v>
      </c>
    </row>
    <row r="334" spans="1:17" x14ac:dyDescent="0.25">
      <c r="A334" s="24" t="s">
        <v>224</v>
      </c>
      <c r="B334" s="24" t="s">
        <v>20</v>
      </c>
      <c r="C334" s="24" t="s">
        <v>33</v>
      </c>
      <c r="D334" s="24" t="s">
        <v>0</v>
      </c>
      <c r="E334" s="25" t="s">
        <v>15</v>
      </c>
      <c r="F334" s="5" t="s">
        <v>543</v>
      </c>
      <c r="G334" s="2" t="s">
        <v>174</v>
      </c>
      <c r="H334" s="2" t="s">
        <v>23</v>
      </c>
      <c r="I334" s="24" t="s">
        <v>908</v>
      </c>
      <c r="J334" s="24" t="s">
        <v>908</v>
      </c>
      <c r="K334" s="24" t="s">
        <v>908</v>
      </c>
      <c r="M334" s="24" t="s">
        <v>908</v>
      </c>
      <c r="N334" s="24"/>
      <c r="P334" s="1" t="str">
        <f t="shared" si="10"/>
        <v>61201009</v>
      </c>
      <c r="Q334" s="263" t="str">
        <f t="shared" si="11"/>
        <v>FB - Pension Plan</v>
      </c>
    </row>
    <row r="335" spans="1:17" x14ac:dyDescent="0.25">
      <c r="A335" s="24" t="s">
        <v>224</v>
      </c>
      <c r="B335" s="24" t="s">
        <v>20</v>
      </c>
      <c r="C335" s="24" t="s">
        <v>33</v>
      </c>
      <c r="D335" s="24" t="s">
        <v>0</v>
      </c>
      <c r="E335" s="25" t="s">
        <v>238</v>
      </c>
      <c r="F335" s="5" t="s">
        <v>916</v>
      </c>
      <c r="G335" s="2" t="s">
        <v>174</v>
      </c>
      <c r="H335" s="2" t="s">
        <v>23</v>
      </c>
      <c r="I335" s="24" t="s">
        <v>908</v>
      </c>
      <c r="J335" s="24" t="s">
        <v>908</v>
      </c>
      <c r="K335" s="24" t="s">
        <v>908</v>
      </c>
      <c r="M335" s="24" t="s">
        <v>908</v>
      </c>
      <c r="N335" s="24"/>
      <c r="P335" s="1" t="str">
        <f t="shared" si="10"/>
        <v>61201010</v>
      </c>
      <c r="Q335" s="263" t="str">
        <f t="shared" si="11"/>
        <v>FB - Temporary Staff &amp; Daily Worker</v>
      </c>
    </row>
    <row r="336" spans="1:17" x14ac:dyDescent="0.25">
      <c r="A336" s="24" t="s">
        <v>224</v>
      </c>
      <c r="B336" s="24" t="s">
        <v>20</v>
      </c>
      <c r="C336" s="24" t="s">
        <v>33</v>
      </c>
      <c r="D336" s="24" t="s">
        <v>0</v>
      </c>
      <c r="E336" s="25" t="s">
        <v>240</v>
      </c>
      <c r="F336" s="5" t="s">
        <v>544</v>
      </c>
      <c r="G336" s="2" t="s">
        <v>174</v>
      </c>
      <c r="H336" s="2" t="s">
        <v>23</v>
      </c>
      <c r="I336" s="24" t="s">
        <v>908</v>
      </c>
      <c r="J336" s="24" t="s">
        <v>908</v>
      </c>
      <c r="K336" s="24" t="s">
        <v>908</v>
      </c>
      <c r="M336" s="24" t="s">
        <v>908</v>
      </c>
      <c r="N336" s="24"/>
      <c r="P336" s="1" t="str">
        <f t="shared" si="10"/>
        <v>61201011</v>
      </c>
      <c r="Q336" s="263" t="str">
        <f t="shared" si="11"/>
        <v>FB - Employee Benefit</v>
      </c>
    </row>
    <row r="337" spans="1:17" x14ac:dyDescent="0.25">
      <c r="A337" s="24" t="s">
        <v>224</v>
      </c>
      <c r="B337" s="24" t="s">
        <v>20</v>
      </c>
      <c r="C337" s="24" t="s">
        <v>33</v>
      </c>
      <c r="D337" s="24" t="s">
        <v>0</v>
      </c>
      <c r="E337" s="25" t="s">
        <v>43</v>
      </c>
      <c r="F337" s="5" t="s">
        <v>545</v>
      </c>
      <c r="G337" s="2" t="s">
        <v>174</v>
      </c>
      <c r="H337" s="2" t="s">
        <v>23</v>
      </c>
      <c r="I337" s="24" t="s">
        <v>908</v>
      </c>
      <c r="J337" s="24" t="s">
        <v>908</v>
      </c>
      <c r="K337" s="24" t="s">
        <v>908</v>
      </c>
      <c r="M337" s="24" t="s">
        <v>908</v>
      </c>
      <c r="N337" s="24"/>
      <c r="P337" s="1" t="str">
        <f t="shared" si="10"/>
        <v>61201999</v>
      </c>
      <c r="Q337" s="263" t="str">
        <f t="shared" si="11"/>
        <v>FB - Other Payroll and Related Expense</v>
      </c>
    </row>
    <row r="338" spans="1:17" hidden="1" x14ac:dyDescent="0.25">
      <c r="A338" s="20" t="s">
        <v>224</v>
      </c>
      <c r="B338" s="20" t="s">
        <v>20</v>
      </c>
      <c r="C338" s="20" t="s">
        <v>33</v>
      </c>
      <c r="D338" s="21" t="s">
        <v>2</v>
      </c>
      <c r="E338" s="20"/>
      <c r="F338" s="22" t="s">
        <v>256</v>
      </c>
      <c r="G338" s="23" t="s">
        <v>174</v>
      </c>
      <c r="H338" s="23" t="s">
        <v>23</v>
      </c>
      <c r="I338" s="23" t="s">
        <v>907</v>
      </c>
      <c r="J338" s="23" t="s">
        <v>907</v>
      </c>
      <c r="K338" s="23" t="s">
        <v>907</v>
      </c>
      <c r="M338" s="23" t="s">
        <v>907</v>
      </c>
      <c r="N338" s="23"/>
      <c r="Q338" s="263"/>
    </row>
    <row r="339" spans="1:17" x14ac:dyDescent="0.25">
      <c r="A339" s="24" t="s">
        <v>224</v>
      </c>
      <c r="B339" s="24" t="s">
        <v>20</v>
      </c>
      <c r="C339" s="24" t="s">
        <v>33</v>
      </c>
      <c r="D339" s="24" t="s">
        <v>2</v>
      </c>
      <c r="E339" s="25" t="s">
        <v>1</v>
      </c>
      <c r="F339" s="5" t="s">
        <v>257</v>
      </c>
      <c r="G339" s="2" t="s">
        <v>174</v>
      </c>
      <c r="H339" s="2" t="s">
        <v>23</v>
      </c>
      <c r="I339" s="2" t="s">
        <v>907</v>
      </c>
      <c r="J339" s="2" t="s">
        <v>910</v>
      </c>
      <c r="K339" s="24" t="s">
        <v>908</v>
      </c>
      <c r="M339" s="2" t="s">
        <v>907</v>
      </c>
      <c r="N339" s="24"/>
      <c r="P339" s="1" t="str">
        <f t="shared" si="10"/>
        <v>61202001</v>
      </c>
      <c r="Q339" s="263" t="str">
        <f t="shared" si="11"/>
        <v>Kitchen - Salary</v>
      </c>
    </row>
    <row r="340" spans="1:17" x14ac:dyDescent="0.25">
      <c r="A340" s="24" t="s">
        <v>224</v>
      </c>
      <c r="B340" s="24" t="s">
        <v>20</v>
      </c>
      <c r="C340" s="24" t="s">
        <v>33</v>
      </c>
      <c r="D340" s="24" t="s">
        <v>2</v>
      </c>
      <c r="E340" s="25" t="s">
        <v>3</v>
      </c>
      <c r="F340" s="5" t="s">
        <v>258</v>
      </c>
      <c r="G340" s="2" t="s">
        <v>174</v>
      </c>
      <c r="H340" s="2" t="s">
        <v>23</v>
      </c>
      <c r="I340" s="2" t="s">
        <v>907</v>
      </c>
      <c r="J340" s="2" t="s">
        <v>910</v>
      </c>
      <c r="K340" s="24" t="s">
        <v>908</v>
      </c>
      <c r="M340" s="2" t="s">
        <v>907</v>
      </c>
      <c r="N340" s="24"/>
      <c r="P340" s="1" t="str">
        <f t="shared" si="10"/>
        <v>61202002</v>
      </c>
      <c r="Q340" s="263" t="str">
        <f t="shared" si="11"/>
        <v>Kitchen - Overtime</v>
      </c>
    </row>
    <row r="341" spans="1:17" x14ac:dyDescent="0.25">
      <c r="A341" s="24" t="s">
        <v>224</v>
      </c>
      <c r="B341" s="24" t="s">
        <v>20</v>
      </c>
      <c r="C341" s="24" t="s">
        <v>33</v>
      </c>
      <c r="D341" s="24" t="s">
        <v>2</v>
      </c>
      <c r="E341" s="25" t="s">
        <v>5</v>
      </c>
      <c r="F341" s="5" t="s">
        <v>259</v>
      </c>
      <c r="G341" s="2" t="s">
        <v>174</v>
      </c>
      <c r="H341" s="2" t="s">
        <v>23</v>
      </c>
      <c r="I341" s="2" t="s">
        <v>907</v>
      </c>
      <c r="J341" s="2" t="s">
        <v>910</v>
      </c>
      <c r="K341" s="24" t="s">
        <v>908</v>
      </c>
      <c r="M341" s="2" t="s">
        <v>907</v>
      </c>
      <c r="N341" s="24"/>
      <c r="P341" s="1" t="str">
        <f t="shared" si="10"/>
        <v>61202003</v>
      </c>
      <c r="Q341" s="263" t="str">
        <f t="shared" si="11"/>
        <v>Kitchen - THR</v>
      </c>
    </row>
    <row r="342" spans="1:17" x14ac:dyDescent="0.25">
      <c r="A342" s="24" t="s">
        <v>224</v>
      </c>
      <c r="B342" s="24" t="s">
        <v>20</v>
      </c>
      <c r="C342" s="24" t="s">
        <v>33</v>
      </c>
      <c r="D342" s="24" t="s">
        <v>2</v>
      </c>
      <c r="E342" s="25" t="s">
        <v>7</v>
      </c>
      <c r="F342" s="5" t="s">
        <v>260</v>
      </c>
      <c r="G342" s="2" t="s">
        <v>174</v>
      </c>
      <c r="H342" s="2" t="s">
        <v>23</v>
      </c>
      <c r="I342" s="2" t="s">
        <v>907</v>
      </c>
      <c r="J342" s="2" t="s">
        <v>910</v>
      </c>
      <c r="K342" s="24" t="s">
        <v>908</v>
      </c>
      <c r="M342" s="2" t="s">
        <v>907</v>
      </c>
      <c r="N342" s="24"/>
      <c r="P342" s="1" t="str">
        <f t="shared" si="10"/>
        <v>61202004</v>
      </c>
      <c r="Q342" s="263" t="str">
        <f t="shared" si="11"/>
        <v>Kitchen - Bonus</v>
      </c>
    </row>
    <row r="343" spans="1:17" x14ac:dyDescent="0.25">
      <c r="A343" s="24" t="s">
        <v>224</v>
      </c>
      <c r="B343" s="24" t="s">
        <v>20</v>
      </c>
      <c r="C343" s="24" t="s">
        <v>33</v>
      </c>
      <c r="D343" s="24" t="s">
        <v>2</v>
      </c>
      <c r="E343" s="25" t="s">
        <v>9</v>
      </c>
      <c r="F343" s="5" t="s">
        <v>261</v>
      </c>
      <c r="G343" s="2" t="s">
        <v>174</v>
      </c>
      <c r="H343" s="2" t="s">
        <v>23</v>
      </c>
      <c r="I343" s="2" t="s">
        <v>907</v>
      </c>
      <c r="J343" s="2" t="s">
        <v>910</v>
      </c>
      <c r="K343" s="24" t="s">
        <v>908</v>
      </c>
      <c r="M343" s="2" t="s">
        <v>907</v>
      </c>
      <c r="N343" s="24"/>
      <c r="P343" s="1" t="str">
        <f t="shared" si="10"/>
        <v>61202005</v>
      </c>
      <c r="Q343" s="263" t="str">
        <f t="shared" si="11"/>
        <v>Kitchen - Income Tax Allowance</v>
      </c>
    </row>
    <row r="344" spans="1:17" x14ac:dyDescent="0.25">
      <c r="A344" s="24" t="s">
        <v>224</v>
      </c>
      <c r="B344" s="24" t="s">
        <v>20</v>
      </c>
      <c r="C344" s="24" t="s">
        <v>33</v>
      </c>
      <c r="D344" s="24" t="s">
        <v>2</v>
      </c>
      <c r="E344" s="25" t="s">
        <v>10</v>
      </c>
      <c r="F344" s="5" t="s">
        <v>262</v>
      </c>
      <c r="G344" s="2" t="s">
        <v>174</v>
      </c>
      <c r="H344" s="2" t="s">
        <v>23</v>
      </c>
      <c r="I344" s="2" t="s">
        <v>907</v>
      </c>
      <c r="J344" s="2" t="s">
        <v>910</v>
      </c>
      <c r="K344" s="24" t="s">
        <v>908</v>
      </c>
      <c r="M344" s="2" t="s">
        <v>907</v>
      </c>
      <c r="N344" s="24"/>
      <c r="P344" s="1" t="str">
        <f t="shared" si="10"/>
        <v>61202006</v>
      </c>
      <c r="Q344" s="263" t="str">
        <f t="shared" si="11"/>
        <v>Kitchen - Meal Allowance</v>
      </c>
    </row>
    <row r="345" spans="1:17" x14ac:dyDescent="0.25">
      <c r="A345" s="24" t="s">
        <v>224</v>
      </c>
      <c r="B345" s="24" t="s">
        <v>20</v>
      </c>
      <c r="C345" s="24" t="s">
        <v>33</v>
      </c>
      <c r="D345" s="24" t="s">
        <v>2</v>
      </c>
      <c r="E345" s="25" t="s">
        <v>11</v>
      </c>
      <c r="F345" s="5" t="s">
        <v>263</v>
      </c>
      <c r="G345" s="2" t="s">
        <v>174</v>
      </c>
      <c r="H345" s="2" t="s">
        <v>23</v>
      </c>
      <c r="I345" s="2" t="s">
        <v>907</v>
      </c>
      <c r="J345" s="2" t="s">
        <v>910</v>
      </c>
      <c r="K345" s="24" t="s">
        <v>908</v>
      </c>
      <c r="M345" s="2" t="s">
        <v>907</v>
      </c>
      <c r="N345" s="24"/>
      <c r="P345" s="1" t="str">
        <f t="shared" si="10"/>
        <v>61202007</v>
      </c>
      <c r="Q345" s="263" t="str">
        <f t="shared" si="11"/>
        <v>Kitchen - Jamsostek</v>
      </c>
    </row>
    <row r="346" spans="1:17" x14ac:dyDescent="0.25">
      <c r="A346" s="24" t="s">
        <v>224</v>
      </c>
      <c r="B346" s="24" t="s">
        <v>20</v>
      </c>
      <c r="C346" s="24" t="s">
        <v>33</v>
      </c>
      <c r="D346" s="24" t="s">
        <v>2</v>
      </c>
      <c r="E346" s="25" t="s">
        <v>13</v>
      </c>
      <c r="F346" s="5" t="s">
        <v>264</v>
      </c>
      <c r="G346" s="2" t="s">
        <v>174</v>
      </c>
      <c r="H346" s="2" t="s">
        <v>23</v>
      </c>
      <c r="I346" s="2" t="s">
        <v>907</v>
      </c>
      <c r="J346" s="2" t="s">
        <v>910</v>
      </c>
      <c r="K346" s="24" t="s">
        <v>908</v>
      </c>
      <c r="M346" s="2" t="s">
        <v>907</v>
      </c>
      <c r="N346" s="24"/>
      <c r="P346" s="1" t="str">
        <f t="shared" si="10"/>
        <v>61202008</v>
      </c>
      <c r="Q346" s="263" t="str">
        <f t="shared" si="11"/>
        <v>Kitchen - Medical &amp; Insurance</v>
      </c>
    </row>
    <row r="347" spans="1:17" x14ac:dyDescent="0.25">
      <c r="A347" s="24" t="s">
        <v>224</v>
      </c>
      <c r="B347" s="24" t="s">
        <v>20</v>
      </c>
      <c r="C347" s="24" t="s">
        <v>33</v>
      </c>
      <c r="D347" s="24" t="s">
        <v>2</v>
      </c>
      <c r="E347" s="25" t="s">
        <v>15</v>
      </c>
      <c r="F347" s="5" t="s">
        <v>265</v>
      </c>
      <c r="G347" s="2" t="s">
        <v>174</v>
      </c>
      <c r="H347" s="2" t="s">
        <v>23</v>
      </c>
      <c r="I347" s="2" t="s">
        <v>907</v>
      </c>
      <c r="J347" s="2" t="s">
        <v>910</v>
      </c>
      <c r="K347" s="24" t="s">
        <v>908</v>
      </c>
      <c r="M347" s="2" t="s">
        <v>907</v>
      </c>
      <c r="N347" s="24"/>
      <c r="P347" s="1" t="str">
        <f t="shared" si="10"/>
        <v>61202009</v>
      </c>
      <c r="Q347" s="263" t="str">
        <f t="shared" si="11"/>
        <v>Kitchen - Pension Plan</v>
      </c>
    </row>
    <row r="348" spans="1:17" x14ac:dyDescent="0.25">
      <c r="A348" s="24" t="s">
        <v>224</v>
      </c>
      <c r="B348" s="24" t="s">
        <v>20</v>
      </c>
      <c r="C348" s="24" t="s">
        <v>33</v>
      </c>
      <c r="D348" s="24" t="s">
        <v>2</v>
      </c>
      <c r="E348" s="25" t="s">
        <v>238</v>
      </c>
      <c r="F348" s="5" t="s">
        <v>917</v>
      </c>
      <c r="G348" s="2" t="s">
        <v>174</v>
      </c>
      <c r="H348" s="2" t="s">
        <v>23</v>
      </c>
      <c r="I348" s="2" t="s">
        <v>907</v>
      </c>
      <c r="J348" s="2" t="s">
        <v>910</v>
      </c>
      <c r="K348" s="24" t="s">
        <v>908</v>
      </c>
      <c r="M348" s="2" t="s">
        <v>907</v>
      </c>
      <c r="N348" s="24"/>
      <c r="P348" s="1" t="str">
        <f t="shared" si="10"/>
        <v>61202010</v>
      </c>
      <c r="Q348" s="263" t="str">
        <f t="shared" si="11"/>
        <v>Kitchen - Temporary Staff &amp; Daily Worker</v>
      </c>
    </row>
    <row r="349" spans="1:17" x14ac:dyDescent="0.25">
      <c r="A349" s="24" t="s">
        <v>224</v>
      </c>
      <c r="B349" s="24" t="s">
        <v>20</v>
      </c>
      <c r="C349" s="24" t="s">
        <v>33</v>
      </c>
      <c r="D349" s="24" t="s">
        <v>2</v>
      </c>
      <c r="E349" s="25" t="s">
        <v>240</v>
      </c>
      <c r="F349" s="5" t="s">
        <v>266</v>
      </c>
      <c r="G349" s="2" t="s">
        <v>174</v>
      </c>
      <c r="H349" s="2" t="s">
        <v>23</v>
      </c>
      <c r="I349" s="2" t="s">
        <v>907</v>
      </c>
      <c r="J349" s="2" t="s">
        <v>910</v>
      </c>
      <c r="K349" s="24" t="s">
        <v>908</v>
      </c>
      <c r="M349" s="2" t="s">
        <v>907</v>
      </c>
      <c r="N349" s="24"/>
      <c r="P349" s="1" t="str">
        <f t="shared" si="10"/>
        <v>61202011</v>
      </c>
      <c r="Q349" s="263" t="str">
        <f t="shared" si="11"/>
        <v>Kitchen - Employee Benefit</v>
      </c>
    </row>
    <row r="350" spans="1:17" x14ac:dyDescent="0.25">
      <c r="A350" s="24" t="s">
        <v>224</v>
      </c>
      <c r="B350" s="24" t="s">
        <v>20</v>
      </c>
      <c r="C350" s="24" t="s">
        <v>33</v>
      </c>
      <c r="D350" s="24" t="s">
        <v>2</v>
      </c>
      <c r="E350" s="25" t="s">
        <v>43</v>
      </c>
      <c r="F350" s="5" t="s">
        <v>267</v>
      </c>
      <c r="G350" s="2" t="s">
        <v>174</v>
      </c>
      <c r="H350" s="2" t="s">
        <v>23</v>
      </c>
      <c r="I350" s="2" t="s">
        <v>907</v>
      </c>
      <c r="J350" s="2" t="s">
        <v>910</v>
      </c>
      <c r="K350" s="24" t="s">
        <v>908</v>
      </c>
      <c r="M350" s="2" t="s">
        <v>907</v>
      </c>
      <c r="N350" s="24"/>
      <c r="P350" s="1" t="str">
        <f t="shared" si="10"/>
        <v>61202999</v>
      </c>
      <c r="Q350" s="263" t="str">
        <f t="shared" si="11"/>
        <v>Kitchen - Other Payroll and Related Expense</v>
      </c>
    </row>
    <row r="351" spans="1:17" hidden="1" x14ac:dyDescent="0.25">
      <c r="A351" s="16" t="s">
        <v>224</v>
      </c>
      <c r="B351" s="16" t="s">
        <v>20</v>
      </c>
      <c r="C351" s="16" t="s">
        <v>44</v>
      </c>
      <c r="D351" s="16"/>
      <c r="E351" s="16"/>
      <c r="F351" s="18" t="s">
        <v>268</v>
      </c>
      <c r="G351" s="19" t="s">
        <v>174</v>
      </c>
      <c r="H351" s="19" t="s">
        <v>23</v>
      </c>
      <c r="I351" s="19" t="s">
        <v>907</v>
      </c>
      <c r="J351" s="19" t="s">
        <v>907</v>
      </c>
      <c r="K351" s="19" t="s">
        <v>907</v>
      </c>
      <c r="M351" s="19" t="s">
        <v>907</v>
      </c>
      <c r="N351" s="19"/>
      <c r="Q351" s="263"/>
    </row>
    <row r="352" spans="1:17" hidden="1" x14ac:dyDescent="0.25">
      <c r="A352" s="20" t="s">
        <v>224</v>
      </c>
      <c r="B352" s="20" t="s">
        <v>20</v>
      </c>
      <c r="C352" s="20" t="s">
        <v>44</v>
      </c>
      <c r="D352" s="21" t="s">
        <v>0</v>
      </c>
      <c r="E352" s="20"/>
      <c r="F352" s="22" t="s">
        <v>269</v>
      </c>
      <c r="G352" s="23" t="s">
        <v>174</v>
      </c>
      <c r="H352" s="23" t="s">
        <v>23</v>
      </c>
      <c r="I352" s="23" t="s">
        <v>907</v>
      </c>
      <c r="J352" s="23" t="s">
        <v>907</v>
      </c>
      <c r="K352" s="23" t="s">
        <v>907</v>
      </c>
      <c r="M352" s="23" t="s">
        <v>907</v>
      </c>
      <c r="N352" s="23"/>
      <c r="Q352" s="263"/>
    </row>
    <row r="353" spans="1:17" x14ac:dyDescent="0.25">
      <c r="A353" s="24" t="s">
        <v>224</v>
      </c>
      <c r="B353" s="24" t="s">
        <v>20</v>
      </c>
      <c r="C353" s="24" t="s">
        <v>44</v>
      </c>
      <c r="D353" s="24" t="s">
        <v>0</v>
      </c>
      <c r="E353" s="25" t="s">
        <v>1</v>
      </c>
      <c r="F353" s="5" t="s">
        <v>270</v>
      </c>
      <c r="G353" s="2" t="s">
        <v>174</v>
      </c>
      <c r="H353" s="2" t="s">
        <v>23</v>
      </c>
      <c r="I353" s="24" t="s">
        <v>908</v>
      </c>
      <c r="J353" s="24" t="s">
        <v>908</v>
      </c>
      <c r="K353" s="24" t="s">
        <v>908</v>
      </c>
      <c r="M353" s="24" t="s">
        <v>908</v>
      </c>
      <c r="N353" s="24"/>
      <c r="P353" s="1" t="str">
        <f t="shared" si="10"/>
        <v>61301001</v>
      </c>
      <c r="Q353" s="263" t="str">
        <f t="shared" si="11"/>
        <v>OT - Salary</v>
      </c>
    </row>
    <row r="354" spans="1:17" x14ac:dyDescent="0.25">
      <c r="A354" s="24" t="s">
        <v>224</v>
      </c>
      <c r="B354" s="24" t="s">
        <v>20</v>
      </c>
      <c r="C354" s="24" t="s">
        <v>44</v>
      </c>
      <c r="D354" s="24" t="s">
        <v>0</v>
      </c>
      <c r="E354" s="25" t="s">
        <v>3</v>
      </c>
      <c r="F354" s="5" t="s">
        <v>271</v>
      </c>
      <c r="G354" s="2" t="s">
        <v>174</v>
      </c>
      <c r="H354" s="2" t="s">
        <v>23</v>
      </c>
      <c r="I354" s="24" t="s">
        <v>908</v>
      </c>
      <c r="J354" s="24" t="s">
        <v>908</v>
      </c>
      <c r="K354" s="24" t="s">
        <v>908</v>
      </c>
      <c r="M354" s="24" t="s">
        <v>908</v>
      </c>
      <c r="N354" s="24"/>
      <c r="P354" s="1" t="str">
        <f t="shared" si="10"/>
        <v>61301002</v>
      </c>
      <c r="Q354" s="263" t="str">
        <f t="shared" si="11"/>
        <v>OT - Overtime</v>
      </c>
    </row>
    <row r="355" spans="1:17" x14ac:dyDescent="0.25">
      <c r="A355" s="24" t="s">
        <v>224</v>
      </c>
      <c r="B355" s="24" t="s">
        <v>20</v>
      </c>
      <c r="C355" s="24" t="s">
        <v>44</v>
      </c>
      <c r="D355" s="24" t="s">
        <v>0</v>
      </c>
      <c r="E355" s="25" t="s">
        <v>5</v>
      </c>
      <c r="F355" s="5" t="s">
        <v>272</v>
      </c>
      <c r="G355" s="2" t="s">
        <v>174</v>
      </c>
      <c r="H355" s="2" t="s">
        <v>23</v>
      </c>
      <c r="I355" s="24" t="s">
        <v>908</v>
      </c>
      <c r="J355" s="24" t="s">
        <v>908</v>
      </c>
      <c r="K355" s="24" t="s">
        <v>908</v>
      </c>
      <c r="M355" s="24" t="s">
        <v>908</v>
      </c>
      <c r="N355" s="24"/>
      <c r="P355" s="1" t="str">
        <f t="shared" si="10"/>
        <v>61301003</v>
      </c>
      <c r="Q355" s="263" t="str">
        <f t="shared" si="11"/>
        <v>OT - THR</v>
      </c>
    </row>
    <row r="356" spans="1:17" x14ac:dyDescent="0.25">
      <c r="A356" s="24" t="s">
        <v>224</v>
      </c>
      <c r="B356" s="24" t="s">
        <v>20</v>
      </c>
      <c r="C356" s="24" t="s">
        <v>44</v>
      </c>
      <c r="D356" s="24" t="s">
        <v>0</v>
      </c>
      <c r="E356" s="25" t="s">
        <v>7</v>
      </c>
      <c r="F356" s="5" t="s">
        <v>273</v>
      </c>
      <c r="G356" s="2" t="s">
        <v>174</v>
      </c>
      <c r="H356" s="2" t="s">
        <v>23</v>
      </c>
      <c r="I356" s="24" t="s">
        <v>908</v>
      </c>
      <c r="J356" s="24" t="s">
        <v>908</v>
      </c>
      <c r="K356" s="24" t="s">
        <v>908</v>
      </c>
      <c r="M356" s="24" t="s">
        <v>908</v>
      </c>
      <c r="N356" s="24"/>
      <c r="P356" s="1" t="str">
        <f t="shared" si="10"/>
        <v>61301004</v>
      </c>
      <c r="Q356" s="263" t="str">
        <f t="shared" si="11"/>
        <v>OT - Bonus</v>
      </c>
    </row>
    <row r="357" spans="1:17" x14ac:dyDescent="0.25">
      <c r="A357" s="24" t="s">
        <v>224</v>
      </c>
      <c r="B357" s="24" t="s">
        <v>20</v>
      </c>
      <c r="C357" s="24" t="s">
        <v>44</v>
      </c>
      <c r="D357" s="24" t="s">
        <v>0</v>
      </c>
      <c r="E357" s="25" t="s">
        <v>9</v>
      </c>
      <c r="F357" s="5" t="s">
        <v>274</v>
      </c>
      <c r="G357" s="2" t="s">
        <v>174</v>
      </c>
      <c r="H357" s="2" t="s">
        <v>23</v>
      </c>
      <c r="I357" s="24" t="s">
        <v>908</v>
      </c>
      <c r="J357" s="24" t="s">
        <v>908</v>
      </c>
      <c r="K357" s="24" t="s">
        <v>908</v>
      </c>
      <c r="M357" s="24" t="s">
        <v>908</v>
      </c>
      <c r="N357" s="24"/>
      <c r="P357" s="1" t="str">
        <f t="shared" si="10"/>
        <v>61301005</v>
      </c>
      <c r="Q357" s="263" t="str">
        <f t="shared" si="11"/>
        <v>OT - Income Tax Allowance</v>
      </c>
    </row>
    <row r="358" spans="1:17" x14ac:dyDescent="0.25">
      <c r="A358" s="24" t="s">
        <v>224</v>
      </c>
      <c r="B358" s="24" t="s">
        <v>20</v>
      </c>
      <c r="C358" s="24" t="s">
        <v>44</v>
      </c>
      <c r="D358" s="24" t="s">
        <v>0</v>
      </c>
      <c r="E358" s="25" t="s">
        <v>10</v>
      </c>
      <c r="F358" s="5" t="s">
        <v>275</v>
      </c>
      <c r="G358" s="2" t="s">
        <v>174</v>
      </c>
      <c r="H358" s="2" t="s">
        <v>23</v>
      </c>
      <c r="I358" s="24" t="s">
        <v>908</v>
      </c>
      <c r="J358" s="24" t="s">
        <v>908</v>
      </c>
      <c r="K358" s="24" t="s">
        <v>908</v>
      </c>
      <c r="M358" s="24" t="s">
        <v>908</v>
      </c>
      <c r="N358" s="24"/>
      <c r="P358" s="1" t="str">
        <f t="shared" si="10"/>
        <v>61301006</v>
      </c>
      <c r="Q358" s="263" t="str">
        <f t="shared" si="11"/>
        <v>OT - Meal Allowance</v>
      </c>
    </row>
    <row r="359" spans="1:17" x14ac:dyDescent="0.25">
      <c r="A359" s="24" t="s">
        <v>224</v>
      </c>
      <c r="B359" s="24" t="s">
        <v>20</v>
      </c>
      <c r="C359" s="24" t="s">
        <v>44</v>
      </c>
      <c r="D359" s="24" t="s">
        <v>0</v>
      </c>
      <c r="E359" s="25" t="s">
        <v>11</v>
      </c>
      <c r="F359" s="5" t="s">
        <v>276</v>
      </c>
      <c r="G359" s="2" t="s">
        <v>174</v>
      </c>
      <c r="H359" s="2" t="s">
        <v>23</v>
      </c>
      <c r="I359" s="24" t="s">
        <v>908</v>
      </c>
      <c r="J359" s="24" t="s">
        <v>908</v>
      </c>
      <c r="K359" s="24" t="s">
        <v>908</v>
      </c>
      <c r="M359" s="24" t="s">
        <v>908</v>
      </c>
      <c r="N359" s="24"/>
      <c r="P359" s="1" t="str">
        <f t="shared" si="10"/>
        <v>61301007</v>
      </c>
      <c r="Q359" s="263" t="str">
        <f t="shared" si="11"/>
        <v>OT - Jamsostek</v>
      </c>
    </row>
    <row r="360" spans="1:17" x14ac:dyDescent="0.25">
      <c r="A360" s="24" t="s">
        <v>224</v>
      </c>
      <c r="B360" s="24" t="s">
        <v>20</v>
      </c>
      <c r="C360" s="24" t="s">
        <v>44</v>
      </c>
      <c r="D360" s="24" t="s">
        <v>0</v>
      </c>
      <c r="E360" s="25" t="s">
        <v>13</v>
      </c>
      <c r="F360" s="5" t="s">
        <v>277</v>
      </c>
      <c r="G360" s="2" t="s">
        <v>174</v>
      </c>
      <c r="H360" s="2" t="s">
        <v>23</v>
      </c>
      <c r="I360" s="24" t="s">
        <v>908</v>
      </c>
      <c r="J360" s="24" t="s">
        <v>908</v>
      </c>
      <c r="K360" s="24" t="s">
        <v>908</v>
      </c>
      <c r="M360" s="24" t="s">
        <v>908</v>
      </c>
      <c r="N360" s="24"/>
      <c r="P360" s="1" t="str">
        <f t="shared" si="10"/>
        <v>61301008</v>
      </c>
      <c r="Q360" s="263" t="str">
        <f t="shared" si="11"/>
        <v>OT - Medical &amp; Insurance</v>
      </c>
    </row>
    <row r="361" spans="1:17" x14ac:dyDescent="0.25">
      <c r="A361" s="24" t="s">
        <v>224</v>
      </c>
      <c r="B361" s="24" t="s">
        <v>20</v>
      </c>
      <c r="C361" s="24" t="s">
        <v>44</v>
      </c>
      <c r="D361" s="24" t="s">
        <v>0</v>
      </c>
      <c r="E361" s="25" t="s">
        <v>15</v>
      </c>
      <c r="F361" s="5" t="s">
        <v>278</v>
      </c>
      <c r="G361" s="2" t="s">
        <v>174</v>
      </c>
      <c r="H361" s="2" t="s">
        <v>23</v>
      </c>
      <c r="I361" s="24" t="s">
        <v>908</v>
      </c>
      <c r="J361" s="24" t="s">
        <v>908</v>
      </c>
      <c r="K361" s="24" t="s">
        <v>908</v>
      </c>
      <c r="M361" s="24" t="s">
        <v>908</v>
      </c>
      <c r="N361" s="24"/>
      <c r="P361" s="1" t="str">
        <f t="shared" si="10"/>
        <v>61301009</v>
      </c>
      <c r="Q361" s="263" t="str">
        <f t="shared" si="11"/>
        <v>OT - Pension Plan</v>
      </c>
    </row>
    <row r="362" spans="1:17" x14ac:dyDescent="0.25">
      <c r="A362" s="24" t="s">
        <v>224</v>
      </c>
      <c r="B362" s="24" t="s">
        <v>20</v>
      </c>
      <c r="C362" s="24" t="s">
        <v>44</v>
      </c>
      <c r="D362" s="24" t="s">
        <v>0</v>
      </c>
      <c r="E362" s="25" t="s">
        <v>238</v>
      </c>
      <c r="F362" s="5" t="s">
        <v>918</v>
      </c>
      <c r="G362" s="2" t="s">
        <v>174</v>
      </c>
      <c r="H362" s="2" t="s">
        <v>23</v>
      </c>
      <c r="I362" s="24" t="s">
        <v>908</v>
      </c>
      <c r="J362" s="24" t="s">
        <v>908</v>
      </c>
      <c r="K362" s="24" t="s">
        <v>908</v>
      </c>
      <c r="M362" s="24" t="s">
        <v>908</v>
      </c>
      <c r="N362" s="24"/>
      <c r="P362" s="1" t="str">
        <f t="shared" si="10"/>
        <v>61301010</v>
      </c>
      <c r="Q362" s="263" t="str">
        <f t="shared" si="11"/>
        <v>OT - Temporary Staff &amp; Daily Worker</v>
      </c>
    </row>
    <row r="363" spans="1:17" x14ac:dyDescent="0.25">
      <c r="A363" s="24" t="s">
        <v>224</v>
      </c>
      <c r="B363" s="24" t="s">
        <v>20</v>
      </c>
      <c r="C363" s="24" t="s">
        <v>44</v>
      </c>
      <c r="D363" s="24" t="s">
        <v>0</v>
      </c>
      <c r="E363" s="25" t="s">
        <v>240</v>
      </c>
      <c r="F363" s="5" t="s">
        <v>279</v>
      </c>
      <c r="G363" s="2" t="s">
        <v>174</v>
      </c>
      <c r="H363" s="2" t="s">
        <v>23</v>
      </c>
      <c r="I363" s="24" t="s">
        <v>908</v>
      </c>
      <c r="J363" s="24" t="s">
        <v>908</v>
      </c>
      <c r="K363" s="24" t="s">
        <v>908</v>
      </c>
      <c r="M363" s="24" t="s">
        <v>908</v>
      </c>
      <c r="N363" s="24"/>
      <c r="P363" s="1" t="str">
        <f t="shared" si="10"/>
        <v>61301011</v>
      </c>
      <c r="Q363" s="263" t="str">
        <f t="shared" si="11"/>
        <v>OT - Employee Benefit</v>
      </c>
    </row>
    <row r="364" spans="1:17" x14ac:dyDescent="0.25">
      <c r="A364" s="24" t="s">
        <v>224</v>
      </c>
      <c r="B364" s="24" t="s">
        <v>20</v>
      </c>
      <c r="C364" s="24" t="s">
        <v>44</v>
      </c>
      <c r="D364" s="24" t="s">
        <v>0</v>
      </c>
      <c r="E364" s="25" t="s">
        <v>43</v>
      </c>
      <c r="F364" s="5" t="s">
        <v>280</v>
      </c>
      <c r="G364" s="2" t="s">
        <v>174</v>
      </c>
      <c r="H364" s="2" t="s">
        <v>23</v>
      </c>
      <c r="I364" s="24" t="s">
        <v>908</v>
      </c>
      <c r="J364" s="24" t="s">
        <v>908</v>
      </c>
      <c r="K364" s="24" t="s">
        <v>908</v>
      </c>
      <c r="M364" s="24" t="s">
        <v>908</v>
      </c>
      <c r="N364" s="24"/>
      <c r="P364" s="1" t="str">
        <f t="shared" si="10"/>
        <v>61301999</v>
      </c>
      <c r="Q364" s="263" t="str">
        <f t="shared" si="11"/>
        <v>OT - Other Payroll and Related Expense</v>
      </c>
    </row>
    <row r="365" spans="1:17" hidden="1" x14ac:dyDescent="0.25">
      <c r="A365" s="16" t="s">
        <v>224</v>
      </c>
      <c r="B365" s="16" t="s">
        <v>20</v>
      </c>
      <c r="C365" s="16" t="s">
        <v>54</v>
      </c>
      <c r="D365" s="16"/>
      <c r="E365" s="16"/>
      <c r="F365" s="18" t="s">
        <v>281</v>
      </c>
      <c r="G365" s="19" t="s">
        <v>174</v>
      </c>
      <c r="H365" s="19" t="s">
        <v>23</v>
      </c>
      <c r="I365" s="19" t="s">
        <v>907</v>
      </c>
      <c r="J365" s="19" t="s">
        <v>907</v>
      </c>
      <c r="K365" s="19" t="s">
        <v>907</v>
      </c>
      <c r="M365" s="19" t="s">
        <v>907</v>
      </c>
      <c r="N365" s="19"/>
      <c r="Q365" s="263"/>
    </row>
    <row r="366" spans="1:17" hidden="1" x14ac:dyDescent="0.25">
      <c r="A366" s="20" t="s">
        <v>224</v>
      </c>
      <c r="B366" s="20" t="s">
        <v>20</v>
      </c>
      <c r="C366" s="20" t="s">
        <v>54</v>
      </c>
      <c r="D366" s="21" t="s">
        <v>0</v>
      </c>
      <c r="E366" s="20"/>
      <c r="F366" s="22" t="s">
        <v>638</v>
      </c>
      <c r="G366" s="23" t="s">
        <v>174</v>
      </c>
      <c r="H366" s="23" t="s">
        <v>23</v>
      </c>
      <c r="I366" s="23" t="s">
        <v>907</v>
      </c>
      <c r="J366" s="23" t="s">
        <v>907</v>
      </c>
      <c r="K366" s="23" t="s">
        <v>907</v>
      </c>
      <c r="M366" s="23" t="s">
        <v>907</v>
      </c>
      <c r="N366" s="23"/>
      <c r="Q366" s="263"/>
    </row>
    <row r="367" spans="1:17" x14ac:dyDescent="0.25">
      <c r="A367" s="24" t="s">
        <v>224</v>
      </c>
      <c r="B367" s="24" t="s">
        <v>20</v>
      </c>
      <c r="C367" s="24" t="s">
        <v>54</v>
      </c>
      <c r="D367" s="25" t="s">
        <v>0</v>
      </c>
      <c r="E367" s="25" t="s">
        <v>1</v>
      </c>
      <c r="F367" s="5" t="s">
        <v>282</v>
      </c>
      <c r="G367" s="2" t="s">
        <v>174</v>
      </c>
      <c r="H367" s="2" t="s">
        <v>23</v>
      </c>
      <c r="I367" s="24" t="s">
        <v>908</v>
      </c>
      <c r="J367" s="24" t="s">
        <v>908</v>
      </c>
      <c r="K367" s="24" t="s">
        <v>908</v>
      </c>
      <c r="M367" s="24" t="s">
        <v>908</v>
      </c>
      <c r="N367" s="24"/>
      <c r="P367" s="1" t="str">
        <f t="shared" si="10"/>
        <v>61401001</v>
      </c>
      <c r="Q367" s="263" t="str">
        <f t="shared" si="11"/>
        <v>PM - Salary</v>
      </c>
    </row>
    <row r="368" spans="1:17" x14ac:dyDescent="0.25">
      <c r="A368" s="24" t="s">
        <v>224</v>
      </c>
      <c r="B368" s="24" t="s">
        <v>20</v>
      </c>
      <c r="C368" s="24" t="s">
        <v>54</v>
      </c>
      <c r="D368" s="25" t="s">
        <v>0</v>
      </c>
      <c r="E368" s="25" t="s">
        <v>3</v>
      </c>
      <c r="F368" s="5" t="s">
        <v>283</v>
      </c>
      <c r="G368" s="2" t="s">
        <v>174</v>
      </c>
      <c r="H368" s="2" t="s">
        <v>23</v>
      </c>
      <c r="I368" s="24" t="s">
        <v>908</v>
      </c>
      <c r="J368" s="24" t="s">
        <v>908</v>
      </c>
      <c r="K368" s="24" t="s">
        <v>908</v>
      </c>
      <c r="M368" s="24" t="s">
        <v>908</v>
      </c>
      <c r="N368" s="24"/>
      <c r="P368" s="1" t="str">
        <f t="shared" si="10"/>
        <v>61401002</v>
      </c>
      <c r="Q368" s="263" t="str">
        <f t="shared" si="11"/>
        <v>PM - Overtime</v>
      </c>
    </row>
    <row r="369" spans="1:17" x14ac:dyDescent="0.25">
      <c r="A369" s="24" t="s">
        <v>224</v>
      </c>
      <c r="B369" s="24" t="s">
        <v>20</v>
      </c>
      <c r="C369" s="24" t="s">
        <v>54</v>
      </c>
      <c r="D369" s="25" t="s">
        <v>0</v>
      </c>
      <c r="E369" s="25" t="s">
        <v>5</v>
      </c>
      <c r="F369" s="5" t="s">
        <v>284</v>
      </c>
      <c r="G369" s="2" t="s">
        <v>174</v>
      </c>
      <c r="H369" s="2" t="s">
        <v>23</v>
      </c>
      <c r="I369" s="24" t="s">
        <v>908</v>
      </c>
      <c r="J369" s="24" t="s">
        <v>908</v>
      </c>
      <c r="K369" s="24" t="s">
        <v>908</v>
      </c>
      <c r="M369" s="24" t="s">
        <v>908</v>
      </c>
      <c r="N369" s="24"/>
      <c r="P369" s="1" t="str">
        <f t="shared" si="10"/>
        <v>61401003</v>
      </c>
      <c r="Q369" s="263" t="str">
        <f t="shared" si="11"/>
        <v>PM - THR</v>
      </c>
    </row>
    <row r="370" spans="1:17" x14ac:dyDescent="0.25">
      <c r="A370" s="24" t="s">
        <v>224</v>
      </c>
      <c r="B370" s="24" t="s">
        <v>20</v>
      </c>
      <c r="C370" s="24" t="s">
        <v>54</v>
      </c>
      <c r="D370" s="25" t="s">
        <v>0</v>
      </c>
      <c r="E370" s="25" t="s">
        <v>7</v>
      </c>
      <c r="F370" s="5" t="s">
        <v>285</v>
      </c>
      <c r="G370" s="2" t="s">
        <v>174</v>
      </c>
      <c r="H370" s="2" t="s">
        <v>23</v>
      </c>
      <c r="I370" s="24" t="s">
        <v>908</v>
      </c>
      <c r="J370" s="24" t="s">
        <v>908</v>
      </c>
      <c r="K370" s="24" t="s">
        <v>908</v>
      </c>
      <c r="M370" s="24" t="s">
        <v>908</v>
      </c>
      <c r="N370" s="24"/>
      <c r="P370" s="1" t="str">
        <f t="shared" si="10"/>
        <v>61401004</v>
      </c>
      <c r="Q370" s="263" t="str">
        <f t="shared" si="11"/>
        <v>PM - Bonus</v>
      </c>
    </row>
    <row r="371" spans="1:17" x14ac:dyDescent="0.25">
      <c r="A371" s="24" t="s">
        <v>224</v>
      </c>
      <c r="B371" s="24" t="s">
        <v>20</v>
      </c>
      <c r="C371" s="24" t="s">
        <v>54</v>
      </c>
      <c r="D371" s="25" t="s">
        <v>0</v>
      </c>
      <c r="E371" s="25" t="s">
        <v>9</v>
      </c>
      <c r="F371" s="5" t="s">
        <v>286</v>
      </c>
      <c r="G371" s="2" t="s">
        <v>174</v>
      </c>
      <c r="H371" s="2" t="s">
        <v>23</v>
      </c>
      <c r="I371" s="24" t="s">
        <v>908</v>
      </c>
      <c r="J371" s="24" t="s">
        <v>908</v>
      </c>
      <c r="K371" s="24" t="s">
        <v>908</v>
      </c>
      <c r="M371" s="24" t="s">
        <v>908</v>
      </c>
      <c r="N371" s="24"/>
      <c r="P371" s="1" t="str">
        <f t="shared" si="10"/>
        <v>61401005</v>
      </c>
      <c r="Q371" s="263" t="str">
        <f t="shared" si="11"/>
        <v>PM - Income Tax Allowance</v>
      </c>
    </row>
    <row r="372" spans="1:17" x14ac:dyDescent="0.25">
      <c r="A372" s="24" t="s">
        <v>224</v>
      </c>
      <c r="B372" s="24" t="s">
        <v>20</v>
      </c>
      <c r="C372" s="24" t="s">
        <v>54</v>
      </c>
      <c r="D372" s="25" t="s">
        <v>0</v>
      </c>
      <c r="E372" s="25" t="s">
        <v>10</v>
      </c>
      <c r="F372" s="5" t="s">
        <v>287</v>
      </c>
      <c r="G372" s="2" t="s">
        <v>174</v>
      </c>
      <c r="H372" s="2" t="s">
        <v>23</v>
      </c>
      <c r="I372" s="24" t="s">
        <v>908</v>
      </c>
      <c r="J372" s="24" t="s">
        <v>908</v>
      </c>
      <c r="K372" s="24" t="s">
        <v>908</v>
      </c>
      <c r="M372" s="24" t="s">
        <v>908</v>
      </c>
      <c r="N372" s="24"/>
      <c r="P372" s="1" t="str">
        <f t="shared" si="10"/>
        <v>61401006</v>
      </c>
      <c r="Q372" s="263" t="str">
        <f t="shared" si="11"/>
        <v>PM - Meal Allowance</v>
      </c>
    </row>
    <row r="373" spans="1:17" x14ac:dyDescent="0.25">
      <c r="A373" s="24" t="s">
        <v>224</v>
      </c>
      <c r="B373" s="24" t="s">
        <v>20</v>
      </c>
      <c r="C373" s="24" t="s">
        <v>54</v>
      </c>
      <c r="D373" s="25" t="s">
        <v>0</v>
      </c>
      <c r="E373" s="25" t="s">
        <v>11</v>
      </c>
      <c r="F373" s="5" t="s">
        <v>288</v>
      </c>
      <c r="G373" s="2" t="s">
        <v>174</v>
      </c>
      <c r="H373" s="2" t="s">
        <v>23</v>
      </c>
      <c r="I373" s="24" t="s">
        <v>908</v>
      </c>
      <c r="J373" s="24" t="s">
        <v>908</v>
      </c>
      <c r="K373" s="24" t="s">
        <v>908</v>
      </c>
      <c r="M373" s="24" t="s">
        <v>908</v>
      </c>
      <c r="N373" s="24"/>
      <c r="P373" s="1" t="str">
        <f t="shared" si="10"/>
        <v>61401007</v>
      </c>
      <c r="Q373" s="263" t="str">
        <f t="shared" si="11"/>
        <v>PM - Jamsostek</v>
      </c>
    </row>
    <row r="374" spans="1:17" x14ac:dyDescent="0.25">
      <c r="A374" s="24" t="s">
        <v>224</v>
      </c>
      <c r="B374" s="24" t="s">
        <v>20</v>
      </c>
      <c r="C374" s="24" t="s">
        <v>54</v>
      </c>
      <c r="D374" s="25" t="s">
        <v>0</v>
      </c>
      <c r="E374" s="25" t="s">
        <v>13</v>
      </c>
      <c r="F374" s="5" t="s">
        <v>289</v>
      </c>
      <c r="G374" s="2" t="s">
        <v>174</v>
      </c>
      <c r="H374" s="2" t="s">
        <v>23</v>
      </c>
      <c r="I374" s="24" t="s">
        <v>908</v>
      </c>
      <c r="J374" s="24" t="s">
        <v>908</v>
      </c>
      <c r="K374" s="24" t="s">
        <v>908</v>
      </c>
      <c r="M374" s="24" t="s">
        <v>908</v>
      </c>
      <c r="N374" s="24"/>
      <c r="P374" s="1" t="str">
        <f t="shared" si="10"/>
        <v>61401008</v>
      </c>
      <c r="Q374" s="263" t="str">
        <f t="shared" si="11"/>
        <v>PM - Medical &amp; Insurance</v>
      </c>
    </row>
    <row r="375" spans="1:17" x14ac:dyDescent="0.25">
      <c r="A375" s="24" t="s">
        <v>224</v>
      </c>
      <c r="B375" s="24" t="s">
        <v>20</v>
      </c>
      <c r="C375" s="24" t="s">
        <v>54</v>
      </c>
      <c r="D375" s="25" t="s">
        <v>0</v>
      </c>
      <c r="E375" s="25" t="s">
        <v>15</v>
      </c>
      <c r="F375" s="5" t="s">
        <v>290</v>
      </c>
      <c r="G375" s="2" t="s">
        <v>174</v>
      </c>
      <c r="H375" s="2" t="s">
        <v>23</v>
      </c>
      <c r="I375" s="24" t="s">
        <v>908</v>
      </c>
      <c r="J375" s="24" t="s">
        <v>908</v>
      </c>
      <c r="K375" s="24" t="s">
        <v>908</v>
      </c>
      <c r="M375" s="24" t="s">
        <v>908</v>
      </c>
      <c r="N375" s="24"/>
      <c r="P375" s="1" t="str">
        <f t="shared" si="10"/>
        <v>61401009</v>
      </c>
      <c r="Q375" s="263" t="str">
        <f t="shared" si="11"/>
        <v>PM - Pension Plan</v>
      </c>
    </row>
    <row r="376" spans="1:17" x14ac:dyDescent="0.25">
      <c r="A376" s="24" t="s">
        <v>224</v>
      </c>
      <c r="B376" s="24" t="s">
        <v>20</v>
      </c>
      <c r="C376" s="24" t="s">
        <v>54</v>
      </c>
      <c r="D376" s="25" t="s">
        <v>0</v>
      </c>
      <c r="E376" s="25" t="s">
        <v>238</v>
      </c>
      <c r="F376" s="5" t="s">
        <v>919</v>
      </c>
      <c r="G376" s="2" t="s">
        <v>174</v>
      </c>
      <c r="H376" s="2" t="s">
        <v>23</v>
      </c>
      <c r="I376" s="24" t="s">
        <v>908</v>
      </c>
      <c r="J376" s="24" t="s">
        <v>908</v>
      </c>
      <c r="K376" s="24" t="s">
        <v>908</v>
      </c>
      <c r="M376" s="24" t="s">
        <v>908</v>
      </c>
      <c r="N376" s="24"/>
      <c r="P376" s="1" t="str">
        <f t="shared" si="10"/>
        <v>61401010</v>
      </c>
      <c r="Q376" s="263" t="str">
        <f t="shared" si="11"/>
        <v>PM - Temporary Staff &amp; Daily Worker</v>
      </c>
    </row>
    <row r="377" spans="1:17" x14ac:dyDescent="0.25">
      <c r="A377" s="24" t="s">
        <v>224</v>
      </c>
      <c r="B377" s="24" t="s">
        <v>20</v>
      </c>
      <c r="C377" s="24" t="s">
        <v>54</v>
      </c>
      <c r="D377" s="25" t="s">
        <v>0</v>
      </c>
      <c r="E377" s="25" t="s">
        <v>240</v>
      </c>
      <c r="F377" s="5" t="s">
        <v>291</v>
      </c>
      <c r="G377" s="2" t="s">
        <v>174</v>
      </c>
      <c r="H377" s="2" t="s">
        <v>23</v>
      </c>
      <c r="I377" s="24" t="s">
        <v>908</v>
      </c>
      <c r="J377" s="24" t="s">
        <v>908</v>
      </c>
      <c r="K377" s="24" t="s">
        <v>908</v>
      </c>
      <c r="M377" s="24" t="s">
        <v>908</v>
      </c>
      <c r="N377" s="24"/>
      <c r="P377" s="1" t="str">
        <f t="shared" si="10"/>
        <v>61401011</v>
      </c>
      <c r="Q377" s="263" t="str">
        <f t="shared" si="11"/>
        <v>PM - Employee Benefit</v>
      </c>
    </row>
    <row r="378" spans="1:17" x14ac:dyDescent="0.25">
      <c r="A378" s="24" t="s">
        <v>224</v>
      </c>
      <c r="B378" s="24" t="s">
        <v>20</v>
      </c>
      <c r="C378" s="24" t="s">
        <v>54</v>
      </c>
      <c r="D378" s="25" t="s">
        <v>0</v>
      </c>
      <c r="E378" s="25" t="s">
        <v>43</v>
      </c>
      <c r="F378" s="5" t="s">
        <v>292</v>
      </c>
      <c r="G378" s="2" t="s">
        <v>174</v>
      </c>
      <c r="H378" s="2" t="s">
        <v>23</v>
      </c>
      <c r="I378" s="24" t="s">
        <v>908</v>
      </c>
      <c r="J378" s="24" t="s">
        <v>908</v>
      </c>
      <c r="K378" s="24" t="s">
        <v>908</v>
      </c>
      <c r="M378" s="24" t="s">
        <v>908</v>
      </c>
      <c r="N378" s="24"/>
      <c r="P378" s="1" t="str">
        <f t="shared" si="10"/>
        <v>61401999</v>
      </c>
      <c r="Q378" s="263" t="str">
        <f t="shared" si="11"/>
        <v>PM - Other Payroll and Related Expense</v>
      </c>
    </row>
    <row r="379" spans="1:17" hidden="1" x14ac:dyDescent="0.25">
      <c r="A379" s="20" t="s">
        <v>224</v>
      </c>
      <c r="B379" s="20" t="s">
        <v>20</v>
      </c>
      <c r="C379" s="20" t="s">
        <v>54</v>
      </c>
      <c r="D379" s="21" t="s">
        <v>2</v>
      </c>
      <c r="E379" s="20"/>
      <c r="F379" s="22" t="s">
        <v>293</v>
      </c>
      <c r="G379" s="23" t="s">
        <v>174</v>
      </c>
      <c r="H379" s="23" t="s">
        <v>23</v>
      </c>
      <c r="I379" s="23" t="s">
        <v>907</v>
      </c>
      <c r="J379" s="23" t="s">
        <v>907</v>
      </c>
      <c r="K379" s="23" t="s">
        <v>907</v>
      </c>
      <c r="M379" s="23" t="s">
        <v>907</v>
      </c>
      <c r="N379" s="23"/>
      <c r="Q379" s="263"/>
    </row>
    <row r="380" spans="1:17" x14ac:dyDescent="0.25">
      <c r="A380" s="24" t="s">
        <v>224</v>
      </c>
      <c r="B380" s="24" t="s">
        <v>20</v>
      </c>
      <c r="C380" s="24" t="s">
        <v>54</v>
      </c>
      <c r="D380" s="25" t="s">
        <v>2</v>
      </c>
      <c r="E380" s="25" t="s">
        <v>1</v>
      </c>
      <c r="F380" s="5" t="s">
        <v>294</v>
      </c>
      <c r="G380" s="2" t="s">
        <v>174</v>
      </c>
      <c r="H380" s="2" t="s">
        <v>23</v>
      </c>
      <c r="I380" s="24" t="s">
        <v>908</v>
      </c>
      <c r="J380" s="24" t="s">
        <v>908</v>
      </c>
      <c r="K380" s="24" t="s">
        <v>908</v>
      </c>
      <c r="M380" s="24" t="s">
        <v>908</v>
      </c>
      <c r="N380" s="24"/>
      <c r="P380" s="1" t="str">
        <f t="shared" si="10"/>
        <v>61402001</v>
      </c>
      <c r="Q380" s="263" t="str">
        <f t="shared" si="11"/>
        <v>SM - Salary</v>
      </c>
    </row>
    <row r="381" spans="1:17" x14ac:dyDescent="0.25">
      <c r="A381" s="24" t="s">
        <v>224</v>
      </c>
      <c r="B381" s="24" t="s">
        <v>20</v>
      </c>
      <c r="C381" s="24" t="s">
        <v>54</v>
      </c>
      <c r="D381" s="25" t="s">
        <v>2</v>
      </c>
      <c r="E381" s="25" t="s">
        <v>3</v>
      </c>
      <c r="F381" s="5" t="s">
        <v>295</v>
      </c>
      <c r="G381" s="2" t="s">
        <v>174</v>
      </c>
      <c r="H381" s="2" t="s">
        <v>23</v>
      </c>
      <c r="I381" s="24" t="s">
        <v>908</v>
      </c>
      <c r="J381" s="24" t="s">
        <v>908</v>
      </c>
      <c r="K381" s="24" t="s">
        <v>908</v>
      </c>
      <c r="M381" s="24" t="s">
        <v>908</v>
      </c>
      <c r="N381" s="24"/>
      <c r="P381" s="1" t="str">
        <f t="shared" si="10"/>
        <v>61402002</v>
      </c>
      <c r="Q381" s="263" t="str">
        <f t="shared" si="11"/>
        <v>SM - Overtime</v>
      </c>
    </row>
    <row r="382" spans="1:17" x14ac:dyDescent="0.25">
      <c r="A382" s="24" t="s">
        <v>224</v>
      </c>
      <c r="B382" s="24" t="s">
        <v>20</v>
      </c>
      <c r="C382" s="24" t="s">
        <v>54</v>
      </c>
      <c r="D382" s="25" t="s">
        <v>2</v>
      </c>
      <c r="E382" s="25" t="s">
        <v>5</v>
      </c>
      <c r="F382" s="5" t="s">
        <v>296</v>
      </c>
      <c r="G382" s="2" t="s">
        <v>174</v>
      </c>
      <c r="H382" s="2" t="s">
        <v>23</v>
      </c>
      <c r="I382" s="24" t="s">
        <v>908</v>
      </c>
      <c r="J382" s="24" t="s">
        <v>908</v>
      </c>
      <c r="K382" s="24" t="s">
        <v>908</v>
      </c>
      <c r="M382" s="24" t="s">
        <v>908</v>
      </c>
      <c r="N382" s="24"/>
      <c r="P382" s="1" t="str">
        <f t="shared" si="10"/>
        <v>61402003</v>
      </c>
      <c r="Q382" s="263" t="str">
        <f t="shared" si="11"/>
        <v>SM - THR</v>
      </c>
    </row>
    <row r="383" spans="1:17" x14ac:dyDescent="0.25">
      <c r="A383" s="24" t="s">
        <v>224</v>
      </c>
      <c r="B383" s="24" t="s">
        <v>20</v>
      </c>
      <c r="C383" s="24" t="s">
        <v>54</v>
      </c>
      <c r="D383" s="25" t="s">
        <v>2</v>
      </c>
      <c r="E383" s="25" t="s">
        <v>7</v>
      </c>
      <c r="F383" s="5" t="s">
        <v>297</v>
      </c>
      <c r="G383" s="2" t="s">
        <v>174</v>
      </c>
      <c r="H383" s="2" t="s">
        <v>23</v>
      </c>
      <c r="I383" s="24" t="s">
        <v>908</v>
      </c>
      <c r="J383" s="24" t="s">
        <v>908</v>
      </c>
      <c r="K383" s="24" t="s">
        <v>908</v>
      </c>
      <c r="M383" s="24" t="s">
        <v>908</v>
      </c>
      <c r="N383" s="24"/>
      <c r="P383" s="1" t="str">
        <f t="shared" si="10"/>
        <v>61402004</v>
      </c>
      <c r="Q383" s="263" t="str">
        <f t="shared" si="11"/>
        <v>SM - Bonus</v>
      </c>
    </row>
    <row r="384" spans="1:17" x14ac:dyDescent="0.25">
      <c r="A384" s="24" t="s">
        <v>224</v>
      </c>
      <c r="B384" s="24" t="s">
        <v>20</v>
      </c>
      <c r="C384" s="24" t="s">
        <v>54</v>
      </c>
      <c r="D384" s="25" t="s">
        <v>2</v>
      </c>
      <c r="E384" s="25" t="s">
        <v>9</v>
      </c>
      <c r="F384" s="5" t="s">
        <v>298</v>
      </c>
      <c r="G384" s="2" t="s">
        <v>174</v>
      </c>
      <c r="H384" s="2" t="s">
        <v>23</v>
      </c>
      <c r="I384" s="24" t="s">
        <v>908</v>
      </c>
      <c r="J384" s="24" t="s">
        <v>908</v>
      </c>
      <c r="K384" s="24" t="s">
        <v>908</v>
      </c>
      <c r="M384" s="24" t="s">
        <v>908</v>
      </c>
      <c r="N384" s="24"/>
      <c r="P384" s="1" t="str">
        <f t="shared" si="10"/>
        <v>61402005</v>
      </c>
      <c r="Q384" s="263" t="str">
        <f t="shared" si="11"/>
        <v>SM - Income Tax Allowance</v>
      </c>
    </row>
    <row r="385" spans="1:17" x14ac:dyDescent="0.25">
      <c r="A385" s="24" t="s">
        <v>224</v>
      </c>
      <c r="B385" s="24" t="s">
        <v>20</v>
      </c>
      <c r="C385" s="24" t="s">
        <v>54</v>
      </c>
      <c r="D385" s="25" t="s">
        <v>2</v>
      </c>
      <c r="E385" s="25" t="s">
        <v>10</v>
      </c>
      <c r="F385" s="5" t="s">
        <v>299</v>
      </c>
      <c r="G385" s="2" t="s">
        <v>174</v>
      </c>
      <c r="H385" s="2" t="s">
        <v>23</v>
      </c>
      <c r="I385" s="24" t="s">
        <v>908</v>
      </c>
      <c r="J385" s="24" t="s">
        <v>908</v>
      </c>
      <c r="K385" s="24" t="s">
        <v>908</v>
      </c>
      <c r="M385" s="24" t="s">
        <v>908</v>
      </c>
      <c r="N385" s="24"/>
      <c r="P385" s="1" t="str">
        <f t="shared" si="10"/>
        <v>61402006</v>
      </c>
      <c r="Q385" s="263" t="str">
        <f t="shared" si="11"/>
        <v>SM - Meal Allowance</v>
      </c>
    </row>
    <row r="386" spans="1:17" x14ac:dyDescent="0.25">
      <c r="A386" s="24" t="s">
        <v>224</v>
      </c>
      <c r="B386" s="24" t="s">
        <v>20</v>
      </c>
      <c r="C386" s="24" t="s">
        <v>54</v>
      </c>
      <c r="D386" s="25" t="s">
        <v>2</v>
      </c>
      <c r="E386" s="25" t="s">
        <v>11</v>
      </c>
      <c r="F386" s="5" t="s">
        <v>300</v>
      </c>
      <c r="G386" s="2" t="s">
        <v>174</v>
      </c>
      <c r="H386" s="2" t="s">
        <v>23</v>
      </c>
      <c r="I386" s="24" t="s">
        <v>908</v>
      </c>
      <c r="J386" s="24" t="s">
        <v>908</v>
      </c>
      <c r="K386" s="24" t="s">
        <v>908</v>
      </c>
      <c r="M386" s="24" t="s">
        <v>908</v>
      </c>
      <c r="N386" s="24"/>
      <c r="P386" s="1" t="str">
        <f t="shared" si="10"/>
        <v>61402007</v>
      </c>
      <c r="Q386" s="263" t="str">
        <f t="shared" si="11"/>
        <v>SM - Jamsostek</v>
      </c>
    </row>
    <row r="387" spans="1:17" x14ac:dyDescent="0.25">
      <c r="A387" s="24" t="s">
        <v>224</v>
      </c>
      <c r="B387" s="24" t="s">
        <v>20</v>
      </c>
      <c r="C387" s="24" t="s">
        <v>54</v>
      </c>
      <c r="D387" s="25" t="s">
        <v>2</v>
      </c>
      <c r="E387" s="25" t="s">
        <v>13</v>
      </c>
      <c r="F387" s="5" t="s">
        <v>301</v>
      </c>
      <c r="G387" s="2" t="s">
        <v>174</v>
      </c>
      <c r="H387" s="2" t="s">
        <v>23</v>
      </c>
      <c r="I387" s="24" t="s">
        <v>908</v>
      </c>
      <c r="J387" s="24" t="s">
        <v>908</v>
      </c>
      <c r="K387" s="24" t="s">
        <v>908</v>
      </c>
      <c r="M387" s="24" t="s">
        <v>908</v>
      </c>
      <c r="N387" s="24"/>
      <c r="P387" s="1" t="str">
        <f t="shared" si="10"/>
        <v>61402008</v>
      </c>
      <c r="Q387" s="263" t="str">
        <f t="shared" si="11"/>
        <v>SM - Medical &amp; Insurance</v>
      </c>
    </row>
    <row r="388" spans="1:17" x14ac:dyDescent="0.25">
      <c r="A388" s="24" t="s">
        <v>224</v>
      </c>
      <c r="B388" s="24" t="s">
        <v>20</v>
      </c>
      <c r="C388" s="24" t="s">
        <v>54</v>
      </c>
      <c r="D388" s="25" t="s">
        <v>2</v>
      </c>
      <c r="E388" s="25" t="s">
        <v>15</v>
      </c>
      <c r="F388" s="5" t="s">
        <v>302</v>
      </c>
      <c r="G388" s="2" t="s">
        <v>174</v>
      </c>
      <c r="H388" s="2" t="s">
        <v>23</v>
      </c>
      <c r="I388" s="24" t="s">
        <v>908</v>
      </c>
      <c r="J388" s="24" t="s">
        <v>908</v>
      </c>
      <c r="K388" s="24" t="s">
        <v>908</v>
      </c>
      <c r="M388" s="24" t="s">
        <v>908</v>
      </c>
      <c r="N388" s="24"/>
      <c r="P388" s="1" t="str">
        <f t="shared" si="10"/>
        <v>61402009</v>
      </c>
      <c r="Q388" s="263" t="str">
        <f t="shared" si="11"/>
        <v>SM - Pension Plan</v>
      </c>
    </row>
    <row r="389" spans="1:17" x14ac:dyDescent="0.25">
      <c r="A389" s="24" t="s">
        <v>224</v>
      </c>
      <c r="B389" s="24" t="s">
        <v>20</v>
      </c>
      <c r="C389" s="24" t="s">
        <v>54</v>
      </c>
      <c r="D389" s="25" t="s">
        <v>2</v>
      </c>
      <c r="E389" s="25" t="s">
        <v>238</v>
      </c>
      <c r="F389" s="5" t="s">
        <v>920</v>
      </c>
      <c r="G389" s="2" t="s">
        <v>174</v>
      </c>
      <c r="H389" s="2" t="s">
        <v>23</v>
      </c>
      <c r="I389" s="24" t="s">
        <v>908</v>
      </c>
      <c r="J389" s="24" t="s">
        <v>908</v>
      </c>
      <c r="K389" s="24" t="s">
        <v>908</v>
      </c>
      <c r="M389" s="24" t="s">
        <v>908</v>
      </c>
      <c r="N389" s="24"/>
      <c r="P389" s="1" t="str">
        <f t="shared" ref="P389:P452" si="12">CONCATENATE(A389,B389,C389,D389,E389)</f>
        <v>61402010</v>
      </c>
      <c r="Q389" s="263" t="str">
        <f t="shared" si="11"/>
        <v>SM - Temporary Staff &amp; Daily Worker</v>
      </c>
    </row>
    <row r="390" spans="1:17" x14ac:dyDescent="0.25">
      <c r="A390" s="24" t="s">
        <v>224</v>
      </c>
      <c r="B390" s="24" t="s">
        <v>20</v>
      </c>
      <c r="C390" s="24" t="s">
        <v>54</v>
      </c>
      <c r="D390" s="25" t="s">
        <v>2</v>
      </c>
      <c r="E390" s="25" t="s">
        <v>240</v>
      </c>
      <c r="F390" s="5" t="s">
        <v>303</v>
      </c>
      <c r="G390" s="2" t="s">
        <v>174</v>
      </c>
      <c r="H390" s="2" t="s">
        <v>23</v>
      </c>
      <c r="I390" s="24" t="s">
        <v>908</v>
      </c>
      <c r="J390" s="24" t="s">
        <v>908</v>
      </c>
      <c r="K390" s="24" t="s">
        <v>908</v>
      </c>
      <c r="M390" s="24" t="s">
        <v>908</v>
      </c>
      <c r="N390" s="24"/>
      <c r="P390" s="1" t="str">
        <f t="shared" si="12"/>
        <v>61402011</v>
      </c>
      <c r="Q390" s="263" t="str">
        <f t="shared" si="11"/>
        <v>SM - Employee Benefit</v>
      </c>
    </row>
    <row r="391" spans="1:17" x14ac:dyDescent="0.25">
      <c r="A391" s="24" t="s">
        <v>224</v>
      </c>
      <c r="B391" s="24" t="s">
        <v>20</v>
      </c>
      <c r="C391" s="24" t="s">
        <v>54</v>
      </c>
      <c r="D391" s="25" t="s">
        <v>2</v>
      </c>
      <c r="E391" s="25" t="s">
        <v>43</v>
      </c>
      <c r="F391" s="5" t="s">
        <v>304</v>
      </c>
      <c r="G391" s="2" t="s">
        <v>174</v>
      </c>
      <c r="H391" s="2" t="s">
        <v>23</v>
      </c>
      <c r="I391" s="24" t="s">
        <v>908</v>
      </c>
      <c r="J391" s="24" t="s">
        <v>908</v>
      </c>
      <c r="K391" s="24" t="s">
        <v>908</v>
      </c>
      <c r="M391" s="24" t="s">
        <v>908</v>
      </c>
      <c r="N391" s="24"/>
      <c r="P391" s="1" t="str">
        <f t="shared" si="12"/>
        <v>61402999</v>
      </c>
      <c r="Q391" s="263" t="str">
        <f t="shared" si="11"/>
        <v>SM - Other Payroll and Related Expense</v>
      </c>
    </row>
    <row r="392" spans="1:17" hidden="1" x14ac:dyDescent="0.25">
      <c r="A392" s="20" t="s">
        <v>224</v>
      </c>
      <c r="B392" s="20" t="s">
        <v>20</v>
      </c>
      <c r="C392" s="20" t="s">
        <v>54</v>
      </c>
      <c r="D392" s="21" t="s">
        <v>4</v>
      </c>
      <c r="E392" s="20"/>
      <c r="F392" s="22" t="s">
        <v>305</v>
      </c>
      <c r="G392" s="23" t="s">
        <v>174</v>
      </c>
      <c r="H392" s="23" t="s">
        <v>23</v>
      </c>
      <c r="I392" s="23" t="s">
        <v>907</v>
      </c>
      <c r="J392" s="23" t="s">
        <v>907</v>
      </c>
      <c r="K392" s="23" t="s">
        <v>907</v>
      </c>
      <c r="M392" s="23" t="s">
        <v>907</v>
      </c>
      <c r="N392" s="23"/>
      <c r="Q392" s="263"/>
    </row>
    <row r="393" spans="1:17" x14ac:dyDescent="0.25">
      <c r="A393" s="24" t="s">
        <v>224</v>
      </c>
      <c r="B393" s="24" t="s">
        <v>20</v>
      </c>
      <c r="C393" s="24" t="s">
        <v>54</v>
      </c>
      <c r="D393" s="25" t="s">
        <v>4</v>
      </c>
      <c r="E393" s="25" t="s">
        <v>1</v>
      </c>
      <c r="F393" s="5" t="s">
        <v>306</v>
      </c>
      <c r="G393" s="2" t="s">
        <v>174</v>
      </c>
      <c r="H393" s="2" t="s">
        <v>23</v>
      </c>
      <c r="I393" s="24" t="s">
        <v>908</v>
      </c>
      <c r="J393" s="24" t="s">
        <v>908</v>
      </c>
      <c r="K393" s="24" t="s">
        <v>908</v>
      </c>
      <c r="M393" s="24" t="s">
        <v>908</v>
      </c>
      <c r="N393" s="24"/>
      <c r="P393" s="1" t="str">
        <f t="shared" si="12"/>
        <v>61403001</v>
      </c>
      <c r="Q393" s="263" t="str">
        <f t="shared" ref="Q393:Q456" si="13">F393</f>
        <v>AG - Salary</v>
      </c>
    </row>
    <row r="394" spans="1:17" x14ac:dyDescent="0.25">
      <c r="A394" s="24" t="s">
        <v>224</v>
      </c>
      <c r="B394" s="24" t="s">
        <v>20</v>
      </c>
      <c r="C394" s="24" t="s">
        <v>54</v>
      </c>
      <c r="D394" s="25" t="s">
        <v>4</v>
      </c>
      <c r="E394" s="25" t="s">
        <v>3</v>
      </c>
      <c r="F394" s="5" t="s">
        <v>307</v>
      </c>
      <c r="G394" s="2" t="s">
        <v>174</v>
      </c>
      <c r="H394" s="2" t="s">
        <v>23</v>
      </c>
      <c r="I394" s="24" t="s">
        <v>908</v>
      </c>
      <c r="J394" s="24" t="s">
        <v>908</v>
      </c>
      <c r="K394" s="24" t="s">
        <v>908</v>
      </c>
      <c r="M394" s="24" t="s">
        <v>908</v>
      </c>
      <c r="N394" s="24"/>
      <c r="P394" s="1" t="str">
        <f t="shared" si="12"/>
        <v>61403002</v>
      </c>
      <c r="Q394" s="263" t="str">
        <f t="shared" si="13"/>
        <v>AG - Overtime</v>
      </c>
    </row>
    <row r="395" spans="1:17" x14ac:dyDescent="0.25">
      <c r="A395" s="24" t="s">
        <v>224</v>
      </c>
      <c r="B395" s="24" t="s">
        <v>20</v>
      </c>
      <c r="C395" s="24" t="s">
        <v>54</v>
      </c>
      <c r="D395" s="25" t="s">
        <v>4</v>
      </c>
      <c r="E395" s="25" t="s">
        <v>5</v>
      </c>
      <c r="F395" s="5" t="s">
        <v>308</v>
      </c>
      <c r="G395" s="2" t="s">
        <v>174</v>
      </c>
      <c r="H395" s="2" t="s">
        <v>23</v>
      </c>
      <c r="I395" s="24" t="s">
        <v>908</v>
      </c>
      <c r="J395" s="24" t="s">
        <v>908</v>
      </c>
      <c r="K395" s="24" t="s">
        <v>908</v>
      </c>
      <c r="M395" s="24" t="s">
        <v>908</v>
      </c>
      <c r="N395" s="24"/>
      <c r="P395" s="1" t="str">
        <f t="shared" si="12"/>
        <v>61403003</v>
      </c>
      <c r="Q395" s="263" t="str">
        <f t="shared" si="13"/>
        <v>AG - THR</v>
      </c>
    </row>
    <row r="396" spans="1:17" x14ac:dyDescent="0.25">
      <c r="A396" s="24" t="s">
        <v>224</v>
      </c>
      <c r="B396" s="24" t="s">
        <v>20</v>
      </c>
      <c r="C396" s="24" t="s">
        <v>54</v>
      </c>
      <c r="D396" s="25" t="s">
        <v>4</v>
      </c>
      <c r="E396" s="25" t="s">
        <v>7</v>
      </c>
      <c r="F396" s="5" t="s">
        <v>309</v>
      </c>
      <c r="G396" s="2" t="s">
        <v>174</v>
      </c>
      <c r="H396" s="2" t="s">
        <v>23</v>
      </c>
      <c r="I396" s="24" t="s">
        <v>908</v>
      </c>
      <c r="J396" s="24" t="s">
        <v>908</v>
      </c>
      <c r="K396" s="24" t="s">
        <v>908</v>
      </c>
      <c r="M396" s="24" t="s">
        <v>908</v>
      </c>
      <c r="N396" s="24"/>
      <c r="P396" s="1" t="str">
        <f t="shared" si="12"/>
        <v>61403004</v>
      </c>
      <c r="Q396" s="263" t="str">
        <f t="shared" si="13"/>
        <v>AG - Bonus</v>
      </c>
    </row>
    <row r="397" spans="1:17" x14ac:dyDescent="0.25">
      <c r="A397" s="24" t="s">
        <v>224</v>
      </c>
      <c r="B397" s="24" t="s">
        <v>20</v>
      </c>
      <c r="C397" s="24" t="s">
        <v>54</v>
      </c>
      <c r="D397" s="25" t="s">
        <v>4</v>
      </c>
      <c r="E397" s="25" t="s">
        <v>9</v>
      </c>
      <c r="F397" s="5" t="s">
        <v>310</v>
      </c>
      <c r="G397" s="2" t="s">
        <v>174</v>
      </c>
      <c r="H397" s="2" t="s">
        <v>23</v>
      </c>
      <c r="I397" s="24" t="s">
        <v>908</v>
      </c>
      <c r="J397" s="24" t="s">
        <v>908</v>
      </c>
      <c r="K397" s="24" t="s">
        <v>908</v>
      </c>
      <c r="M397" s="24" t="s">
        <v>908</v>
      </c>
      <c r="N397" s="24"/>
      <c r="P397" s="1" t="str">
        <f t="shared" si="12"/>
        <v>61403005</v>
      </c>
      <c r="Q397" s="263" t="str">
        <f t="shared" si="13"/>
        <v>AG - Income Tax Allowance</v>
      </c>
    </row>
    <row r="398" spans="1:17" x14ac:dyDescent="0.25">
      <c r="A398" s="24" t="s">
        <v>224</v>
      </c>
      <c r="B398" s="24" t="s">
        <v>20</v>
      </c>
      <c r="C398" s="24" t="s">
        <v>54</v>
      </c>
      <c r="D398" s="25" t="s">
        <v>4</v>
      </c>
      <c r="E398" s="25" t="s">
        <v>10</v>
      </c>
      <c r="F398" s="5" t="s">
        <v>311</v>
      </c>
      <c r="G398" s="2" t="s">
        <v>174</v>
      </c>
      <c r="H398" s="2" t="s">
        <v>23</v>
      </c>
      <c r="I398" s="24" t="s">
        <v>908</v>
      </c>
      <c r="J398" s="24" t="s">
        <v>908</v>
      </c>
      <c r="K398" s="24" t="s">
        <v>908</v>
      </c>
      <c r="M398" s="24" t="s">
        <v>908</v>
      </c>
      <c r="N398" s="24"/>
      <c r="P398" s="1" t="str">
        <f t="shared" si="12"/>
        <v>61403006</v>
      </c>
      <c r="Q398" s="263" t="str">
        <f t="shared" si="13"/>
        <v>AG - Meal Allowance</v>
      </c>
    </row>
    <row r="399" spans="1:17" x14ac:dyDescent="0.25">
      <c r="A399" s="24" t="s">
        <v>224</v>
      </c>
      <c r="B399" s="24" t="s">
        <v>20</v>
      </c>
      <c r="C399" s="24" t="s">
        <v>54</v>
      </c>
      <c r="D399" s="25" t="s">
        <v>4</v>
      </c>
      <c r="E399" s="25" t="s">
        <v>11</v>
      </c>
      <c r="F399" s="5" t="s">
        <v>312</v>
      </c>
      <c r="G399" s="2" t="s">
        <v>174</v>
      </c>
      <c r="H399" s="2" t="s">
        <v>23</v>
      </c>
      <c r="I399" s="24" t="s">
        <v>908</v>
      </c>
      <c r="J399" s="24" t="s">
        <v>908</v>
      </c>
      <c r="K399" s="24" t="s">
        <v>908</v>
      </c>
      <c r="M399" s="24" t="s">
        <v>908</v>
      </c>
      <c r="N399" s="24"/>
      <c r="P399" s="1" t="str">
        <f t="shared" si="12"/>
        <v>61403007</v>
      </c>
      <c r="Q399" s="263" t="str">
        <f t="shared" si="13"/>
        <v>AG - Jamsostek</v>
      </c>
    </row>
    <row r="400" spans="1:17" x14ac:dyDescent="0.25">
      <c r="A400" s="24" t="s">
        <v>224</v>
      </c>
      <c r="B400" s="24" t="s">
        <v>20</v>
      </c>
      <c r="C400" s="24" t="s">
        <v>54</v>
      </c>
      <c r="D400" s="25" t="s">
        <v>4</v>
      </c>
      <c r="E400" s="25" t="s">
        <v>13</v>
      </c>
      <c r="F400" s="5" t="s">
        <v>313</v>
      </c>
      <c r="G400" s="2" t="s">
        <v>174</v>
      </c>
      <c r="H400" s="2" t="s">
        <v>23</v>
      </c>
      <c r="I400" s="24" t="s">
        <v>908</v>
      </c>
      <c r="J400" s="24" t="s">
        <v>908</v>
      </c>
      <c r="K400" s="24" t="s">
        <v>908</v>
      </c>
      <c r="M400" s="24" t="s">
        <v>908</v>
      </c>
      <c r="N400" s="24"/>
      <c r="P400" s="1" t="str">
        <f t="shared" si="12"/>
        <v>61403008</v>
      </c>
      <c r="Q400" s="263" t="str">
        <f t="shared" si="13"/>
        <v>AG - Medical &amp; Insurance</v>
      </c>
    </row>
    <row r="401" spans="1:17" x14ac:dyDescent="0.25">
      <c r="A401" s="24" t="s">
        <v>224</v>
      </c>
      <c r="B401" s="24" t="s">
        <v>20</v>
      </c>
      <c r="C401" s="24" t="s">
        <v>54</v>
      </c>
      <c r="D401" s="25" t="s">
        <v>4</v>
      </c>
      <c r="E401" s="25" t="s">
        <v>15</v>
      </c>
      <c r="F401" s="5" t="s">
        <v>314</v>
      </c>
      <c r="G401" s="2" t="s">
        <v>174</v>
      </c>
      <c r="H401" s="2" t="s">
        <v>23</v>
      </c>
      <c r="I401" s="24" t="s">
        <v>908</v>
      </c>
      <c r="J401" s="24" t="s">
        <v>908</v>
      </c>
      <c r="K401" s="24" t="s">
        <v>908</v>
      </c>
      <c r="M401" s="24" t="s">
        <v>908</v>
      </c>
      <c r="N401" s="24"/>
      <c r="P401" s="1" t="str">
        <f t="shared" si="12"/>
        <v>61403009</v>
      </c>
      <c r="Q401" s="263" t="str">
        <f t="shared" si="13"/>
        <v>AG - Pension Plan</v>
      </c>
    </row>
    <row r="402" spans="1:17" x14ac:dyDescent="0.25">
      <c r="A402" s="24" t="s">
        <v>224</v>
      </c>
      <c r="B402" s="24" t="s">
        <v>20</v>
      </c>
      <c r="C402" s="24" t="s">
        <v>54</v>
      </c>
      <c r="D402" s="25" t="s">
        <v>4</v>
      </c>
      <c r="E402" s="25" t="s">
        <v>238</v>
      </c>
      <c r="F402" s="5" t="s">
        <v>921</v>
      </c>
      <c r="G402" s="2" t="s">
        <v>174</v>
      </c>
      <c r="H402" s="2" t="s">
        <v>23</v>
      </c>
      <c r="I402" s="24" t="s">
        <v>908</v>
      </c>
      <c r="J402" s="24" t="s">
        <v>908</v>
      </c>
      <c r="K402" s="24" t="s">
        <v>908</v>
      </c>
      <c r="M402" s="24" t="s">
        <v>908</v>
      </c>
      <c r="N402" s="24"/>
      <c r="P402" s="1" t="str">
        <f t="shared" si="12"/>
        <v>61403010</v>
      </c>
      <c r="Q402" s="263" t="str">
        <f t="shared" si="13"/>
        <v>AG - Temporary Staff &amp; Daily Worker</v>
      </c>
    </row>
    <row r="403" spans="1:17" x14ac:dyDescent="0.25">
      <c r="A403" s="24" t="s">
        <v>224</v>
      </c>
      <c r="B403" s="24" t="s">
        <v>20</v>
      </c>
      <c r="C403" s="24" t="s">
        <v>54</v>
      </c>
      <c r="D403" s="25" t="s">
        <v>4</v>
      </c>
      <c r="E403" s="25" t="s">
        <v>240</v>
      </c>
      <c r="F403" s="5" t="s">
        <v>315</v>
      </c>
      <c r="G403" s="2" t="s">
        <v>174</v>
      </c>
      <c r="H403" s="2" t="s">
        <v>23</v>
      </c>
      <c r="I403" s="24" t="s">
        <v>908</v>
      </c>
      <c r="J403" s="24" t="s">
        <v>908</v>
      </c>
      <c r="K403" s="24" t="s">
        <v>908</v>
      </c>
      <c r="M403" s="24" t="s">
        <v>908</v>
      </c>
      <c r="N403" s="24"/>
      <c r="P403" s="1" t="str">
        <f t="shared" si="12"/>
        <v>61403011</v>
      </c>
      <c r="Q403" s="263" t="str">
        <f t="shared" si="13"/>
        <v>AG - Employee Benefit</v>
      </c>
    </row>
    <row r="404" spans="1:17" x14ac:dyDescent="0.25">
      <c r="A404" s="24" t="s">
        <v>224</v>
      </c>
      <c r="B404" s="24" t="s">
        <v>20</v>
      </c>
      <c r="C404" s="24" t="s">
        <v>54</v>
      </c>
      <c r="D404" s="25" t="s">
        <v>4</v>
      </c>
      <c r="E404" s="25" t="s">
        <v>43</v>
      </c>
      <c r="F404" s="5" t="s">
        <v>316</v>
      </c>
      <c r="G404" s="2" t="s">
        <v>174</v>
      </c>
      <c r="H404" s="2" t="s">
        <v>23</v>
      </c>
      <c r="I404" s="24" t="s">
        <v>908</v>
      </c>
      <c r="J404" s="24" t="s">
        <v>908</v>
      </c>
      <c r="K404" s="24" t="s">
        <v>908</v>
      </c>
      <c r="M404" s="24" t="s">
        <v>908</v>
      </c>
      <c r="N404" s="24"/>
      <c r="P404" s="1" t="str">
        <f t="shared" si="12"/>
        <v>61403999</v>
      </c>
      <c r="Q404" s="263" t="str">
        <f t="shared" si="13"/>
        <v>AG - Other Payroll and Related Expense</v>
      </c>
    </row>
    <row r="405" spans="1:17" hidden="1" x14ac:dyDescent="0.25">
      <c r="A405" s="8" t="s">
        <v>317</v>
      </c>
      <c r="B405" s="8"/>
      <c r="C405" s="8"/>
      <c r="D405" s="8"/>
      <c r="E405" s="8"/>
      <c r="F405" s="9" t="s">
        <v>684</v>
      </c>
      <c r="G405" s="10" t="s">
        <v>174</v>
      </c>
      <c r="H405" s="10" t="s">
        <v>23</v>
      </c>
      <c r="I405" s="10" t="s">
        <v>907</v>
      </c>
      <c r="J405" s="10" t="s">
        <v>907</v>
      </c>
      <c r="K405" s="10" t="s">
        <v>907</v>
      </c>
      <c r="M405" s="10" t="s">
        <v>907</v>
      </c>
      <c r="N405" s="10"/>
      <c r="Q405" s="263"/>
    </row>
    <row r="406" spans="1:17" hidden="1" x14ac:dyDescent="0.25">
      <c r="A406" s="12" t="s">
        <v>317</v>
      </c>
      <c r="B406" s="12" t="s">
        <v>20</v>
      </c>
      <c r="C406" s="12"/>
      <c r="D406" s="12"/>
      <c r="E406" s="12"/>
      <c r="F406" s="13" t="s">
        <v>318</v>
      </c>
      <c r="G406" s="14" t="s">
        <v>174</v>
      </c>
      <c r="H406" s="14" t="s">
        <v>23</v>
      </c>
      <c r="I406" s="14" t="s">
        <v>907</v>
      </c>
      <c r="J406" s="14" t="s">
        <v>907</v>
      </c>
      <c r="K406" s="14" t="s">
        <v>907</v>
      </c>
      <c r="M406" s="14" t="s">
        <v>907</v>
      </c>
      <c r="N406" s="14"/>
      <c r="Q406" s="263"/>
    </row>
    <row r="407" spans="1:17" hidden="1" x14ac:dyDescent="0.25">
      <c r="A407" s="16" t="s">
        <v>317</v>
      </c>
      <c r="B407" s="16" t="s">
        <v>20</v>
      </c>
      <c r="C407" s="16" t="s">
        <v>20</v>
      </c>
      <c r="D407" s="16"/>
      <c r="E407" s="16"/>
      <c r="F407" s="18" t="s">
        <v>319</v>
      </c>
      <c r="G407" s="19" t="s">
        <v>174</v>
      </c>
      <c r="H407" s="19" t="s">
        <v>23</v>
      </c>
      <c r="I407" s="19" t="s">
        <v>907</v>
      </c>
      <c r="J407" s="19" t="s">
        <v>907</v>
      </c>
      <c r="K407" s="19" t="s">
        <v>907</v>
      </c>
      <c r="M407" s="19" t="s">
        <v>907</v>
      </c>
      <c r="N407" s="19"/>
      <c r="Q407" s="263"/>
    </row>
    <row r="408" spans="1:17" hidden="1" x14ac:dyDescent="0.25">
      <c r="A408" s="20" t="s">
        <v>317</v>
      </c>
      <c r="B408" s="20" t="s">
        <v>20</v>
      </c>
      <c r="C408" s="20" t="s">
        <v>20</v>
      </c>
      <c r="D408" s="21" t="s">
        <v>0</v>
      </c>
      <c r="E408" s="20"/>
      <c r="F408" s="22" t="s">
        <v>565</v>
      </c>
      <c r="G408" s="23" t="s">
        <v>174</v>
      </c>
      <c r="H408" s="23" t="s">
        <v>23</v>
      </c>
      <c r="I408" s="23" t="s">
        <v>907</v>
      </c>
      <c r="J408" s="23" t="s">
        <v>907</v>
      </c>
      <c r="K408" s="23" t="s">
        <v>907</v>
      </c>
      <c r="M408" s="23" t="s">
        <v>907</v>
      </c>
      <c r="N408" s="23"/>
      <c r="Q408" s="263"/>
    </row>
    <row r="409" spans="1:17" x14ac:dyDescent="0.25">
      <c r="A409" s="24" t="s">
        <v>317</v>
      </c>
      <c r="B409" s="24" t="s">
        <v>20</v>
      </c>
      <c r="C409" s="24" t="s">
        <v>20</v>
      </c>
      <c r="D409" s="24" t="s">
        <v>0</v>
      </c>
      <c r="E409" s="24" t="s">
        <v>1</v>
      </c>
      <c r="F409" s="5" t="s">
        <v>320</v>
      </c>
      <c r="G409" s="2" t="s">
        <v>174</v>
      </c>
      <c r="H409" s="2" t="s">
        <v>23</v>
      </c>
      <c r="I409" s="24" t="s">
        <v>908</v>
      </c>
      <c r="J409" s="24" t="s">
        <v>908</v>
      </c>
      <c r="K409" s="24" t="s">
        <v>908</v>
      </c>
      <c r="M409" s="24" t="s">
        <v>908</v>
      </c>
      <c r="N409" s="24"/>
      <c r="P409" s="1" t="str">
        <f t="shared" si="12"/>
        <v>71101001</v>
      </c>
      <c r="Q409" s="263" t="str">
        <f t="shared" si="13"/>
        <v>RM - Cleaning Supplies</v>
      </c>
    </row>
    <row r="410" spans="1:17" x14ac:dyDescent="0.25">
      <c r="A410" s="24" t="s">
        <v>317</v>
      </c>
      <c r="B410" s="24" t="s">
        <v>20</v>
      </c>
      <c r="C410" s="24" t="s">
        <v>20</v>
      </c>
      <c r="D410" s="24" t="s">
        <v>0</v>
      </c>
      <c r="E410" s="24" t="s">
        <v>3</v>
      </c>
      <c r="F410" s="5" t="s">
        <v>321</v>
      </c>
      <c r="G410" s="2" t="s">
        <v>174</v>
      </c>
      <c r="H410" s="2" t="s">
        <v>23</v>
      </c>
      <c r="I410" s="24" t="s">
        <v>908</v>
      </c>
      <c r="J410" s="24" t="s">
        <v>908</v>
      </c>
      <c r="K410" s="24" t="s">
        <v>908</v>
      </c>
      <c r="M410" s="24" t="s">
        <v>908</v>
      </c>
      <c r="N410" s="24"/>
      <c r="P410" s="1" t="str">
        <f t="shared" si="12"/>
        <v>71101002</v>
      </c>
      <c r="Q410" s="263" t="str">
        <f t="shared" si="13"/>
        <v>RM - Contract Services</v>
      </c>
    </row>
    <row r="411" spans="1:17" x14ac:dyDescent="0.25">
      <c r="A411" s="24" t="s">
        <v>317</v>
      </c>
      <c r="B411" s="24" t="s">
        <v>20</v>
      </c>
      <c r="C411" s="24" t="s">
        <v>20</v>
      </c>
      <c r="D411" s="24" t="s">
        <v>0</v>
      </c>
      <c r="E411" s="24" t="s">
        <v>5</v>
      </c>
      <c r="F411" s="5" t="s">
        <v>322</v>
      </c>
      <c r="G411" s="2" t="s">
        <v>174</v>
      </c>
      <c r="H411" s="2" t="s">
        <v>23</v>
      </c>
      <c r="I411" s="24" t="s">
        <v>908</v>
      </c>
      <c r="J411" s="24" t="s">
        <v>908</v>
      </c>
      <c r="K411" s="24" t="s">
        <v>908</v>
      </c>
      <c r="M411" s="24" t="s">
        <v>908</v>
      </c>
      <c r="N411" s="24"/>
      <c r="P411" s="1" t="str">
        <f t="shared" si="12"/>
        <v>71101003</v>
      </c>
      <c r="Q411" s="263" t="str">
        <f t="shared" si="13"/>
        <v>RM - Decoration &amp; Flowers</v>
      </c>
    </row>
    <row r="412" spans="1:17" x14ac:dyDescent="0.25">
      <c r="A412" s="24" t="s">
        <v>317</v>
      </c>
      <c r="B412" s="24" t="s">
        <v>20</v>
      </c>
      <c r="C412" s="24" t="s">
        <v>20</v>
      </c>
      <c r="D412" s="24" t="s">
        <v>0</v>
      </c>
      <c r="E412" s="24" t="s">
        <v>7</v>
      </c>
      <c r="F412" s="5" t="s">
        <v>323</v>
      </c>
      <c r="G412" s="2" t="s">
        <v>174</v>
      </c>
      <c r="H412" s="2" t="s">
        <v>23</v>
      </c>
      <c r="I412" s="24" t="s">
        <v>908</v>
      </c>
      <c r="J412" s="24" t="s">
        <v>908</v>
      </c>
      <c r="K412" s="24" t="s">
        <v>908</v>
      </c>
      <c r="M412" s="24" t="s">
        <v>908</v>
      </c>
      <c r="N412" s="24"/>
      <c r="P412" s="1" t="str">
        <f t="shared" si="12"/>
        <v>71101004</v>
      </c>
      <c r="Q412" s="263" t="str">
        <f t="shared" si="13"/>
        <v>RM - Guest Complimentary</v>
      </c>
    </row>
    <row r="413" spans="1:17" x14ac:dyDescent="0.25">
      <c r="A413" s="24" t="s">
        <v>317</v>
      </c>
      <c r="B413" s="24" t="s">
        <v>20</v>
      </c>
      <c r="C413" s="24" t="s">
        <v>20</v>
      </c>
      <c r="D413" s="24" t="s">
        <v>0</v>
      </c>
      <c r="E413" s="24" t="s">
        <v>9</v>
      </c>
      <c r="F413" s="5" t="s">
        <v>324</v>
      </c>
      <c r="G413" s="2" t="s">
        <v>174</v>
      </c>
      <c r="H413" s="2" t="s">
        <v>23</v>
      </c>
      <c r="I413" s="24" t="s">
        <v>908</v>
      </c>
      <c r="J413" s="24" t="s">
        <v>908</v>
      </c>
      <c r="K413" s="24" t="s">
        <v>908</v>
      </c>
      <c r="M413" s="24" t="s">
        <v>908</v>
      </c>
      <c r="N413" s="24"/>
      <c r="P413" s="1" t="str">
        <f t="shared" si="12"/>
        <v>71101005</v>
      </c>
      <c r="Q413" s="263" t="str">
        <f t="shared" si="13"/>
        <v>RM - Guest Relocation</v>
      </c>
    </row>
    <row r="414" spans="1:17" x14ac:dyDescent="0.25">
      <c r="A414" s="24" t="s">
        <v>317</v>
      </c>
      <c r="B414" s="24" t="s">
        <v>20</v>
      </c>
      <c r="C414" s="24" t="s">
        <v>20</v>
      </c>
      <c r="D414" s="24" t="s">
        <v>0</v>
      </c>
      <c r="E414" s="24" t="s">
        <v>10</v>
      </c>
      <c r="F414" s="5" t="s">
        <v>325</v>
      </c>
      <c r="G414" s="2" t="s">
        <v>174</v>
      </c>
      <c r="H414" s="2" t="s">
        <v>23</v>
      </c>
      <c r="I414" s="24" t="s">
        <v>908</v>
      </c>
      <c r="J414" s="24" t="s">
        <v>908</v>
      </c>
      <c r="K414" s="24" t="s">
        <v>908</v>
      </c>
      <c r="M414" s="24" t="s">
        <v>908</v>
      </c>
      <c r="N414" s="24"/>
      <c r="P414" s="1" t="str">
        <f t="shared" si="12"/>
        <v>71101006</v>
      </c>
      <c r="Q414" s="263" t="str">
        <f t="shared" si="13"/>
        <v>RM - Guest Supplies</v>
      </c>
    </row>
    <row r="415" spans="1:17" x14ac:dyDescent="0.25">
      <c r="A415" s="24" t="s">
        <v>317</v>
      </c>
      <c r="B415" s="24" t="s">
        <v>20</v>
      </c>
      <c r="C415" s="24" t="s">
        <v>20</v>
      </c>
      <c r="D415" s="24" t="s">
        <v>0</v>
      </c>
      <c r="E415" s="24" t="s">
        <v>11</v>
      </c>
      <c r="F415" s="5" t="s">
        <v>326</v>
      </c>
      <c r="G415" s="2" t="s">
        <v>174</v>
      </c>
      <c r="H415" s="2" t="s">
        <v>23</v>
      </c>
      <c r="I415" s="24" t="s">
        <v>908</v>
      </c>
      <c r="J415" s="24" t="s">
        <v>908</v>
      </c>
      <c r="K415" s="24" t="s">
        <v>908</v>
      </c>
      <c r="M415" s="24" t="s">
        <v>908</v>
      </c>
      <c r="N415" s="24"/>
      <c r="P415" s="1" t="str">
        <f t="shared" si="12"/>
        <v>71101007</v>
      </c>
      <c r="Q415" s="263" t="str">
        <f t="shared" si="13"/>
        <v>RM - Guest Transportation</v>
      </c>
    </row>
    <row r="416" spans="1:17" x14ac:dyDescent="0.25">
      <c r="A416" s="24" t="s">
        <v>317</v>
      </c>
      <c r="B416" s="24" t="s">
        <v>20</v>
      </c>
      <c r="C416" s="24" t="s">
        <v>20</v>
      </c>
      <c r="D416" s="24" t="s">
        <v>0</v>
      </c>
      <c r="E416" s="24" t="s">
        <v>13</v>
      </c>
      <c r="F416" s="5" t="s">
        <v>327</v>
      </c>
      <c r="G416" s="2" t="s">
        <v>174</v>
      </c>
      <c r="H416" s="2" t="s">
        <v>23</v>
      </c>
      <c r="I416" s="24" t="s">
        <v>908</v>
      </c>
      <c r="J416" s="24" t="s">
        <v>908</v>
      </c>
      <c r="K416" s="24" t="s">
        <v>908</v>
      </c>
      <c r="M416" s="24" t="s">
        <v>908</v>
      </c>
      <c r="N416" s="24"/>
      <c r="P416" s="1" t="str">
        <f t="shared" si="12"/>
        <v>71101008</v>
      </c>
      <c r="Q416" s="263" t="str">
        <f t="shared" si="13"/>
        <v>RM - IT Maintenance</v>
      </c>
    </row>
    <row r="417" spans="1:17" x14ac:dyDescent="0.25">
      <c r="A417" s="24" t="s">
        <v>317</v>
      </c>
      <c r="B417" s="24" t="s">
        <v>20</v>
      </c>
      <c r="C417" s="24" t="s">
        <v>20</v>
      </c>
      <c r="D417" s="24" t="s">
        <v>0</v>
      </c>
      <c r="E417" s="24" t="s">
        <v>15</v>
      </c>
      <c r="F417" s="5" t="s">
        <v>328</v>
      </c>
      <c r="G417" s="2" t="s">
        <v>174</v>
      </c>
      <c r="H417" s="2" t="s">
        <v>23</v>
      </c>
      <c r="I417" s="24" t="s">
        <v>908</v>
      </c>
      <c r="J417" s="24" t="s">
        <v>908</v>
      </c>
      <c r="K417" s="24" t="s">
        <v>908</v>
      </c>
      <c r="M417" s="24" t="s">
        <v>908</v>
      </c>
      <c r="N417" s="24"/>
      <c r="P417" s="1" t="str">
        <f t="shared" si="12"/>
        <v>71101009</v>
      </c>
      <c r="Q417" s="263" t="str">
        <f t="shared" si="13"/>
        <v>RM - Internet</v>
      </c>
    </row>
    <row r="418" spans="1:17" x14ac:dyDescent="0.25">
      <c r="A418" s="24" t="s">
        <v>317</v>
      </c>
      <c r="B418" s="24" t="s">
        <v>20</v>
      </c>
      <c r="C418" s="24" t="s">
        <v>20</v>
      </c>
      <c r="D418" s="24" t="s">
        <v>0</v>
      </c>
      <c r="E418" s="24" t="s">
        <v>238</v>
      </c>
      <c r="F418" s="5" t="s">
        <v>329</v>
      </c>
      <c r="G418" s="2" t="s">
        <v>174</v>
      </c>
      <c r="H418" s="2" t="s">
        <v>23</v>
      </c>
      <c r="I418" s="24" t="s">
        <v>908</v>
      </c>
      <c r="J418" s="24" t="s">
        <v>908</v>
      </c>
      <c r="K418" s="24" t="s">
        <v>908</v>
      </c>
      <c r="M418" s="24" t="s">
        <v>908</v>
      </c>
      <c r="N418" s="24"/>
      <c r="P418" s="1" t="str">
        <f t="shared" si="12"/>
        <v>71101010</v>
      </c>
      <c r="Q418" s="263" t="str">
        <f t="shared" si="13"/>
        <v>RM - Laundry &amp; Dry Cleaning</v>
      </c>
    </row>
    <row r="419" spans="1:17" x14ac:dyDescent="0.25">
      <c r="A419" s="24" t="s">
        <v>317</v>
      </c>
      <c r="B419" s="24" t="s">
        <v>20</v>
      </c>
      <c r="C419" s="24" t="s">
        <v>20</v>
      </c>
      <c r="D419" s="24" t="s">
        <v>0</v>
      </c>
      <c r="E419" s="24" t="s">
        <v>240</v>
      </c>
      <c r="F419" s="5" t="s">
        <v>330</v>
      </c>
      <c r="G419" s="2" t="s">
        <v>174</v>
      </c>
      <c r="H419" s="2" t="s">
        <v>23</v>
      </c>
      <c r="I419" s="24" t="s">
        <v>908</v>
      </c>
      <c r="J419" s="24" t="s">
        <v>908</v>
      </c>
      <c r="K419" s="24" t="s">
        <v>908</v>
      </c>
      <c r="M419" s="24" t="s">
        <v>908</v>
      </c>
      <c r="N419" s="24"/>
      <c r="P419" s="1" t="str">
        <f t="shared" si="12"/>
        <v>71101011</v>
      </c>
      <c r="Q419" s="263" t="str">
        <f t="shared" si="13"/>
        <v>RM - Music, TV Cable &amp; Entertainment</v>
      </c>
    </row>
    <row r="420" spans="1:17" x14ac:dyDescent="0.25">
      <c r="A420" s="24" t="s">
        <v>317</v>
      </c>
      <c r="B420" s="24" t="s">
        <v>20</v>
      </c>
      <c r="C420" s="24" t="s">
        <v>20</v>
      </c>
      <c r="D420" s="24" t="s">
        <v>0</v>
      </c>
      <c r="E420" s="24" t="s">
        <v>331</v>
      </c>
      <c r="F420" s="5" t="s">
        <v>332</v>
      </c>
      <c r="G420" s="2" t="s">
        <v>174</v>
      </c>
      <c r="H420" s="2" t="s">
        <v>23</v>
      </c>
      <c r="I420" s="24" t="s">
        <v>908</v>
      </c>
      <c r="J420" s="24" t="s">
        <v>908</v>
      </c>
      <c r="K420" s="24" t="s">
        <v>908</v>
      </c>
      <c r="M420" s="24" t="s">
        <v>908</v>
      </c>
      <c r="N420" s="24"/>
      <c r="P420" s="1" t="str">
        <f t="shared" si="12"/>
        <v>71101012</v>
      </c>
      <c r="Q420" s="263" t="str">
        <f t="shared" si="13"/>
        <v>RM - Newspaper &amp; Magazine</v>
      </c>
    </row>
    <row r="421" spans="1:17" x14ac:dyDescent="0.25">
      <c r="A421" s="24" t="s">
        <v>317</v>
      </c>
      <c r="B421" s="24" t="s">
        <v>20</v>
      </c>
      <c r="C421" s="24" t="s">
        <v>20</v>
      </c>
      <c r="D421" s="24" t="s">
        <v>0</v>
      </c>
      <c r="E421" s="24" t="s">
        <v>333</v>
      </c>
      <c r="F421" s="5" t="s">
        <v>334</v>
      </c>
      <c r="G421" s="2" t="s">
        <v>174</v>
      </c>
      <c r="H421" s="2" t="s">
        <v>23</v>
      </c>
      <c r="I421" s="24" t="s">
        <v>908</v>
      </c>
      <c r="J421" s="24" t="s">
        <v>908</v>
      </c>
      <c r="K421" s="24" t="s">
        <v>908</v>
      </c>
      <c r="M421" s="24" t="s">
        <v>908</v>
      </c>
      <c r="N421" s="24"/>
      <c r="P421" s="1" t="str">
        <f t="shared" si="12"/>
        <v>71101013</v>
      </c>
      <c r="Q421" s="263" t="str">
        <f t="shared" si="13"/>
        <v>RM - Printing &amp; Stationary</v>
      </c>
    </row>
    <row r="422" spans="1:17" x14ac:dyDescent="0.25">
      <c r="A422" s="24" t="s">
        <v>317</v>
      </c>
      <c r="B422" s="24" t="s">
        <v>20</v>
      </c>
      <c r="C422" s="24" t="s">
        <v>20</v>
      </c>
      <c r="D422" s="24" t="s">
        <v>0</v>
      </c>
      <c r="E422" s="24" t="s">
        <v>335</v>
      </c>
      <c r="F422" s="5" t="s">
        <v>336</v>
      </c>
      <c r="G422" s="2" t="s">
        <v>174</v>
      </c>
      <c r="H422" s="2" t="s">
        <v>23</v>
      </c>
      <c r="I422" s="24" t="s">
        <v>908</v>
      </c>
      <c r="J422" s="24" t="s">
        <v>908</v>
      </c>
      <c r="K422" s="24" t="s">
        <v>908</v>
      </c>
      <c r="M422" s="24" t="s">
        <v>908</v>
      </c>
      <c r="N422" s="24"/>
      <c r="P422" s="1" t="str">
        <f t="shared" si="12"/>
        <v>71101014</v>
      </c>
      <c r="Q422" s="263" t="str">
        <f t="shared" si="13"/>
        <v>RM - Reservation Expenses</v>
      </c>
    </row>
    <row r="423" spans="1:17" x14ac:dyDescent="0.25">
      <c r="A423" s="24" t="s">
        <v>317</v>
      </c>
      <c r="B423" s="24" t="s">
        <v>20</v>
      </c>
      <c r="C423" s="24" t="s">
        <v>20</v>
      </c>
      <c r="D423" s="24" t="s">
        <v>0</v>
      </c>
      <c r="E423" s="24" t="s">
        <v>337</v>
      </c>
      <c r="F423" s="5" t="s">
        <v>338</v>
      </c>
      <c r="G423" s="2" t="s">
        <v>174</v>
      </c>
      <c r="H423" s="2" t="s">
        <v>23</v>
      </c>
      <c r="I423" s="24" t="s">
        <v>908</v>
      </c>
      <c r="J423" s="24" t="s">
        <v>908</v>
      </c>
      <c r="K423" s="24" t="s">
        <v>908</v>
      </c>
      <c r="M423" s="24" t="s">
        <v>908</v>
      </c>
      <c r="N423" s="24"/>
      <c r="P423" s="1" t="str">
        <f t="shared" si="12"/>
        <v>71101015</v>
      </c>
      <c r="Q423" s="263" t="str">
        <f t="shared" si="13"/>
        <v>RM - Room Commission</v>
      </c>
    </row>
    <row r="424" spans="1:17" x14ac:dyDescent="0.25">
      <c r="A424" s="24" t="s">
        <v>317</v>
      </c>
      <c r="B424" s="24" t="s">
        <v>20</v>
      </c>
      <c r="C424" s="24" t="s">
        <v>20</v>
      </c>
      <c r="D424" s="24" t="s">
        <v>0</v>
      </c>
      <c r="E424" s="24" t="s">
        <v>339</v>
      </c>
      <c r="F424" s="5" t="s">
        <v>340</v>
      </c>
      <c r="G424" s="2" t="s">
        <v>174</v>
      </c>
      <c r="H424" s="2" t="s">
        <v>23</v>
      </c>
      <c r="I424" s="24" t="s">
        <v>908</v>
      </c>
      <c r="J424" s="24" t="s">
        <v>908</v>
      </c>
      <c r="K424" s="24" t="s">
        <v>908</v>
      </c>
      <c r="M424" s="24" t="s">
        <v>908</v>
      </c>
      <c r="N424" s="24"/>
      <c r="P424" s="1" t="str">
        <f t="shared" si="12"/>
        <v>71101016</v>
      </c>
      <c r="Q424" s="263" t="str">
        <f t="shared" si="13"/>
        <v>RM - Telephone &amp; Fax</v>
      </c>
    </row>
    <row r="425" spans="1:17" x14ac:dyDescent="0.25">
      <c r="A425" s="24" t="s">
        <v>317</v>
      </c>
      <c r="B425" s="24" t="s">
        <v>20</v>
      </c>
      <c r="C425" s="24" t="s">
        <v>20</v>
      </c>
      <c r="D425" s="24" t="s">
        <v>0</v>
      </c>
      <c r="E425" s="24" t="s">
        <v>341</v>
      </c>
      <c r="F425" s="5" t="s">
        <v>342</v>
      </c>
      <c r="G425" s="2" t="s">
        <v>174</v>
      </c>
      <c r="H425" s="2" t="s">
        <v>23</v>
      </c>
      <c r="I425" s="24" t="s">
        <v>908</v>
      </c>
      <c r="J425" s="24" t="s">
        <v>908</v>
      </c>
      <c r="K425" s="24" t="s">
        <v>908</v>
      </c>
      <c r="M425" s="24" t="s">
        <v>908</v>
      </c>
      <c r="N425" s="24"/>
      <c r="P425" s="1" t="str">
        <f t="shared" si="12"/>
        <v>71101017</v>
      </c>
      <c r="Q425" s="263" t="str">
        <f t="shared" si="13"/>
        <v>RM - Training</v>
      </c>
    </row>
    <row r="426" spans="1:17" x14ac:dyDescent="0.25">
      <c r="A426" s="24" t="s">
        <v>317</v>
      </c>
      <c r="B426" s="24" t="s">
        <v>20</v>
      </c>
      <c r="C426" s="24" t="s">
        <v>20</v>
      </c>
      <c r="D426" s="24" t="s">
        <v>0</v>
      </c>
      <c r="E426" s="24" t="s">
        <v>343</v>
      </c>
      <c r="F426" s="5" t="s">
        <v>345</v>
      </c>
      <c r="G426" s="2" t="s">
        <v>174</v>
      </c>
      <c r="H426" s="2" t="s">
        <v>23</v>
      </c>
      <c r="I426" s="24" t="s">
        <v>908</v>
      </c>
      <c r="J426" s="24" t="s">
        <v>908</v>
      </c>
      <c r="K426" s="24" t="s">
        <v>908</v>
      </c>
      <c r="M426" s="24" t="s">
        <v>908</v>
      </c>
      <c r="N426" s="24"/>
      <c r="P426" s="1" t="str">
        <f t="shared" si="12"/>
        <v>71101018</v>
      </c>
      <c r="Q426" s="263" t="str">
        <f t="shared" si="13"/>
        <v>RM - Uniform Laundry</v>
      </c>
    </row>
    <row r="427" spans="1:17" x14ac:dyDescent="0.25">
      <c r="A427" s="24" t="s">
        <v>317</v>
      </c>
      <c r="B427" s="24" t="s">
        <v>20</v>
      </c>
      <c r="C427" s="24" t="s">
        <v>20</v>
      </c>
      <c r="D427" s="24" t="s">
        <v>0</v>
      </c>
      <c r="E427" s="24" t="s">
        <v>344</v>
      </c>
      <c r="F427" s="5" t="s">
        <v>347</v>
      </c>
      <c r="G427" s="2" t="s">
        <v>174</v>
      </c>
      <c r="H427" s="2" t="s">
        <v>23</v>
      </c>
      <c r="I427" s="24" t="s">
        <v>908</v>
      </c>
      <c r="J427" s="24" t="s">
        <v>908</v>
      </c>
      <c r="K427" s="24" t="s">
        <v>908</v>
      </c>
      <c r="M427" s="24" t="s">
        <v>908</v>
      </c>
      <c r="N427" s="24"/>
      <c r="P427" s="1" t="str">
        <f t="shared" si="12"/>
        <v>71101019</v>
      </c>
      <c r="Q427" s="263" t="str">
        <f t="shared" si="13"/>
        <v xml:space="preserve">RM - Housekeeping Supplies </v>
      </c>
    </row>
    <row r="428" spans="1:17" x14ac:dyDescent="0.25">
      <c r="A428" s="24" t="s">
        <v>317</v>
      </c>
      <c r="B428" s="24" t="s">
        <v>20</v>
      </c>
      <c r="C428" s="24" t="s">
        <v>20</v>
      </c>
      <c r="D428" s="24" t="s">
        <v>0</v>
      </c>
      <c r="E428" s="24" t="s">
        <v>346</v>
      </c>
      <c r="F428" s="5" t="s">
        <v>349</v>
      </c>
      <c r="G428" s="2" t="s">
        <v>174</v>
      </c>
      <c r="H428" s="2" t="s">
        <v>23</v>
      </c>
      <c r="I428" s="24" t="s">
        <v>908</v>
      </c>
      <c r="J428" s="24" t="s">
        <v>908</v>
      </c>
      <c r="K428" s="24" t="s">
        <v>908</v>
      </c>
      <c r="M428" s="24" t="s">
        <v>908</v>
      </c>
      <c r="N428" s="24"/>
      <c r="P428" s="1" t="str">
        <f t="shared" si="12"/>
        <v>71101020</v>
      </c>
      <c r="Q428" s="263" t="str">
        <f t="shared" si="13"/>
        <v>RM - Licenses</v>
      </c>
    </row>
    <row r="429" spans="1:17" x14ac:dyDescent="0.25">
      <c r="A429" s="24" t="s">
        <v>317</v>
      </c>
      <c r="B429" s="24" t="s">
        <v>20</v>
      </c>
      <c r="C429" s="24" t="s">
        <v>20</v>
      </c>
      <c r="D429" s="24" t="s">
        <v>0</v>
      </c>
      <c r="E429" s="24" t="s">
        <v>348</v>
      </c>
      <c r="F429" s="5" t="s">
        <v>351</v>
      </c>
      <c r="G429" s="2" t="s">
        <v>174</v>
      </c>
      <c r="H429" s="2" t="s">
        <v>23</v>
      </c>
      <c r="I429" s="24" t="s">
        <v>908</v>
      </c>
      <c r="J429" s="24" t="s">
        <v>908</v>
      </c>
      <c r="K429" s="24" t="s">
        <v>908</v>
      </c>
      <c r="M429" s="24" t="s">
        <v>908</v>
      </c>
      <c r="N429" s="24"/>
      <c r="P429" s="1" t="str">
        <f t="shared" si="12"/>
        <v>71101021</v>
      </c>
      <c r="Q429" s="263" t="str">
        <f t="shared" si="13"/>
        <v>RM - Non Capitalized Asset</v>
      </c>
    </row>
    <row r="430" spans="1:17" x14ac:dyDescent="0.25">
      <c r="A430" s="24" t="s">
        <v>317</v>
      </c>
      <c r="B430" s="24" t="s">
        <v>20</v>
      </c>
      <c r="C430" s="24" t="s">
        <v>20</v>
      </c>
      <c r="D430" s="24" t="s">
        <v>0</v>
      </c>
      <c r="E430" s="24" t="s">
        <v>350</v>
      </c>
      <c r="F430" s="5" t="s">
        <v>857</v>
      </c>
      <c r="G430" s="2" t="s">
        <v>174</v>
      </c>
      <c r="H430" s="2" t="s">
        <v>23</v>
      </c>
      <c r="I430" s="24" t="s">
        <v>908</v>
      </c>
      <c r="J430" s="24" t="s">
        <v>908</v>
      </c>
      <c r="K430" s="24" t="s">
        <v>908</v>
      </c>
      <c r="M430" s="24" t="s">
        <v>908</v>
      </c>
      <c r="N430" s="24"/>
      <c r="P430" s="1" t="str">
        <f t="shared" si="12"/>
        <v>71101022</v>
      </c>
      <c r="Q430" s="263" t="str">
        <f t="shared" si="13"/>
        <v>RM - Traveling</v>
      </c>
    </row>
    <row r="431" spans="1:17" x14ac:dyDescent="0.25">
      <c r="A431" s="24" t="s">
        <v>317</v>
      </c>
      <c r="B431" s="24" t="s">
        <v>20</v>
      </c>
      <c r="C431" s="24" t="s">
        <v>20</v>
      </c>
      <c r="D431" s="24" t="s">
        <v>0</v>
      </c>
      <c r="E431" s="24" t="s">
        <v>414</v>
      </c>
      <c r="F431" s="5" t="s">
        <v>858</v>
      </c>
      <c r="G431" s="2" t="s">
        <v>174</v>
      </c>
      <c r="H431" s="2" t="s">
        <v>23</v>
      </c>
      <c r="I431" s="24" t="s">
        <v>908</v>
      </c>
      <c r="J431" s="24" t="s">
        <v>908</v>
      </c>
      <c r="K431" s="24" t="s">
        <v>908</v>
      </c>
      <c r="M431" s="24" t="s">
        <v>908</v>
      </c>
      <c r="N431" s="24"/>
      <c r="P431" s="1" t="str">
        <f t="shared" si="12"/>
        <v>71101023</v>
      </c>
      <c r="Q431" s="263" t="str">
        <f t="shared" si="13"/>
        <v>RM - Entertainment</v>
      </c>
    </row>
    <row r="432" spans="1:17" x14ac:dyDescent="0.25">
      <c r="A432" s="24" t="s">
        <v>317</v>
      </c>
      <c r="B432" s="24" t="s">
        <v>20</v>
      </c>
      <c r="C432" s="24" t="s">
        <v>20</v>
      </c>
      <c r="D432" s="24" t="s">
        <v>0</v>
      </c>
      <c r="E432" s="24" t="s">
        <v>43</v>
      </c>
      <c r="F432" s="5" t="s">
        <v>352</v>
      </c>
      <c r="G432" s="2" t="s">
        <v>174</v>
      </c>
      <c r="H432" s="2" t="s">
        <v>23</v>
      </c>
      <c r="I432" s="24" t="s">
        <v>908</v>
      </c>
      <c r="J432" s="24" t="s">
        <v>908</v>
      </c>
      <c r="K432" s="24" t="s">
        <v>908</v>
      </c>
      <c r="M432" s="24" t="s">
        <v>908</v>
      </c>
      <c r="N432" s="24"/>
      <c r="P432" s="1" t="str">
        <f t="shared" si="12"/>
        <v>71101999</v>
      </c>
      <c r="Q432" s="263" t="str">
        <f t="shared" si="13"/>
        <v>RM - Other Operating Expenses</v>
      </c>
    </row>
    <row r="433" spans="1:17" hidden="1" x14ac:dyDescent="0.25">
      <c r="A433" s="20" t="s">
        <v>317</v>
      </c>
      <c r="B433" s="20" t="s">
        <v>20</v>
      </c>
      <c r="C433" s="20" t="s">
        <v>20</v>
      </c>
      <c r="D433" s="21" t="s">
        <v>2</v>
      </c>
      <c r="E433" s="20"/>
      <c r="F433" s="22" t="s">
        <v>566</v>
      </c>
      <c r="G433" s="23" t="s">
        <v>174</v>
      </c>
      <c r="H433" s="23" t="s">
        <v>23</v>
      </c>
      <c r="I433" s="23" t="s">
        <v>907</v>
      </c>
      <c r="J433" s="23" t="s">
        <v>907</v>
      </c>
      <c r="K433" s="23" t="s">
        <v>907</v>
      </c>
      <c r="M433" s="23" t="s">
        <v>907</v>
      </c>
      <c r="N433" s="23"/>
      <c r="Q433" s="263"/>
    </row>
    <row r="434" spans="1:17" x14ac:dyDescent="0.25">
      <c r="A434" s="24" t="s">
        <v>317</v>
      </c>
      <c r="B434" s="24" t="s">
        <v>20</v>
      </c>
      <c r="C434" s="24" t="s">
        <v>20</v>
      </c>
      <c r="D434" s="24" t="s">
        <v>2</v>
      </c>
      <c r="E434" s="24" t="s">
        <v>1</v>
      </c>
      <c r="F434" s="5" t="s">
        <v>890</v>
      </c>
      <c r="G434" s="2" t="s">
        <v>174</v>
      </c>
      <c r="H434" s="2" t="s">
        <v>23</v>
      </c>
      <c r="I434" s="24" t="s">
        <v>908</v>
      </c>
      <c r="J434" s="24" t="s">
        <v>908</v>
      </c>
      <c r="K434" s="24" t="s">
        <v>908</v>
      </c>
      <c r="M434" s="24" t="s">
        <v>908</v>
      </c>
      <c r="N434" s="24"/>
      <c r="P434" s="1" t="str">
        <f t="shared" si="12"/>
        <v>71102001</v>
      </c>
      <c r="Q434" s="263" t="str">
        <f t="shared" si="13"/>
        <v>RM - Provision for Replacement China/Glass/Silverware</v>
      </c>
    </row>
    <row r="435" spans="1:17" x14ac:dyDescent="0.25">
      <c r="A435" s="24" t="s">
        <v>317</v>
      </c>
      <c r="B435" s="24" t="s">
        <v>20</v>
      </c>
      <c r="C435" s="24" t="s">
        <v>20</v>
      </c>
      <c r="D435" s="24" t="s">
        <v>2</v>
      </c>
      <c r="E435" s="24" t="s">
        <v>3</v>
      </c>
      <c r="F435" s="5" t="s">
        <v>891</v>
      </c>
      <c r="G435" s="2" t="s">
        <v>174</v>
      </c>
      <c r="H435" s="2" t="s">
        <v>23</v>
      </c>
      <c r="I435" s="24" t="s">
        <v>908</v>
      </c>
      <c r="J435" s="24" t="s">
        <v>908</v>
      </c>
      <c r="K435" s="24" t="s">
        <v>908</v>
      </c>
      <c r="M435" s="24" t="s">
        <v>908</v>
      </c>
      <c r="N435" s="24"/>
      <c r="P435" s="1" t="str">
        <f t="shared" si="12"/>
        <v>71102002</v>
      </c>
      <c r="Q435" s="263" t="str">
        <f t="shared" si="13"/>
        <v>RM - Provision for Replacement Linen and Towel</v>
      </c>
    </row>
    <row r="436" spans="1:17" x14ac:dyDescent="0.25">
      <c r="A436" s="24" t="s">
        <v>317</v>
      </c>
      <c r="B436" s="24" t="s">
        <v>20</v>
      </c>
      <c r="C436" s="24" t="s">
        <v>20</v>
      </c>
      <c r="D436" s="24" t="s">
        <v>2</v>
      </c>
      <c r="E436" s="24" t="s">
        <v>5</v>
      </c>
      <c r="F436" s="5" t="s">
        <v>593</v>
      </c>
      <c r="G436" s="2" t="s">
        <v>174</v>
      </c>
      <c r="H436" s="2" t="s">
        <v>23</v>
      </c>
      <c r="I436" s="24" t="s">
        <v>908</v>
      </c>
      <c r="J436" s="24" t="s">
        <v>908</v>
      </c>
      <c r="K436" s="24" t="s">
        <v>908</v>
      </c>
      <c r="M436" s="24" t="s">
        <v>908</v>
      </c>
      <c r="N436" s="24"/>
      <c r="P436" s="1" t="str">
        <f t="shared" si="12"/>
        <v>71102003</v>
      </c>
      <c r="Q436" s="263" t="str">
        <f t="shared" si="13"/>
        <v>RM - Provision for Replacement Uniform</v>
      </c>
    </row>
    <row r="437" spans="1:17" hidden="1" x14ac:dyDescent="0.25">
      <c r="A437" s="16" t="s">
        <v>317</v>
      </c>
      <c r="B437" s="16" t="s">
        <v>20</v>
      </c>
      <c r="C437" s="16" t="s">
        <v>33</v>
      </c>
      <c r="D437" s="16"/>
      <c r="E437" s="16"/>
      <c r="F437" s="18" t="s">
        <v>353</v>
      </c>
      <c r="G437" s="19" t="s">
        <v>174</v>
      </c>
      <c r="H437" s="19" t="s">
        <v>23</v>
      </c>
      <c r="I437" s="19" t="s">
        <v>907</v>
      </c>
      <c r="J437" s="19" t="s">
        <v>907</v>
      </c>
      <c r="K437" s="19" t="s">
        <v>907</v>
      </c>
      <c r="M437" s="19" t="s">
        <v>907</v>
      </c>
      <c r="N437" s="19"/>
      <c r="Q437" s="263"/>
    </row>
    <row r="438" spans="1:17" hidden="1" x14ac:dyDescent="0.25">
      <c r="A438" s="20" t="s">
        <v>317</v>
      </c>
      <c r="B438" s="20" t="s">
        <v>20</v>
      </c>
      <c r="C438" s="20" t="s">
        <v>33</v>
      </c>
      <c r="D438" s="20" t="s">
        <v>0</v>
      </c>
      <c r="E438" s="20"/>
      <c r="F438" s="22" t="s">
        <v>567</v>
      </c>
      <c r="G438" s="23" t="s">
        <v>174</v>
      </c>
      <c r="H438" s="23" t="s">
        <v>23</v>
      </c>
      <c r="I438" s="23" t="s">
        <v>907</v>
      </c>
      <c r="J438" s="23" t="s">
        <v>907</v>
      </c>
      <c r="K438" s="23" t="s">
        <v>907</v>
      </c>
      <c r="M438" s="23" t="s">
        <v>907</v>
      </c>
      <c r="N438" s="23"/>
      <c r="Q438" s="263"/>
    </row>
    <row r="439" spans="1:17" x14ac:dyDescent="0.25">
      <c r="A439" s="24" t="s">
        <v>317</v>
      </c>
      <c r="B439" s="24" t="s">
        <v>20</v>
      </c>
      <c r="C439" s="24" t="s">
        <v>33</v>
      </c>
      <c r="D439" s="24" t="s">
        <v>0</v>
      </c>
      <c r="E439" s="24" t="s">
        <v>1</v>
      </c>
      <c r="F439" s="5" t="s">
        <v>354</v>
      </c>
      <c r="G439" s="2" t="s">
        <v>174</v>
      </c>
      <c r="H439" s="2" t="s">
        <v>23</v>
      </c>
      <c r="I439" s="24" t="s">
        <v>908</v>
      </c>
      <c r="J439" s="24" t="s">
        <v>908</v>
      </c>
      <c r="K439" s="24" t="s">
        <v>908</v>
      </c>
      <c r="M439" s="24" t="s">
        <v>908</v>
      </c>
      <c r="N439" s="24"/>
      <c r="P439" s="1" t="str">
        <f t="shared" si="12"/>
        <v>71201001</v>
      </c>
      <c r="Q439" s="263" t="str">
        <f t="shared" si="13"/>
        <v>FB - Cleaning Supplies</v>
      </c>
    </row>
    <row r="440" spans="1:17" x14ac:dyDescent="0.25">
      <c r="A440" s="24" t="s">
        <v>317</v>
      </c>
      <c r="B440" s="24" t="s">
        <v>20</v>
      </c>
      <c r="C440" s="24" t="s">
        <v>33</v>
      </c>
      <c r="D440" s="24" t="s">
        <v>0</v>
      </c>
      <c r="E440" s="24" t="s">
        <v>3</v>
      </c>
      <c r="F440" s="5" t="s">
        <v>355</v>
      </c>
      <c r="G440" s="2" t="s">
        <v>174</v>
      </c>
      <c r="H440" s="2" t="s">
        <v>23</v>
      </c>
      <c r="I440" s="24" t="s">
        <v>908</v>
      </c>
      <c r="J440" s="24" t="s">
        <v>908</v>
      </c>
      <c r="K440" s="24" t="s">
        <v>908</v>
      </c>
      <c r="M440" s="24" t="s">
        <v>908</v>
      </c>
      <c r="N440" s="24"/>
      <c r="P440" s="1" t="str">
        <f t="shared" si="12"/>
        <v>71201002</v>
      </c>
      <c r="Q440" s="263" t="str">
        <f t="shared" si="13"/>
        <v>FB - Contract Services</v>
      </c>
    </row>
    <row r="441" spans="1:17" x14ac:dyDescent="0.25">
      <c r="A441" s="24" t="s">
        <v>317</v>
      </c>
      <c r="B441" s="24" t="s">
        <v>20</v>
      </c>
      <c r="C441" s="24" t="s">
        <v>33</v>
      </c>
      <c r="D441" s="24" t="s">
        <v>0</v>
      </c>
      <c r="E441" s="24" t="s">
        <v>5</v>
      </c>
      <c r="F441" s="5" t="s">
        <v>356</v>
      </c>
      <c r="G441" s="2" t="s">
        <v>174</v>
      </c>
      <c r="H441" s="2" t="s">
        <v>23</v>
      </c>
      <c r="I441" s="24" t="s">
        <v>908</v>
      </c>
      <c r="J441" s="24" t="s">
        <v>908</v>
      </c>
      <c r="K441" s="24" t="s">
        <v>908</v>
      </c>
      <c r="M441" s="24" t="s">
        <v>908</v>
      </c>
      <c r="N441" s="24"/>
      <c r="P441" s="1" t="str">
        <f t="shared" si="12"/>
        <v>71201003</v>
      </c>
      <c r="Q441" s="263" t="str">
        <f t="shared" si="13"/>
        <v>FB - Decoration &amp; Flowers</v>
      </c>
    </row>
    <row r="442" spans="1:17" x14ac:dyDescent="0.25">
      <c r="A442" s="24" t="s">
        <v>317</v>
      </c>
      <c r="B442" s="24" t="s">
        <v>20</v>
      </c>
      <c r="C442" s="24" t="s">
        <v>33</v>
      </c>
      <c r="D442" s="24" t="s">
        <v>0</v>
      </c>
      <c r="E442" s="24" t="s">
        <v>7</v>
      </c>
      <c r="F442" s="5" t="s">
        <v>357</v>
      </c>
      <c r="G442" s="2" t="s">
        <v>174</v>
      </c>
      <c r="H442" s="2" t="s">
        <v>23</v>
      </c>
      <c r="I442" s="24" t="s">
        <v>908</v>
      </c>
      <c r="J442" s="24" t="s">
        <v>908</v>
      </c>
      <c r="K442" s="24" t="s">
        <v>908</v>
      </c>
      <c r="M442" s="24" t="s">
        <v>908</v>
      </c>
      <c r="N442" s="24"/>
      <c r="P442" s="1" t="str">
        <f t="shared" si="12"/>
        <v>71201004</v>
      </c>
      <c r="Q442" s="263" t="str">
        <f t="shared" si="13"/>
        <v>FB - Guest Complimentary</v>
      </c>
    </row>
    <row r="443" spans="1:17" x14ac:dyDescent="0.25">
      <c r="A443" s="24" t="s">
        <v>317</v>
      </c>
      <c r="B443" s="24" t="s">
        <v>20</v>
      </c>
      <c r="C443" s="24" t="s">
        <v>33</v>
      </c>
      <c r="D443" s="24" t="s">
        <v>0</v>
      </c>
      <c r="E443" s="24" t="s">
        <v>9</v>
      </c>
      <c r="F443" s="5" t="s">
        <v>358</v>
      </c>
      <c r="G443" s="2" t="s">
        <v>174</v>
      </c>
      <c r="H443" s="2" t="s">
        <v>23</v>
      </c>
      <c r="I443" s="24" t="s">
        <v>908</v>
      </c>
      <c r="J443" s="24" t="s">
        <v>908</v>
      </c>
      <c r="K443" s="24" t="s">
        <v>908</v>
      </c>
      <c r="M443" s="24" t="s">
        <v>908</v>
      </c>
      <c r="N443" s="24"/>
      <c r="P443" s="1" t="str">
        <f t="shared" si="12"/>
        <v>71201005</v>
      </c>
      <c r="Q443" s="263" t="str">
        <f t="shared" si="13"/>
        <v>FB - Guest Supplies</v>
      </c>
    </row>
    <row r="444" spans="1:17" x14ac:dyDescent="0.25">
      <c r="A444" s="24" t="s">
        <v>317</v>
      </c>
      <c r="B444" s="24" t="s">
        <v>20</v>
      </c>
      <c r="C444" s="24" t="s">
        <v>33</v>
      </c>
      <c r="D444" s="24" t="s">
        <v>0</v>
      </c>
      <c r="E444" s="24" t="s">
        <v>10</v>
      </c>
      <c r="F444" s="5" t="s">
        <v>359</v>
      </c>
      <c r="G444" s="2" t="s">
        <v>174</v>
      </c>
      <c r="H444" s="2" t="s">
        <v>23</v>
      </c>
      <c r="I444" s="24" t="s">
        <v>908</v>
      </c>
      <c r="J444" s="24" t="s">
        <v>908</v>
      </c>
      <c r="K444" s="24" t="s">
        <v>908</v>
      </c>
      <c r="M444" s="24" t="s">
        <v>908</v>
      </c>
      <c r="N444" s="24"/>
      <c r="P444" s="1" t="str">
        <f t="shared" si="12"/>
        <v>71201006</v>
      </c>
      <c r="Q444" s="263" t="str">
        <f t="shared" si="13"/>
        <v>FB - IT Maintenance</v>
      </c>
    </row>
    <row r="445" spans="1:17" x14ac:dyDescent="0.25">
      <c r="A445" s="24" t="s">
        <v>317</v>
      </c>
      <c r="B445" s="24" t="s">
        <v>20</v>
      </c>
      <c r="C445" s="24" t="s">
        <v>33</v>
      </c>
      <c r="D445" s="24" t="s">
        <v>0</v>
      </c>
      <c r="E445" s="24" t="s">
        <v>11</v>
      </c>
      <c r="F445" s="5" t="s">
        <v>360</v>
      </c>
      <c r="G445" s="2" t="s">
        <v>174</v>
      </c>
      <c r="H445" s="2" t="s">
        <v>23</v>
      </c>
      <c r="I445" s="24" t="s">
        <v>908</v>
      </c>
      <c r="J445" s="24" t="s">
        <v>908</v>
      </c>
      <c r="K445" s="24" t="s">
        <v>908</v>
      </c>
      <c r="M445" s="24" t="s">
        <v>908</v>
      </c>
      <c r="N445" s="24"/>
      <c r="P445" s="1" t="str">
        <f t="shared" si="12"/>
        <v>71201007</v>
      </c>
      <c r="Q445" s="263" t="str">
        <f t="shared" si="13"/>
        <v>FB - Laundry &amp; Dry Cleaning</v>
      </c>
    </row>
    <row r="446" spans="1:17" x14ac:dyDescent="0.25">
      <c r="A446" s="24" t="s">
        <v>317</v>
      </c>
      <c r="B446" s="24" t="s">
        <v>20</v>
      </c>
      <c r="C446" s="24" t="s">
        <v>33</v>
      </c>
      <c r="D446" s="24" t="s">
        <v>0</v>
      </c>
      <c r="E446" s="24" t="s">
        <v>13</v>
      </c>
      <c r="F446" s="5" t="s">
        <v>361</v>
      </c>
      <c r="G446" s="2" t="s">
        <v>174</v>
      </c>
      <c r="H446" s="2" t="s">
        <v>23</v>
      </c>
      <c r="I446" s="24" t="s">
        <v>908</v>
      </c>
      <c r="J446" s="24" t="s">
        <v>908</v>
      </c>
      <c r="K446" s="24" t="s">
        <v>908</v>
      </c>
      <c r="M446" s="24" t="s">
        <v>908</v>
      </c>
      <c r="N446" s="24"/>
      <c r="P446" s="1" t="str">
        <f t="shared" si="12"/>
        <v>71201008</v>
      </c>
      <c r="Q446" s="263" t="str">
        <f t="shared" si="13"/>
        <v>FB - Music, TV Cable &amp; Entertainment</v>
      </c>
    </row>
    <row r="447" spans="1:17" x14ac:dyDescent="0.25">
      <c r="A447" s="24" t="s">
        <v>317</v>
      </c>
      <c r="B447" s="24" t="s">
        <v>20</v>
      </c>
      <c r="C447" s="24" t="s">
        <v>33</v>
      </c>
      <c r="D447" s="24" t="s">
        <v>0</v>
      </c>
      <c r="E447" s="24" t="s">
        <v>15</v>
      </c>
      <c r="F447" s="5" t="s">
        <v>362</v>
      </c>
      <c r="G447" s="2" t="s">
        <v>174</v>
      </c>
      <c r="H447" s="2" t="s">
        <v>23</v>
      </c>
      <c r="I447" s="24" t="s">
        <v>908</v>
      </c>
      <c r="J447" s="24" t="s">
        <v>908</v>
      </c>
      <c r="K447" s="24" t="s">
        <v>908</v>
      </c>
      <c r="M447" s="24" t="s">
        <v>908</v>
      </c>
      <c r="N447" s="24"/>
      <c r="P447" s="1" t="str">
        <f t="shared" si="12"/>
        <v>71201009</v>
      </c>
      <c r="Q447" s="263" t="str">
        <f t="shared" si="13"/>
        <v>FB - Newspaper &amp; Magazine</v>
      </c>
    </row>
    <row r="448" spans="1:17" x14ac:dyDescent="0.25">
      <c r="A448" s="24" t="s">
        <v>317</v>
      </c>
      <c r="B448" s="24" t="s">
        <v>20</v>
      </c>
      <c r="C448" s="24" t="s">
        <v>33</v>
      </c>
      <c r="D448" s="24" t="s">
        <v>0</v>
      </c>
      <c r="E448" s="24" t="s">
        <v>238</v>
      </c>
      <c r="F448" s="5" t="s">
        <v>363</v>
      </c>
      <c r="G448" s="2" t="s">
        <v>174</v>
      </c>
      <c r="H448" s="2" t="s">
        <v>23</v>
      </c>
      <c r="I448" s="24" t="s">
        <v>908</v>
      </c>
      <c r="J448" s="24" t="s">
        <v>908</v>
      </c>
      <c r="K448" s="24" t="s">
        <v>908</v>
      </c>
      <c r="M448" s="24" t="s">
        <v>908</v>
      </c>
      <c r="N448" s="24"/>
      <c r="P448" s="1" t="str">
        <f t="shared" si="12"/>
        <v>71201010</v>
      </c>
      <c r="Q448" s="263" t="str">
        <f t="shared" si="13"/>
        <v>FB - Printing &amp; Stationary</v>
      </c>
    </row>
    <row r="449" spans="1:17" x14ac:dyDescent="0.25">
      <c r="A449" s="24" t="s">
        <v>317</v>
      </c>
      <c r="B449" s="24" t="s">
        <v>20</v>
      </c>
      <c r="C449" s="24" t="s">
        <v>33</v>
      </c>
      <c r="D449" s="24" t="s">
        <v>0</v>
      </c>
      <c r="E449" s="24" t="s">
        <v>240</v>
      </c>
      <c r="F449" s="5" t="s">
        <v>364</v>
      </c>
      <c r="G449" s="2" t="s">
        <v>174</v>
      </c>
      <c r="H449" s="2" t="s">
        <v>23</v>
      </c>
      <c r="I449" s="24" t="s">
        <v>908</v>
      </c>
      <c r="J449" s="24" t="s">
        <v>908</v>
      </c>
      <c r="K449" s="24" t="s">
        <v>908</v>
      </c>
      <c r="M449" s="24" t="s">
        <v>908</v>
      </c>
      <c r="N449" s="24"/>
      <c r="P449" s="1" t="str">
        <f t="shared" si="12"/>
        <v>71201011</v>
      </c>
      <c r="Q449" s="263" t="str">
        <f t="shared" si="13"/>
        <v>FB - Telephone &amp; Fax</v>
      </c>
    </row>
    <row r="450" spans="1:17" x14ac:dyDescent="0.25">
      <c r="A450" s="24" t="s">
        <v>317</v>
      </c>
      <c r="B450" s="24" t="s">
        <v>20</v>
      </c>
      <c r="C450" s="24" t="s">
        <v>33</v>
      </c>
      <c r="D450" s="24" t="s">
        <v>0</v>
      </c>
      <c r="E450" s="24" t="s">
        <v>331</v>
      </c>
      <c r="F450" s="5" t="s">
        <v>365</v>
      </c>
      <c r="G450" s="2" t="s">
        <v>174</v>
      </c>
      <c r="H450" s="2" t="s">
        <v>23</v>
      </c>
      <c r="I450" s="24" t="s">
        <v>908</v>
      </c>
      <c r="J450" s="24" t="s">
        <v>908</v>
      </c>
      <c r="K450" s="24" t="s">
        <v>908</v>
      </c>
      <c r="M450" s="24" t="s">
        <v>908</v>
      </c>
      <c r="N450" s="24"/>
      <c r="P450" s="1" t="str">
        <f t="shared" si="12"/>
        <v>71201012</v>
      </c>
      <c r="Q450" s="263" t="str">
        <f t="shared" si="13"/>
        <v>FB - Training</v>
      </c>
    </row>
    <row r="451" spans="1:17" x14ac:dyDescent="0.25">
      <c r="A451" s="24" t="s">
        <v>317</v>
      </c>
      <c r="B451" s="24" t="s">
        <v>20</v>
      </c>
      <c r="C451" s="24" t="s">
        <v>33</v>
      </c>
      <c r="D451" s="24" t="s">
        <v>0</v>
      </c>
      <c r="E451" s="24" t="s">
        <v>333</v>
      </c>
      <c r="F451" s="5" t="s">
        <v>366</v>
      </c>
      <c r="G451" s="2" t="s">
        <v>174</v>
      </c>
      <c r="H451" s="2" t="s">
        <v>23</v>
      </c>
      <c r="I451" s="24" t="s">
        <v>908</v>
      </c>
      <c r="J451" s="24" t="s">
        <v>908</v>
      </c>
      <c r="K451" s="24" t="s">
        <v>908</v>
      </c>
      <c r="M451" s="24" t="s">
        <v>908</v>
      </c>
      <c r="N451" s="24"/>
      <c r="P451" s="1" t="str">
        <f t="shared" si="12"/>
        <v>71201013</v>
      </c>
      <c r="Q451" s="263" t="str">
        <f t="shared" si="13"/>
        <v xml:space="preserve">FB - Uniform Laundry </v>
      </c>
    </row>
    <row r="452" spans="1:17" x14ac:dyDescent="0.25">
      <c r="A452" s="24" t="s">
        <v>317</v>
      </c>
      <c r="B452" s="24" t="s">
        <v>20</v>
      </c>
      <c r="C452" s="24" t="s">
        <v>33</v>
      </c>
      <c r="D452" s="24" t="s">
        <v>0</v>
      </c>
      <c r="E452" s="24" t="s">
        <v>335</v>
      </c>
      <c r="F452" s="5" t="s">
        <v>367</v>
      </c>
      <c r="G452" s="2" t="s">
        <v>174</v>
      </c>
      <c r="H452" s="2" t="s">
        <v>23</v>
      </c>
      <c r="I452" s="24" t="s">
        <v>907</v>
      </c>
      <c r="J452" s="24" t="s">
        <v>910</v>
      </c>
      <c r="K452" s="24" t="s">
        <v>908</v>
      </c>
      <c r="M452" s="24" t="s">
        <v>907</v>
      </c>
      <c r="N452" s="24"/>
      <c r="P452" s="1" t="str">
        <f t="shared" si="12"/>
        <v>71201014</v>
      </c>
      <c r="Q452" s="263" t="str">
        <f t="shared" si="13"/>
        <v>FB - Menus &amp; Beverage List</v>
      </c>
    </row>
    <row r="453" spans="1:17" x14ac:dyDescent="0.25">
      <c r="A453" s="24" t="s">
        <v>317</v>
      </c>
      <c r="B453" s="24" t="s">
        <v>20</v>
      </c>
      <c r="C453" s="24" t="s">
        <v>33</v>
      </c>
      <c r="D453" s="24" t="s">
        <v>0</v>
      </c>
      <c r="E453" s="24" t="s">
        <v>337</v>
      </c>
      <c r="F453" s="5" t="s">
        <v>368</v>
      </c>
      <c r="G453" s="2" t="s">
        <v>174</v>
      </c>
      <c r="H453" s="2" t="s">
        <v>23</v>
      </c>
      <c r="I453" s="24" t="s">
        <v>908</v>
      </c>
      <c r="J453" s="24" t="s">
        <v>908</v>
      </c>
      <c r="K453" s="24" t="s">
        <v>908</v>
      </c>
      <c r="M453" s="24" t="s">
        <v>908</v>
      </c>
      <c r="N453" s="24"/>
      <c r="P453" s="1" t="str">
        <f t="shared" ref="P453:P516" si="14">CONCATENATE(A453,B453,C453,D453,E453)</f>
        <v>71201015</v>
      </c>
      <c r="Q453" s="263" t="str">
        <f t="shared" si="13"/>
        <v>FB - Kitchen Utensil</v>
      </c>
    </row>
    <row r="454" spans="1:17" x14ac:dyDescent="0.25">
      <c r="A454" s="24" t="s">
        <v>317</v>
      </c>
      <c r="B454" s="24" t="s">
        <v>20</v>
      </c>
      <c r="C454" s="24" t="s">
        <v>33</v>
      </c>
      <c r="D454" s="24" t="s">
        <v>0</v>
      </c>
      <c r="E454" s="24" t="s">
        <v>339</v>
      </c>
      <c r="F454" s="5" t="s">
        <v>369</v>
      </c>
      <c r="G454" s="2" t="s">
        <v>174</v>
      </c>
      <c r="H454" s="2" t="s">
        <v>23</v>
      </c>
      <c r="I454" s="24" t="s">
        <v>908</v>
      </c>
      <c r="J454" s="24" t="s">
        <v>908</v>
      </c>
      <c r="K454" s="24" t="s">
        <v>908</v>
      </c>
      <c r="M454" s="24" t="s">
        <v>908</v>
      </c>
      <c r="N454" s="24"/>
      <c r="P454" s="1" t="str">
        <f t="shared" si="14"/>
        <v>71201016</v>
      </c>
      <c r="Q454" s="263" t="str">
        <f t="shared" si="13"/>
        <v>FB - Kitchen Fuel</v>
      </c>
    </row>
    <row r="455" spans="1:17" x14ac:dyDescent="0.25">
      <c r="A455" s="24" t="s">
        <v>317</v>
      </c>
      <c r="B455" s="24" t="s">
        <v>20</v>
      </c>
      <c r="C455" s="24" t="s">
        <v>33</v>
      </c>
      <c r="D455" s="24" t="s">
        <v>0</v>
      </c>
      <c r="E455" s="24" t="s">
        <v>341</v>
      </c>
      <c r="F455" s="5" t="s">
        <v>370</v>
      </c>
      <c r="G455" s="2" t="s">
        <v>174</v>
      </c>
      <c r="H455" s="2" t="s">
        <v>23</v>
      </c>
      <c r="I455" s="24" t="s">
        <v>908</v>
      </c>
      <c r="J455" s="24" t="s">
        <v>908</v>
      </c>
      <c r="K455" s="24" t="s">
        <v>908</v>
      </c>
      <c r="M455" s="24" t="s">
        <v>908</v>
      </c>
      <c r="N455" s="24"/>
      <c r="P455" s="1" t="str">
        <f t="shared" si="14"/>
        <v>71201017</v>
      </c>
      <c r="Q455" s="263" t="str">
        <f t="shared" si="13"/>
        <v xml:space="preserve">FB - Bottle &amp; Container </v>
      </c>
    </row>
    <row r="456" spans="1:17" x14ac:dyDescent="0.25">
      <c r="A456" s="24" t="s">
        <v>317</v>
      </c>
      <c r="B456" s="24" t="s">
        <v>20</v>
      </c>
      <c r="C456" s="24" t="s">
        <v>33</v>
      </c>
      <c r="D456" s="24" t="s">
        <v>0</v>
      </c>
      <c r="E456" s="24" t="s">
        <v>343</v>
      </c>
      <c r="F456" s="5" t="s">
        <v>371</v>
      </c>
      <c r="G456" s="2" t="s">
        <v>174</v>
      </c>
      <c r="H456" s="2" t="s">
        <v>23</v>
      </c>
      <c r="I456" s="24" t="s">
        <v>908</v>
      </c>
      <c r="J456" s="24" t="s">
        <v>908</v>
      </c>
      <c r="K456" s="24" t="s">
        <v>908</v>
      </c>
      <c r="M456" s="24" t="s">
        <v>908</v>
      </c>
      <c r="N456" s="24"/>
      <c r="P456" s="1" t="str">
        <f t="shared" si="14"/>
        <v>71201018</v>
      </c>
      <c r="Q456" s="263" t="str">
        <f t="shared" si="13"/>
        <v xml:space="preserve">FB - Rental of Equipment </v>
      </c>
    </row>
    <row r="457" spans="1:17" x14ac:dyDescent="0.25">
      <c r="A457" s="24" t="s">
        <v>317</v>
      </c>
      <c r="B457" s="24" t="s">
        <v>20</v>
      </c>
      <c r="C457" s="24" t="s">
        <v>33</v>
      </c>
      <c r="D457" s="24" t="s">
        <v>0</v>
      </c>
      <c r="E457" s="24" t="s">
        <v>344</v>
      </c>
      <c r="F457" s="5" t="s">
        <v>372</v>
      </c>
      <c r="G457" s="2" t="s">
        <v>174</v>
      </c>
      <c r="H457" s="2" t="s">
        <v>23</v>
      </c>
      <c r="I457" s="24" t="s">
        <v>908</v>
      </c>
      <c r="J457" s="24" t="s">
        <v>908</v>
      </c>
      <c r="K457" s="24" t="s">
        <v>908</v>
      </c>
      <c r="M457" s="24" t="s">
        <v>908</v>
      </c>
      <c r="N457" s="24"/>
      <c r="P457" s="1" t="str">
        <f t="shared" si="14"/>
        <v>71201019</v>
      </c>
      <c r="Q457" s="263" t="str">
        <f t="shared" ref="Q457:Q520" si="15">F457</f>
        <v>FB - Licenses</v>
      </c>
    </row>
    <row r="458" spans="1:17" x14ac:dyDescent="0.25">
      <c r="A458" s="24" t="s">
        <v>317</v>
      </c>
      <c r="B458" s="24" t="s">
        <v>20</v>
      </c>
      <c r="C458" s="24" t="s">
        <v>33</v>
      </c>
      <c r="D458" s="24" t="s">
        <v>0</v>
      </c>
      <c r="E458" s="24" t="s">
        <v>346</v>
      </c>
      <c r="F458" s="5" t="s">
        <v>373</v>
      </c>
      <c r="G458" s="2" t="s">
        <v>174</v>
      </c>
      <c r="H458" s="2" t="s">
        <v>23</v>
      </c>
      <c r="I458" s="24" t="s">
        <v>908</v>
      </c>
      <c r="J458" s="24" t="s">
        <v>908</v>
      </c>
      <c r="K458" s="24" t="s">
        <v>908</v>
      </c>
      <c r="M458" s="24" t="s">
        <v>908</v>
      </c>
      <c r="N458" s="24"/>
      <c r="P458" s="1" t="str">
        <f t="shared" si="14"/>
        <v>71201020</v>
      </c>
      <c r="Q458" s="263" t="str">
        <f t="shared" si="15"/>
        <v>FB - Spoilage</v>
      </c>
    </row>
    <row r="459" spans="1:17" x14ac:dyDescent="0.25">
      <c r="A459" s="24" t="s">
        <v>317</v>
      </c>
      <c r="B459" s="24" t="s">
        <v>20</v>
      </c>
      <c r="C459" s="24" t="s">
        <v>33</v>
      </c>
      <c r="D459" s="24" t="s">
        <v>0</v>
      </c>
      <c r="E459" s="24" t="s">
        <v>348</v>
      </c>
      <c r="F459" s="26" t="s">
        <v>374</v>
      </c>
      <c r="G459" s="24" t="s">
        <v>174</v>
      </c>
      <c r="H459" s="2" t="s">
        <v>23</v>
      </c>
      <c r="I459" s="24" t="s">
        <v>908</v>
      </c>
      <c r="J459" s="24" t="s">
        <v>908</v>
      </c>
      <c r="K459" s="24" t="s">
        <v>908</v>
      </c>
      <c r="M459" s="24" t="s">
        <v>908</v>
      </c>
      <c r="N459" s="2"/>
      <c r="P459" s="1" t="str">
        <f t="shared" si="14"/>
        <v>71201021</v>
      </c>
      <c r="Q459" s="263" t="str">
        <f t="shared" si="15"/>
        <v>FB - Non Capitalized Asset</v>
      </c>
    </row>
    <row r="460" spans="1:17" x14ac:dyDescent="0.25">
      <c r="A460" s="24" t="s">
        <v>317</v>
      </c>
      <c r="B460" s="24" t="s">
        <v>20</v>
      </c>
      <c r="C460" s="24" t="s">
        <v>33</v>
      </c>
      <c r="D460" s="24" t="s">
        <v>0</v>
      </c>
      <c r="E460" s="24" t="s">
        <v>350</v>
      </c>
      <c r="F460" s="5" t="s">
        <v>859</v>
      </c>
      <c r="G460" s="2" t="s">
        <v>174</v>
      </c>
      <c r="H460" s="2" t="s">
        <v>23</v>
      </c>
      <c r="I460" s="24" t="s">
        <v>908</v>
      </c>
      <c r="J460" s="24" t="s">
        <v>908</v>
      </c>
      <c r="K460" s="24" t="s">
        <v>908</v>
      </c>
      <c r="M460" s="24" t="s">
        <v>908</v>
      </c>
      <c r="N460" s="24"/>
      <c r="P460" s="1" t="str">
        <f t="shared" si="14"/>
        <v>71201022</v>
      </c>
      <c r="Q460" s="263" t="str">
        <f t="shared" si="15"/>
        <v>FB - Traveling</v>
      </c>
    </row>
    <row r="461" spans="1:17" x14ac:dyDescent="0.25">
      <c r="A461" s="24" t="s">
        <v>317</v>
      </c>
      <c r="B461" s="24" t="s">
        <v>20</v>
      </c>
      <c r="C461" s="24" t="s">
        <v>33</v>
      </c>
      <c r="D461" s="24" t="s">
        <v>0</v>
      </c>
      <c r="E461" s="24" t="s">
        <v>414</v>
      </c>
      <c r="F461" s="5" t="s">
        <v>860</v>
      </c>
      <c r="G461" s="2" t="s">
        <v>174</v>
      </c>
      <c r="H461" s="2" t="s">
        <v>23</v>
      </c>
      <c r="I461" s="24" t="s">
        <v>908</v>
      </c>
      <c r="J461" s="24" t="s">
        <v>908</v>
      </c>
      <c r="K461" s="24" t="s">
        <v>908</v>
      </c>
      <c r="M461" s="24" t="s">
        <v>908</v>
      </c>
      <c r="N461" s="24"/>
      <c r="P461" s="1" t="str">
        <f t="shared" si="14"/>
        <v>71201023</v>
      </c>
      <c r="Q461" s="263" t="str">
        <f t="shared" si="15"/>
        <v>FB - Entertainment</v>
      </c>
    </row>
    <row r="462" spans="1:17" x14ac:dyDescent="0.25">
      <c r="A462" s="24" t="s">
        <v>317</v>
      </c>
      <c r="B462" s="24" t="s">
        <v>20</v>
      </c>
      <c r="C462" s="24" t="s">
        <v>33</v>
      </c>
      <c r="D462" s="24" t="s">
        <v>0</v>
      </c>
      <c r="E462" s="24" t="s">
        <v>43</v>
      </c>
      <c r="F462" s="5" t="s">
        <v>375</v>
      </c>
      <c r="G462" s="2" t="s">
        <v>174</v>
      </c>
      <c r="H462" s="2" t="s">
        <v>23</v>
      </c>
      <c r="I462" s="24" t="s">
        <v>908</v>
      </c>
      <c r="J462" s="24" t="s">
        <v>908</v>
      </c>
      <c r="K462" s="24" t="s">
        <v>908</v>
      </c>
      <c r="M462" s="24" t="s">
        <v>908</v>
      </c>
      <c r="N462" s="24"/>
      <c r="P462" s="1" t="str">
        <f t="shared" si="14"/>
        <v>71201999</v>
      </c>
      <c r="Q462" s="263" t="str">
        <f t="shared" si="15"/>
        <v>FB - Other Operating Expenses</v>
      </c>
    </row>
    <row r="463" spans="1:17" hidden="1" x14ac:dyDescent="0.25">
      <c r="A463" s="20" t="s">
        <v>317</v>
      </c>
      <c r="B463" s="20" t="s">
        <v>20</v>
      </c>
      <c r="C463" s="20" t="s">
        <v>33</v>
      </c>
      <c r="D463" s="20" t="s">
        <v>2</v>
      </c>
      <c r="E463" s="20"/>
      <c r="F463" s="22" t="s">
        <v>568</v>
      </c>
      <c r="G463" s="23" t="s">
        <v>174</v>
      </c>
      <c r="H463" s="23" t="s">
        <v>23</v>
      </c>
      <c r="I463" s="23" t="s">
        <v>907</v>
      </c>
      <c r="J463" s="23" t="s">
        <v>907</v>
      </c>
      <c r="K463" s="23" t="s">
        <v>907</v>
      </c>
      <c r="M463" s="23" t="s">
        <v>907</v>
      </c>
      <c r="N463" s="23"/>
      <c r="Q463" s="263"/>
    </row>
    <row r="464" spans="1:17" x14ac:dyDescent="0.25">
      <c r="A464" s="24" t="s">
        <v>317</v>
      </c>
      <c r="B464" s="24" t="s">
        <v>20</v>
      </c>
      <c r="C464" s="24" t="s">
        <v>33</v>
      </c>
      <c r="D464" s="24" t="s">
        <v>2</v>
      </c>
      <c r="E464" s="24" t="s">
        <v>1</v>
      </c>
      <c r="F464" s="5" t="s">
        <v>892</v>
      </c>
      <c r="G464" s="2" t="s">
        <v>174</v>
      </c>
      <c r="H464" s="2" t="s">
        <v>23</v>
      </c>
      <c r="I464" s="24" t="s">
        <v>908</v>
      </c>
      <c r="J464" s="24" t="s">
        <v>908</v>
      </c>
      <c r="K464" s="24" t="s">
        <v>908</v>
      </c>
      <c r="M464" s="24" t="s">
        <v>908</v>
      </c>
      <c r="N464" s="24"/>
      <c r="P464" s="1" t="str">
        <f t="shared" si="14"/>
        <v>71202001</v>
      </c>
      <c r="Q464" s="263" t="str">
        <f t="shared" si="15"/>
        <v>FB - Provision for Replacement China/Glass/Silverware</v>
      </c>
    </row>
    <row r="465" spans="1:17" x14ac:dyDescent="0.25">
      <c r="A465" s="24" t="s">
        <v>317</v>
      </c>
      <c r="B465" s="24" t="s">
        <v>20</v>
      </c>
      <c r="C465" s="24" t="s">
        <v>33</v>
      </c>
      <c r="D465" s="24" t="s">
        <v>2</v>
      </c>
      <c r="E465" s="24" t="s">
        <v>3</v>
      </c>
      <c r="F465" s="5" t="s">
        <v>893</v>
      </c>
      <c r="G465" s="2" t="s">
        <v>174</v>
      </c>
      <c r="H465" s="2" t="s">
        <v>23</v>
      </c>
      <c r="I465" s="24" t="s">
        <v>907</v>
      </c>
      <c r="J465" s="24" t="s">
        <v>910</v>
      </c>
      <c r="K465" s="24" t="s">
        <v>910</v>
      </c>
      <c r="M465" s="24" t="s">
        <v>907</v>
      </c>
      <c r="N465" s="24"/>
      <c r="P465" s="1" t="str">
        <f t="shared" si="14"/>
        <v>71202002</v>
      </c>
      <c r="Q465" s="263" t="str">
        <f t="shared" si="15"/>
        <v>FB - Provision for Replacement Linen and Towel</v>
      </c>
    </row>
    <row r="466" spans="1:17" x14ac:dyDescent="0.25">
      <c r="A466" s="24" t="s">
        <v>317</v>
      </c>
      <c r="B466" s="24" t="s">
        <v>20</v>
      </c>
      <c r="C466" s="24" t="s">
        <v>33</v>
      </c>
      <c r="D466" s="24" t="s">
        <v>2</v>
      </c>
      <c r="E466" s="24" t="s">
        <v>5</v>
      </c>
      <c r="F466" s="5" t="s">
        <v>594</v>
      </c>
      <c r="G466" s="2" t="s">
        <v>174</v>
      </c>
      <c r="H466" s="2" t="s">
        <v>23</v>
      </c>
      <c r="I466" s="24" t="s">
        <v>908</v>
      </c>
      <c r="J466" s="24" t="s">
        <v>908</v>
      </c>
      <c r="K466" s="24" t="s">
        <v>908</v>
      </c>
      <c r="M466" s="24" t="s">
        <v>908</v>
      </c>
      <c r="N466" s="24"/>
      <c r="P466" s="1" t="str">
        <f t="shared" si="14"/>
        <v>71202003</v>
      </c>
      <c r="Q466" s="263" t="str">
        <f t="shared" si="15"/>
        <v>FB - Provision for Replacement Uniform</v>
      </c>
    </row>
    <row r="467" spans="1:17" hidden="1" x14ac:dyDescent="0.25">
      <c r="A467" s="16" t="s">
        <v>317</v>
      </c>
      <c r="B467" s="16" t="s">
        <v>20</v>
      </c>
      <c r="C467" s="16" t="s">
        <v>44</v>
      </c>
      <c r="D467" s="16"/>
      <c r="E467" s="16"/>
      <c r="F467" s="18" t="s">
        <v>376</v>
      </c>
      <c r="G467" s="19" t="s">
        <v>174</v>
      </c>
      <c r="H467" s="19" t="s">
        <v>23</v>
      </c>
      <c r="I467" s="19" t="s">
        <v>907</v>
      </c>
      <c r="J467" s="19" t="s">
        <v>907</v>
      </c>
      <c r="K467" s="19" t="s">
        <v>907</v>
      </c>
      <c r="M467" s="19" t="s">
        <v>907</v>
      </c>
      <c r="N467" s="19"/>
      <c r="Q467" s="263"/>
    </row>
    <row r="468" spans="1:17" hidden="1" x14ac:dyDescent="0.25">
      <c r="A468" s="20" t="s">
        <v>317</v>
      </c>
      <c r="B468" s="20" t="s">
        <v>20</v>
      </c>
      <c r="C468" s="20" t="s">
        <v>44</v>
      </c>
      <c r="D468" s="20" t="s">
        <v>0</v>
      </c>
      <c r="E468" s="20"/>
      <c r="F468" s="22" t="s">
        <v>569</v>
      </c>
      <c r="G468" s="23" t="s">
        <v>174</v>
      </c>
      <c r="H468" s="23" t="s">
        <v>23</v>
      </c>
      <c r="I468" s="23" t="s">
        <v>907</v>
      </c>
      <c r="J468" s="23" t="s">
        <v>907</v>
      </c>
      <c r="K468" s="23" t="s">
        <v>907</v>
      </c>
      <c r="M468" s="23" t="s">
        <v>907</v>
      </c>
      <c r="N468" s="23"/>
      <c r="Q468" s="263"/>
    </row>
    <row r="469" spans="1:17" x14ac:dyDescent="0.25">
      <c r="A469" s="24" t="s">
        <v>317</v>
      </c>
      <c r="B469" s="24" t="s">
        <v>20</v>
      </c>
      <c r="C469" s="24" t="s">
        <v>44</v>
      </c>
      <c r="D469" s="24" t="s">
        <v>0</v>
      </c>
      <c r="E469" s="24" t="s">
        <v>1</v>
      </c>
      <c r="F469" s="5" t="s">
        <v>377</v>
      </c>
      <c r="G469" s="2" t="s">
        <v>174</v>
      </c>
      <c r="H469" s="2" t="s">
        <v>23</v>
      </c>
      <c r="I469" s="24" t="s">
        <v>908</v>
      </c>
      <c r="J469" s="24" t="s">
        <v>908</v>
      </c>
      <c r="K469" s="24" t="s">
        <v>908</v>
      </c>
      <c r="M469" s="24" t="s">
        <v>908</v>
      </c>
      <c r="N469" s="24"/>
      <c r="P469" s="1" t="str">
        <f t="shared" si="14"/>
        <v>71301001</v>
      </c>
      <c r="Q469" s="263" t="str">
        <f t="shared" si="15"/>
        <v>OT - Cleaning Supplies</v>
      </c>
    </row>
    <row r="470" spans="1:17" x14ac:dyDescent="0.25">
      <c r="A470" s="24" t="s">
        <v>317</v>
      </c>
      <c r="B470" s="24" t="s">
        <v>20</v>
      </c>
      <c r="C470" s="24" t="s">
        <v>44</v>
      </c>
      <c r="D470" s="24" t="s">
        <v>0</v>
      </c>
      <c r="E470" s="24" t="s">
        <v>3</v>
      </c>
      <c r="F470" s="5" t="s">
        <v>378</v>
      </c>
      <c r="G470" s="2" t="s">
        <v>174</v>
      </c>
      <c r="H470" s="2" t="s">
        <v>23</v>
      </c>
      <c r="I470" s="24" t="s">
        <v>908</v>
      </c>
      <c r="J470" s="24" t="s">
        <v>908</v>
      </c>
      <c r="K470" s="24" t="s">
        <v>908</v>
      </c>
      <c r="M470" s="24" t="s">
        <v>908</v>
      </c>
      <c r="N470" s="24"/>
      <c r="P470" s="1" t="str">
        <f t="shared" si="14"/>
        <v>71301002</v>
      </c>
      <c r="Q470" s="263" t="str">
        <f t="shared" si="15"/>
        <v>OT - Contract Services</v>
      </c>
    </row>
    <row r="471" spans="1:17" x14ac:dyDescent="0.25">
      <c r="A471" s="24" t="s">
        <v>317</v>
      </c>
      <c r="B471" s="24" t="s">
        <v>20</v>
      </c>
      <c r="C471" s="24" t="s">
        <v>44</v>
      </c>
      <c r="D471" s="24" t="s">
        <v>0</v>
      </c>
      <c r="E471" s="24" t="s">
        <v>5</v>
      </c>
      <c r="F471" s="5" t="s">
        <v>379</v>
      </c>
      <c r="G471" s="2" t="s">
        <v>174</v>
      </c>
      <c r="H471" s="2" t="s">
        <v>23</v>
      </c>
      <c r="I471" s="24" t="s">
        <v>908</v>
      </c>
      <c r="J471" s="24" t="s">
        <v>908</v>
      </c>
      <c r="K471" s="24" t="s">
        <v>908</v>
      </c>
      <c r="M471" s="24" t="s">
        <v>908</v>
      </c>
      <c r="N471" s="24"/>
      <c r="P471" s="1" t="str">
        <f t="shared" si="14"/>
        <v>71301003</v>
      </c>
      <c r="Q471" s="263" t="str">
        <f t="shared" si="15"/>
        <v>OT - Decoration &amp; Flowers</v>
      </c>
    </row>
    <row r="472" spans="1:17" x14ac:dyDescent="0.25">
      <c r="A472" s="24" t="s">
        <v>317</v>
      </c>
      <c r="B472" s="24" t="s">
        <v>20</v>
      </c>
      <c r="C472" s="24" t="s">
        <v>44</v>
      </c>
      <c r="D472" s="24" t="s">
        <v>0</v>
      </c>
      <c r="E472" s="24" t="s">
        <v>7</v>
      </c>
      <c r="F472" s="5" t="s">
        <v>380</v>
      </c>
      <c r="G472" s="2" t="s">
        <v>174</v>
      </c>
      <c r="H472" s="2" t="s">
        <v>23</v>
      </c>
      <c r="I472" s="24" t="s">
        <v>908</v>
      </c>
      <c r="J472" s="24" t="s">
        <v>908</v>
      </c>
      <c r="K472" s="24" t="s">
        <v>908</v>
      </c>
      <c r="M472" s="24" t="s">
        <v>908</v>
      </c>
      <c r="N472" s="24"/>
      <c r="P472" s="1" t="str">
        <f t="shared" si="14"/>
        <v>71301004</v>
      </c>
      <c r="Q472" s="263" t="str">
        <f t="shared" si="15"/>
        <v>OT - Guest Complimentary</v>
      </c>
    </row>
    <row r="473" spans="1:17" x14ac:dyDescent="0.25">
      <c r="A473" s="24" t="s">
        <v>317</v>
      </c>
      <c r="B473" s="24" t="s">
        <v>20</v>
      </c>
      <c r="C473" s="24" t="s">
        <v>44</v>
      </c>
      <c r="D473" s="24" t="s">
        <v>0</v>
      </c>
      <c r="E473" s="24" t="s">
        <v>9</v>
      </c>
      <c r="F473" s="5" t="s">
        <v>381</v>
      </c>
      <c r="G473" s="2" t="s">
        <v>174</v>
      </c>
      <c r="H473" s="2" t="s">
        <v>23</v>
      </c>
      <c r="I473" s="24" t="s">
        <v>908</v>
      </c>
      <c r="J473" s="24" t="s">
        <v>908</v>
      </c>
      <c r="K473" s="24" t="s">
        <v>908</v>
      </c>
      <c r="M473" s="24" t="s">
        <v>908</v>
      </c>
      <c r="N473" s="24"/>
      <c r="P473" s="1" t="str">
        <f t="shared" si="14"/>
        <v>71301005</v>
      </c>
      <c r="Q473" s="263" t="str">
        <f t="shared" si="15"/>
        <v>OT - Guest Supplies</v>
      </c>
    </row>
    <row r="474" spans="1:17" x14ac:dyDescent="0.25">
      <c r="A474" s="24" t="s">
        <v>317</v>
      </c>
      <c r="B474" s="24" t="s">
        <v>20</v>
      </c>
      <c r="C474" s="24" t="s">
        <v>44</v>
      </c>
      <c r="D474" s="24" t="s">
        <v>0</v>
      </c>
      <c r="E474" s="24" t="s">
        <v>10</v>
      </c>
      <c r="F474" s="5" t="s">
        <v>382</v>
      </c>
      <c r="G474" s="2" t="s">
        <v>174</v>
      </c>
      <c r="H474" s="2" t="s">
        <v>23</v>
      </c>
      <c r="I474" s="24" t="s">
        <v>908</v>
      </c>
      <c r="J474" s="24" t="s">
        <v>908</v>
      </c>
      <c r="K474" s="24" t="s">
        <v>908</v>
      </c>
      <c r="M474" s="24" t="s">
        <v>908</v>
      </c>
      <c r="N474" s="24"/>
      <c r="P474" s="1" t="str">
        <f t="shared" si="14"/>
        <v>71301006</v>
      </c>
      <c r="Q474" s="263" t="str">
        <f t="shared" si="15"/>
        <v>OT - IT Maintenance</v>
      </c>
    </row>
    <row r="475" spans="1:17" x14ac:dyDescent="0.25">
      <c r="A475" s="24" t="s">
        <v>317</v>
      </c>
      <c r="B475" s="24" t="s">
        <v>20</v>
      </c>
      <c r="C475" s="24" t="s">
        <v>44</v>
      </c>
      <c r="D475" s="24" t="s">
        <v>0</v>
      </c>
      <c r="E475" s="24" t="s">
        <v>11</v>
      </c>
      <c r="F475" s="5" t="s">
        <v>383</v>
      </c>
      <c r="G475" s="2" t="s">
        <v>174</v>
      </c>
      <c r="H475" s="2" t="s">
        <v>23</v>
      </c>
      <c r="I475" s="24" t="s">
        <v>908</v>
      </c>
      <c r="J475" s="24" t="s">
        <v>908</v>
      </c>
      <c r="K475" s="24" t="s">
        <v>908</v>
      </c>
      <c r="M475" s="24" t="s">
        <v>908</v>
      </c>
      <c r="N475" s="24"/>
      <c r="P475" s="1" t="str">
        <f t="shared" si="14"/>
        <v>71301007</v>
      </c>
      <c r="Q475" s="263" t="str">
        <f t="shared" si="15"/>
        <v>OT - Laundry &amp; Dry Cleaning</v>
      </c>
    </row>
    <row r="476" spans="1:17" x14ac:dyDescent="0.25">
      <c r="A476" s="24" t="s">
        <v>317</v>
      </c>
      <c r="B476" s="24" t="s">
        <v>20</v>
      </c>
      <c r="C476" s="24" t="s">
        <v>44</v>
      </c>
      <c r="D476" s="24" t="s">
        <v>0</v>
      </c>
      <c r="E476" s="24" t="s">
        <v>13</v>
      </c>
      <c r="F476" s="5" t="s">
        <v>384</v>
      </c>
      <c r="G476" s="2" t="s">
        <v>174</v>
      </c>
      <c r="H476" s="2" t="s">
        <v>23</v>
      </c>
      <c r="I476" s="24" t="s">
        <v>908</v>
      </c>
      <c r="J476" s="24" t="s">
        <v>908</v>
      </c>
      <c r="K476" s="24" t="s">
        <v>908</v>
      </c>
      <c r="M476" s="24" t="s">
        <v>908</v>
      </c>
      <c r="N476" s="24"/>
      <c r="P476" s="1" t="str">
        <f t="shared" si="14"/>
        <v>71301008</v>
      </c>
      <c r="Q476" s="263" t="str">
        <f t="shared" si="15"/>
        <v>OT - Music, TV Cable &amp; Entertainment</v>
      </c>
    </row>
    <row r="477" spans="1:17" x14ac:dyDescent="0.25">
      <c r="A477" s="24" t="s">
        <v>317</v>
      </c>
      <c r="B477" s="24" t="s">
        <v>20</v>
      </c>
      <c r="C477" s="24" t="s">
        <v>44</v>
      </c>
      <c r="D477" s="24" t="s">
        <v>0</v>
      </c>
      <c r="E477" s="24" t="s">
        <v>15</v>
      </c>
      <c r="F477" s="5" t="s">
        <v>385</v>
      </c>
      <c r="G477" s="2" t="s">
        <v>174</v>
      </c>
      <c r="H477" s="2" t="s">
        <v>23</v>
      </c>
      <c r="I477" s="24" t="s">
        <v>908</v>
      </c>
      <c r="J477" s="24" t="s">
        <v>908</v>
      </c>
      <c r="K477" s="24" t="s">
        <v>908</v>
      </c>
      <c r="M477" s="24" t="s">
        <v>908</v>
      </c>
      <c r="N477" s="24"/>
      <c r="P477" s="1" t="str">
        <f t="shared" si="14"/>
        <v>71301009</v>
      </c>
      <c r="Q477" s="263" t="str">
        <f t="shared" si="15"/>
        <v>OT - Newspaper &amp; Magazine</v>
      </c>
    </row>
    <row r="478" spans="1:17" x14ac:dyDescent="0.25">
      <c r="A478" s="24" t="s">
        <v>317</v>
      </c>
      <c r="B478" s="24" t="s">
        <v>20</v>
      </c>
      <c r="C478" s="24" t="s">
        <v>44</v>
      </c>
      <c r="D478" s="24" t="s">
        <v>0</v>
      </c>
      <c r="E478" s="24" t="s">
        <v>238</v>
      </c>
      <c r="F478" s="5" t="s">
        <v>386</v>
      </c>
      <c r="G478" s="2" t="s">
        <v>174</v>
      </c>
      <c r="H478" s="2" t="s">
        <v>23</v>
      </c>
      <c r="I478" s="24" t="s">
        <v>908</v>
      </c>
      <c r="J478" s="24" t="s">
        <v>908</v>
      </c>
      <c r="K478" s="24" t="s">
        <v>908</v>
      </c>
      <c r="M478" s="24" t="s">
        <v>908</v>
      </c>
      <c r="N478" s="24"/>
      <c r="P478" s="1" t="str">
        <f t="shared" si="14"/>
        <v>71301010</v>
      </c>
      <c r="Q478" s="263" t="str">
        <f t="shared" si="15"/>
        <v>OT - Printing &amp; Stationary</v>
      </c>
    </row>
    <row r="479" spans="1:17" x14ac:dyDescent="0.25">
      <c r="A479" s="24" t="s">
        <v>317</v>
      </c>
      <c r="B479" s="24" t="s">
        <v>20</v>
      </c>
      <c r="C479" s="24" t="s">
        <v>44</v>
      </c>
      <c r="D479" s="24" t="s">
        <v>0</v>
      </c>
      <c r="E479" s="24" t="s">
        <v>240</v>
      </c>
      <c r="F479" s="5" t="s">
        <v>387</v>
      </c>
      <c r="G479" s="2" t="s">
        <v>174</v>
      </c>
      <c r="H479" s="2" t="s">
        <v>23</v>
      </c>
      <c r="I479" s="24" t="s">
        <v>908</v>
      </c>
      <c r="J479" s="24" t="s">
        <v>908</v>
      </c>
      <c r="K479" s="24" t="s">
        <v>908</v>
      </c>
      <c r="M479" s="24" t="s">
        <v>908</v>
      </c>
      <c r="N479" s="24"/>
      <c r="P479" s="1" t="str">
        <f t="shared" si="14"/>
        <v>71301011</v>
      </c>
      <c r="Q479" s="263" t="str">
        <f t="shared" si="15"/>
        <v>OT - Telephone &amp; Fax</v>
      </c>
    </row>
    <row r="480" spans="1:17" x14ac:dyDescent="0.25">
      <c r="A480" s="24" t="s">
        <v>317</v>
      </c>
      <c r="B480" s="24" t="s">
        <v>20</v>
      </c>
      <c r="C480" s="24" t="s">
        <v>44</v>
      </c>
      <c r="D480" s="24" t="s">
        <v>0</v>
      </c>
      <c r="E480" s="24" t="s">
        <v>331</v>
      </c>
      <c r="F480" s="5" t="s">
        <v>388</v>
      </c>
      <c r="G480" s="2" t="s">
        <v>174</v>
      </c>
      <c r="H480" s="2" t="s">
        <v>23</v>
      </c>
      <c r="I480" s="24" t="s">
        <v>908</v>
      </c>
      <c r="J480" s="24" t="s">
        <v>908</v>
      </c>
      <c r="K480" s="24" t="s">
        <v>908</v>
      </c>
      <c r="M480" s="24" t="s">
        <v>908</v>
      </c>
      <c r="N480" s="24"/>
      <c r="P480" s="1" t="str">
        <f t="shared" si="14"/>
        <v>71301012</v>
      </c>
      <c r="Q480" s="263" t="str">
        <f t="shared" si="15"/>
        <v>OT - Training</v>
      </c>
    </row>
    <row r="481" spans="1:17" x14ac:dyDescent="0.25">
      <c r="A481" s="24" t="s">
        <v>317</v>
      </c>
      <c r="B481" s="24" t="s">
        <v>20</v>
      </c>
      <c r="C481" s="24" t="s">
        <v>44</v>
      </c>
      <c r="D481" s="24" t="s">
        <v>0</v>
      </c>
      <c r="E481" s="24" t="s">
        <v>333</v>
      </c>
      <c r="F481" s="5" t="s">
        <v>389</v>
      </c>
      <c r="G481" s="2" t="s">
        <v>174</v>
      </c>
      <c r="H481" s="2" t="s">
        <v>23</v>
      </c>
      <c r="I481" s="24" t="s">
        <v>908</v>
      </c>
      <c r="J481" s="24" t="s">
        <v>908</v>
      </c>
      <c r="K481" s="24" t="s">
        <v>908</v>
      </c>
      <c r="M481" s="24" t="s">
        <v>908</v>
      </c>
      <c r="N481" s="24"/>
      <c r="P481" s="1" t="str">
        <f t="shared" si="14"/>
        <v>71301013</v>
      </c>
      <c r="Q481" s="263" t="str">
        <f t="shared" si="15"/>
        <v xml:space="preserve">OT - Uniform Laundry </v>
      </c>
    </row>
    <row r="482" spans="1:17" x14ac:dyDescent="0.25">
      <c r="A482" s="24" t="s">
        <v>317</v>
      </c>
      <c r="B482" s="24" t="s">
        <v>20</v>
      </c>
      <c r="C482" s="24" t="s">
        <v>44</v>
      </c>
      <c r="D482" s="24" t="s">
        <v>0</v>
      </c>
      <c r="E482" s="24" t="s">
        <v>335</v>
      </c>
      <c r="F482" s="5" t="s">
        <v>390</v>
      </c>
      <c r="G482" s="2" t="s">
        <v>174</v>
      </c>
      <c r="H482" s="2" t="s">
        <v>23</v>
      </c>
      <c r="I482" s="24" t="s">
        <v>908</v>
      </c>
      <c r="J482" s="24" t="s">
        <v>908</v>
      </c>
      <c r="K482" s="24" t="s">
        <v>908</v>
      </c>
      <c r="M482" s="24" t="s">
        <v>908</v>
      </c>
      <c r="N482" s="24"/>
      <c r="P482" s="1" t="str">
        <f t="shared" si="14"/>
        <v>71301014</v>
      </c>
      <c r="Q482" s="263" t="str">
        <f t="shared" si="15"/>
        <v xml:space="preserve">OT - Rental of Equipment </v>
      </c>
    </row>
    <row r="483" spans="1:17" x14ac:dyDescent="0.25">
      <c r="A483" s="24" t="s">
        <v>317</v>
      </c>
      <c r="B483" s="24" t="s">
        <v>20</v>
      </c>
      <c r="C483" s="24" t="s">
        <v>44</v>
      </c>
      <c r="D483" s="24" t="s">
        <v>0</v>
      </c>
      <c r="E483" s="24" t="s">
        <v>337</v>
      </c>
      <c r="F483" s="5" t="s">
        <v>391</v>
      </c>
      <c r="G483" s="2" t="s">
        <v>174</v>
      </c>
      <c r="H483" s="2" t="s">
        <v>23</v>
      </c>
      <c r="I483" s="24" t="s">
        <v>908</v>
      </c>
      <c r="J483" s="24" t="s">
        <v>908</v>
      </c>
      <c r="K483" s="24" t="s">
        <v>908</v>
      </c>
      <c r="M483" s="24" t="s">
        <v>908</v>
      </c>
      <c r="N483" s="24"/>
      <c r="P483" s="1" t="str">
        <f t="shared" si="14"/>
        <v>71301015</v>
      </c>
      <c r="Q483" s="263" t="str">
        <f t="shared" si="15"/>
        <v>OT - Licenses</v>
      </c>
    </row>
    <row r="484" spans="1:17" x14ac:dyDescent="0.25">
      <c r="A484" s="24" t="s">
        <v>317</v>
      </c>
      <c r="B484" s="24" t="s">
        <v>20</v>
      </c>
      <c r="C484" s="24" t="s">
        <v>44</v>
      </c>
      <c r="D484" s="24" t="s">
        <v>0</v>
      </c>
      <c r="E484" s="24" t="s">
        <v>339</v>
      </c>
      <c r="F484" s="5" t="s">
        <v>598</v>
      </c>
      <c r="G484" s="24" t="s">
        <v>174</v>
      </c>
      <c r="H484" s="2" t="s">
        <v>23</v>
      </c>
      <c r="I484" s="24" t="s">
        <v>908</v>
      </c>
      <c r="J484" s="24" t="s">
        <v>908</v>
      </c>
      <c r="K484" s="24" t="s">
        <v>908</v>
      </c>
      <c r="M484" s="24" t="s">
        <v>908</v>
      </c>
      <c r="N484" s="24"/>
      <c r="P484" s="1" t="str">
        <f t="shared" si="14"/>
        <v>71301016</v>
      </c>
      <c r="Q484" s="263" t="str">
        <f t="shared" si="15"/>
        <v>OT - Non Capitalized Asset</v>
      </c>
    </row>
    <row r="485" spans="1:17" x14ac:dyDescent="0.25">
      <c r="A485" s="24" t="s">
        <v>317</v>
      </c>
      <c r="B485" s="24" t="s">
        <v>20</v>
      </c>
      <c r="C485" s="24" t="s">
        <v>44</v>
      </c>
      <c r="D485" s="24" t="s">
        <v>0</v>
      </c>
      <c r="E485" s="24" t="s">
        <v>341</v>
      </c>
      <c r="F485" s="5" t="s">
        <v>861</v>
      </c>
      <c r="G485" s="2" t="s">
        <v>174</v>
      </c>
      <c r="H485" s="2" t="s">
        <v>23</v>
      </c>
      <c r="I485" s="24" t="s">
        <v>908</v>
      </c>
      <c r="J485" s="24" t="s">
        <v>908</v>
      </c>
      <c r="K485" s="24" t="s">
        <v>908</v>
      </c>
      <c r="M485" s="24" t="s">
        <v>908</v>
      </c>
      <c r="N485" s="24"/>
      <c r="P485" s="1" t="str">
        <f t="shared" si="14"/>
        <v>71301017</v>
      </c>
      <c r="Q485" s="263" t="str">
        <f t="shared" si="15"/>
        <v>OT - Traveling</v>
      </c>
    </row>
    <row r="486" spans="1:17" x14ac:dyDescent="0.25">
      <c r="A486" s="24" t="s">
        <v>317</v>
      </c>
      <c r="B486" s="24" t="s">
        <v>20</v>
      </c>
      <c r="C486" s="24" t="s">
        <v>44</v>
      </c>
      <c r="D486" s="24" t="s">
        <v>0</v>
      </c>
      <c r="E486" s="24" t="s">
        <v>343</v>
      </c>
      <c r="F486" s="5" t="s">
        <v>862</v>
      </c>
      <c r="G486" s="2" t="s">
        <v>174</v>
      </c>
      <c r="H486" s="2" t="s">
        <v>23</v>
      </c>
      <c r="I486" s="24" t="s">
        <v>908</v>
      </c>
      <c r="J486" s="24" t="s">
        <v>908</v>
      </c>
      <c r="K486" s="24" t="s">
        <v>908</v>
      </c>
      <c r="M486" s="24" t="s">
        <v>908</v>
      </c>
      <c r="N486" s="24"/>
      <c r="P486" s="1" t="str">
        <f t="shared" si="14"/>
        <v>71301018</v>
      </c>
      <c r="Q486" s="263" t="str">
        <f t="shared" si="15"/>
        <v>OT - Entertainment</v>
      </c>
    </row>
    <row r="487" spans="1:17" x14ac:dyDescent="0.25">
      <c r="A487" s="24" t="s">
        <v>317</v>
      </c>
      <c r="B487" s="24" t="s">
        <v>20</v>
      </c>
      <c r="C487" s="24" t="s">
        <v>44</v>
      </c>
      <c r="D487" s="24" t="s">
        <v>0</v>
      </c>
      <c r="E487" s="24" t="s">
        <v>344</v>
      </c>
      <c r="F487" s="5" t="s">
        <v>863</v>
      </c>
      <c r="G487" s="2" t="s">
        <v>174</v>
      </c>
      <c r="H487" s="2" t="s">
        <v>23</v>
      </c>
      <c r="I487" s="24" t="s">
        <v>907</v>
      </c>
      <c r="J487" s="24" t="s">
        <v>910</v>
      </c>
      <c r="K487" s="24" t="s">
        <v>910</v>
      </c>
      <c r="M487" s="24" t="s">
        <v>907</v>
      </c>
      <c r="N487" s="24"/>
      <c r="P487" s="1" t="str">
        <f t="shared" si="14"/>
        <v>71301019</v>
      </c>
      <c r="Q487" s="263" t="str">
        <f t="shared" si="15"/>
        <v>OT - Spa Supplies</v>
      </c>
    </row>
    <row r="488" spans="1:17" x14ac:dyDescent="0.25">
      <c r="A488" s="24" t="s">
        <v>317</v>
      </c>
      <c r="B488" s="24" t="s">
        <v>20</v>
      </c>
      <c r="C488" s="24" t="s">
        <v>44</v>
      </c>
      <c r="D488" s="24" t="s">
        <v>0</v>
      </c>
      <c r="E488" s="24" t="s">
        <v>43</v>
      </c>
      <c r="F488" s="5" t="s">
        <v>392</v>
      </c>
      <c r="G488" s="2" t="s">
        <v>174</v>
      </c>
      <c r="H488" s="2" t="s">
        <v>23</v>
      </c>
      <c r="I488" s="24" t="s">
        <v>908</v>
      </c>
      <c r="J488" s="24" t="s">
        <v>908</v>
      </c>
      <c r="K488" s="24" t="s">
        <v>908</v>
      </c>
      <c r="M488" s="24" t="s">
        <v>908</v>
      </c>
      <c r="N488" s="2"/>
      <c r="P488" s="1" t="str">
        <f t="shared" si="14"/>
        <v>71301999</v>
      </c>
      <c r="Q488" s="263" t="str">
        <f t="shared" si="15"/>
        <v>OT - Other Operating Expenses</v>
      </c>
    </row>
    <row r="489" spans="1:17" hidden="1" x14ac:dyDescent="0.25">
      <c r="A489" s="20" t="s">
        <v>317</v>
      </c>
      <c r="B489" s="20" t="s">
        <v>20</v>
      </c>
      <c r="C489" s="20" t="s">
        <v>44</v>
      </c>
      <c r="D489" s="20" t="s">
        <v>2</v>
      </c>
      <c r="E489" s="20"/>
      <c r="F489" s="22" t="s">
        <v>864</v>
      </c>
      <c r="G489" s="23" t="s">
        <v>174</v>
      </c>
      <c r="H489" s="23" t="s">
        <v>23</v>
      </c>
      <c r="I489" s="23" t="s">
        <v>907</v>
      </c>
      <c r="J489" s="23" t="s">
        <v>907</v>
      </c>
      <c r="K489" s="23" t="s">
        <v>907</v>
      </c>
      <c r="M489" s="23" t="s">
        <v>907</v>
      </c>
      <c r="N489" s="23"/>
      <c r="Q489" s="263"/>
    </row>
    <row r="490" spans="1:17" x14ac:dyDescent="0.25">
      <c r="A490" s="24" t="s">
        <v>317</v>
      </c>
      <c r="B490" s="24" t="s">
        <v>20</v>
      </c>
      <c r="C490" s="24" t="s">
        <v>44</v>
      </c>
      <c r="D490" s="24" t="s">
        <v>2</v>
      </c>
      <c r="E490" s="24" t="s">
        <v>1</v>
      </c>
      <c r="F490" s="5" t="s">
        <v>894</v>
      </c>
      <c r="G490" s="2" t="s">
        <v>174</v>
      </c>
      <c r="H490" s="2" t="s">
        <v>23</v>
      </c>
      <c r="I490" s="24" t="s">
        <v>908</v>
      </c>
      <c r="J490" s="24" t="s">
        <v>908</v>
      </c>
      <c r="K490" s="24" t="s">
        <v>908</v>
      </c>
      <c r="M490" s="24" t="s">
        <v>908</v>
      </c>
      <c r="N490" s="24"/>
      <c r="P490" s="1" t="str">
        <f t="shared" si="14"/>
        <v>71302001</v>
      </c>
      <c r="Q490" s="263" t="str">
        <f t="shared" si="15"/>
        <v>OT - Provision for Replacement China/Glass/Silverware</v>
      </c>
    </row>
    <row r="491" spans="1:17" x14ac:dyDescent="0.25">
      <c r="A491" s="24" t="s">
        <v>317</v>
      </c>
      <c r="B491" s="24" t="s">
        <v>20</v>
      </c>
      <c r="C491" s="24" t="s">
        <v>44</v>
      </c>
      <c r="D491" s="24" t="s">
        <v>2</v>
      </c>
      <c r="E491" s="24" t="s">
        <v>3</v>
      </c>
      <c r="F491" s="5" t="s">
        <v>895</v>
      </c>
      <c r="G491" s="2" t="s">
        <v>174</v>
      </c>
      <c r="H491" s="2" t="s">
        <v>23</v>
      </c>
      <c r="I491" s="24" t="s">
        <v>907</v>
      </c>
      <c r="J491" s="24" t="s">
        <v>910</v>
      </c>
      <c r="K491" s="24" t="s">
        <v>910</v>
      </c>
      <c r="M491" s="24" t="s">
        <v>907</v>
      </c>
      <c r="N491" s="24"/>
      <c r="P491" s="1" t="str">
        <f t="shared" si="14"/>
        <v>71302002</v>
      </c>
      <c r="Q491" s="263" t="str">
        <f t="shared" si="15"/>
        <v>OT - Provision for Replacement Linen and Towel</v>
      </c>
    </row>
    <row r="492" spans="1:17" x14ac:dyDescent="0.25">
      <c r="A492" s="24" t="s">
        <v>317</v>
      </c>
      <c r="B492" s="24" t="s">
        <v>20</v>
      </c>
      <c r="C492" s="24" t="s">
        <v>44</v>
      </c>
      <c r="D492" s="24" t="s">
        <v>2</v>
      </c>
      <c r="E492" s="24" t="s">
        <v>5</v>
      </c>
      <c r="F492" s="5" t="s">
        <v>571</v>
      </c>
      <c r="G492" s="2" t="s">
        <v>174</v>
      </c>
      <c r="H492" s="2" t="s">
        <v>23</v>
      </c>
      <c r="I492" s="24" t="s">
        <v>908</v>
      </c>
      <c r="J492" s="24" t="s">
        <v>908</v>
      </c>
      <c r="K492" s="24" t="s">
        <v>908</v>
      </c>
      <c r="M492" s="24" t="s">
        <v>908</v>
      </c>
      <c r="N492" s="24"/>
      <c r="P492" s="1" t="str">
        <f t="shared" si="14"/>
        <v>71302003</v>
      </c>
      <c r="Q492" s="263" t="str">
        <f t="shared" si="15"/>
        <v>OT - Provision for Replacement Uniform</v>
      </c>
    </row>
    <row r="493" spans="1:17" hidden="1" x14ac:dyDescent="0.25">
      <c r="A493" s="16" t="s">
        <v>317</v>
      </c>
      <c r="B493" s="16" t="s">
        <v>20</v>
      </c>
      <c r="C493" s="16" t="s">
        <v>54</v>
      </c>
      <c r="D493" s="16"/>
      <c r="E493" s="16"/>
      <c r="F493" s="18" t="s">
        <v>639</v>
      </c>
      <c r="G493" s="19" t="s">
        <v>174</v>
      </c>
      <c r="H493" s="19" t="s">
        <v>23</v>
      </c>
      <c r="I493" s="19" t="s">
        <v>907</v>
      </c>
      <c r="J493" s="19" t="s">
        <v>907</v>
      </c>
      <c r="K493" s="19" t="s">
        <v>907</v>
      </c>
      <c r="M493" s="19" t="s">
        <v>907</v>
      </c>
      <c r="N493" s="19"/>
      <c r="Q493" s="263"/>
    </row>
    <row r="494" spans="1:17" hidden="1" x14ac:dyDescent="0.25">
      <c r="A494" s="20" t="s">
        <v>317</v>
      </c>
      <c r="B494" s="20" t="s">
        <v>20</v>
      </c>
      <c r="C494" s="20" t="s">
        <v>54</v>
      </c>
      <c r="D494" s="21" t="s">
        <v>0</v>
      </c>
      <c r="E494" s="20"/>
      <c r="F494" s="22" t="s">
        <v>640</v>
      </c>
      <c r="G494" s="23" t="s">
        <v>174</v>
      </c>
      <c r="H494" s="23" t="s">
        <v>23</v>
      </c>
      <c r="I494" s="23" t="s">
        <v>907</v>
      </c>
      <c r="J494" s="23" t="s">
        <v>907</v>
      </c>
      <c r="K494" s="23" t="s">
        <v>907</v>
      </c>
      <c r="M494" s="23" t="s">
        <v>907</v>
      </c>
      <c r="N494" s="23"/>
      <c r="Q494" s="263"/>
    </row>
    <row r="495" spans="1:17" x14ac:dyDescent="0.25">
      <c r="A495" s="24" t="s">
        <v>317</v>
      </c>
      <c r="B495" s="24" t="s">
        <v>20</v>
      </c>
      <c r="C495" s="24" t="s">
        <v>54</v>
      </c>
      <c r="D495" s="24" t="s">
        <v>0</v>
      </c>
      <c r="E495" s="24" t="s">
        <v>1</v>
      </c>
      <c r="F495" s="5" t="s">
        <v>393</v>
      </c>
      <c r="G495" s="2" t="s">
        <v>174</v>
      </c>
      <c r="H495" s="2" t="s">
        <v>23</v>
      </c>
      <c r="I495" s="24" t="s">
        <v>908</v>
      </c>
      <c r="J495" s="24" t="s">
        <v>908</v>
      </c>
      <c r="K495" s="24" t="s">
        <v>908</v>
      </c>
      <c r="M495" s="24" t="s">
        <v>908</v>
      </c>
      <c r="N495" s="24"/>
      <c r="P495" s="1" t="str">
        <f t="shared" si="14"/>
        <v>71401001</v>
      </c>
      <c r="Q495" s="263" t="str">
        <f t="shared" si="15"/>
        <v>PM - Building Contract/Material/Supplies</v>
      </c>
    </row>
    <row r="496" spans="1:17" x14ac:dyDescent="0.25">
      <c r="A496" s="24" t="s">
        <v>317</v>
      </c>
      <c r="B496" s="24" t="s">
        <v>20</v>
      </c>
      <c r="C496" s="24" t="s">
        <v>54</v>
      </c>
      <c r="D496" s="24" t="s">
        <v>0</v>
      </c>
      <c r="E496" s="24" t="s">
        <v>3</v>
      </c>
      <c r="F496" s="5" t="s">
        <v>394</v>
      </c>
      <c r="G496" s="2" t="s">
        <v>174</v>
      </c>
      <c r="H496" s="2" t="s">
        <v>23</v>
      </c>
      <c r="I496" s="24" t="s">
        <v>908</v>
      </c>
      <c r="J496" s="24" t="s">
        <v>908</v>
      </c>
      <c r="K496" s="24" t="s">
        <v>908</v>
      </c>
      <c r="M496" s="24" t="s">
        <v>908</v>
      </c>
      <c r="N496" s="24"/>
      <c r="P496" s="1" t="str">
        <f t="shared" si="14"/>
        <v>71401002</v>
      </c>
      <c r="Q496" s="263" t="str">
        <f t="shared" si="15"/>
        <v>PM - Bulbs</v>
      </c>
    </row>
    <row r="497" spans="1:17" x14ac:dyDescent="0.25">
      <c r="A497" s="24" t="s">
        <v>317</v>
      </c>
      <c r="B497" s="24" t="s">
        <v>20</v>
      </c>
      <c r="C497" s="24" t="s">
        <v>54</v>
      </c>
      <c r="D497" s="24" t="s">
        <v>0</v>
      </c>
      <c r="E497" s="24" t="s">
        <v>5</v>
      </c>
      <c r="F497" s="5" t="s">
        <v>395</v>
      </c>
      <c r="G497" s="2" t="s">
        <v>174</v>
      </c>
      <c r="H497" s="2" t="s">
        <v>23</v>
      </c>
      <c r="I497" s="24" t="s">
        <v>908</v>
      </c>
      <c r="J497" s="24" t="s">
        <v>908</v>
      </c>
      <c r="K497" s="24" t="s">
        <v>908</v>
      </c>
      <c r="M497" s="24" t="s">
        <v>908</v>
      </c>
      <c r="N497" s="24"/>
      <c r="P497" s="1" t="str">
        <f t="shared" si="14"/>
        <v>71401003</v>
      </c>
      <c r="Q497" s="263" t="str">
        <f t="shared" si="15"/>
        <v>PM - Contract Services</v>
      </c>
    </row>
    <row r="498" spans="1:17" x14ac:dyDescent="0.25">
      <c r="A498" s="24" t="s">
        <v>317</v>
      </c>
      <c r="B498" s="24" t="s">
        <v>20</v>
      </c>
      <c r="C498" s="24" t="s">
        <v>54</v>
      </c>
      <c r="D498" s="24" t="s">
        <v>0</v>
      </c>
      <c r="E498" s="24" t="s">
        <v>7</v>
      </c>
      <c r="F498" s="5" t="s">
        <v>396</v>
      </c>
      <c r="G498" s="2" t="s">
        <v>174</v>
      </c>
      <c r="H498" s="2" t="s">
        <v>23</v>
      </c>
      <c r="I498" s="24" t="s">
        <v>908</v>
      </c>
      <c r="J498" s="24" t="s">
        <v>908</v>
      </c>
      <c r="K498" s="24" t="s">
        <v>908</v>
      </c>
      <c r="M498" s="24" t="s">
        <v>908</v>
      </c>
      <c r="N498" s="24"/>
      <c r="P498" s="1" t="str">
        <f t="shared" si="14"/>
        <v>71401004</v>
      </c>
      <c r="Q498" s="263" t="str">
        <f t="shared" si="15"/>
        <v>PM - Fire and Life Safety</v>
      </c>
    </row>
    <row r="499" spans="1:17" x14ac:dyDescent="0.25">
      <c r="A499" s="24" t="s">
        <v>317</v>
      </c>
      <c r="B499" s="24" t="s">
        <v>20</v>
      </c>
      <c r="C499" s="24" t="s">
        <v>54</v>
      </c>
      <c r="D499" s="24" t="s">
        <v>0</v>
      </c>
      <c r="E499" s="24" t="s">
        <v>9</v>
      </c>
      <c r="F499" s="5" t="s">
        <v>397</v>
      </c>
      <c r="G499" s="2" t="s">
        <v>174</v>
      </c>
      <c r="H499" s="2" t="s">
        <v>23</v>
      </c>
      <c r="I499" s="24" t="s">
        <v>908</v>
      </c>
      <c r="J499" s="24" t="s">
        <v>908</v>
      </c>
      <c r="K499" s="24" t="s">
        <v>908</v>
      </c>
      <c r="M499" s="24" t="s">
        <v>908</v>
      </c>
      <c r="N499" s="24"/>
      <c r="P499" s="1" t="str">
        <f t="shared" si="14"/>
        <v>71401005</v>
      </c>
      <c r="Q499" s="263" t="str">
        <f t="shared" si="15"/>
        <v>PM - Hygiene</v>
      </c>
    </row>
    <row r="500" spans="1:17" x14ac:dyDescent="0.25">
      <c r="A500" s="24" t="s">
        <v>317</v>
      </c>
      <c r="B500" s="24" t="s">
        <v>20</v>
      </c>
      <c r="C500" s="24" t="s">
        <v>54</v>
      </c>
      <c r="D500" s="24" t="s">
        <v>0</v>
      </c>
      <c r="E500" s="24" t="s">
        <v>10</v>
      </c>
      <c r="F500" s="5" t="s">
        <v>398</v>
      </c>
      <c r="G500" s="2" t="s">
        <v>174</v>
      </c>
      <c r="H500" s="2" t="s">
        <v>23</v>
      </c>
      <c r="I500" s="24" t="s">
        <v>908</v>
      </c>
      <c r="J500" s="24" t="s">
        <v>908</v>
      </c>
      <c r="K500" s="24" t="s">
        <v>908</v>
      </c>
      <c r="M500" s="24" t="s">
        <v>908</v>
      </c>
      <c r="N500" s="24"/>
      <c r="P500" s="1" t="str">
        <f t="shared" si="14"/>
        <v>71401006</v>
      </c>
      <c r="Q500" s="263" t="str">
        <f t="shared" si="15"/>
        <v>PM - IT Maintenance</v>
      </c>
    </row>
    <row r="501" spans="1:17" x14ac:dyDescent="0.25">
      <c r="A501" s="24" t="s">
        <v>317</v>
      </c>
      <c r="B501" s="24" t="s">
        <v>20</v>
      </c>
      <c r="C501" s="24" t="s">
        <v>54</v>
      </c>
      <c r="D501" s="24" t="s">
        <v>0</v>
      </c>
      <c r="E501" s="24" t="s">
        <v>11</v>
      </c>
      <c r="F501" s="5" t="s">
        <v>399</v>
      </c>
      <c r="G501" s="2" t="s">
        <v>174</v>
      </c>
      <c r="H501" s="2" t="s">
        <v>23</v>
      </c>
      <c r="I501" s="24" t="s">
        <v>908</v>
      </c>
      <c r="J501" s="24" t="s">
        <v>908</v>
      </c>
      <c r="K501" s="24" t="s">
        <v>908</v>
      </c>
      <c r="M501" s="24" t="s">
        <v>908</v>
      </c>
      <c r="N501" s="24"/>
      <c r="P501" s="1" t="str">
        <f t="shared" si="14"/>
        <v>71401007</v>
      </c>
      <c r="Q501" s="263" t="str">
        <f t="shared" si="15"/>
        <v>PM - Air Conditioning</v>
      </c>
    </row>
    <row r="502" spans="1:17" x14ac:dyDescent="0.25">
      <c r="A502" s="24" t="s">
        <v>317</v>
      </c>
      <c r="B502" s="24" t="s">
        <v>20</v>
      </c>
      <c r="C502" s="24" t="s">
        <v>54</v>
      </c>
      <c r="D502" s="24" t="s">
        <v>0</v>
      </c>
      <c r="E502" s="24" t="s">
        <v>13</v>
      </c>
      <c r="F502" s="5" t="s">
        <v>400</v>
      </c>
      <c r="G502" s="2" t="s">
        <v>174</v>
      </c>
      <c r="H502" s="2" t="s">
        <v>23</v>
      </c>
      <c r="I502" s="24" t="s">
        <v>908</v>
      </c>
      <c r="J502" s="24" t="s">
        <v>908</v>
      </c>
      <c r="K502" s="24" t="s">
        <v>908</v>
      </c>
      <c r="M502" s="24" t="s">
        <v>908</v>
      </c>
      <c r="N502" s="24"/>
      <c r="P502" s="1" t="str">
        <f t="shared" si="14"/>
        <v>71401008</v>
      </c>
      <c r="Q502" s="263" t="str">
        <f t="shared" si="15"/>
        <v>PM - Curtains/Draperie</v>
      </c>
    </row>
    <row r="503" spans="1:17" x14ac:dyDescent="0.25">
      <c r="A503" s="24" t="s">
        <v>317</v>
      </c>
      <c r="B503" s="24" t="s">
        <v>20</v>
      </c>
      <c r="C503" s="24" t="s">
        <v>54</v>
      </c>
      <c r="D503" s="24" t="s">
        <v>0</v>
      </c>
      <c r="E503" s="24" t="s">
        <v>15</v>
      </c>
      <c r="F503" s="5" t="s">
        <v>588</v>
      </c>
      <c r="G503" s="2" t="s">
        <v>174</v>
      </c>
      <c r="H503" s="2" t="s">
        <v>23</v>
      </c>
      <c r="I503" s="24" t="s">
        <v>908</v>
      </c>
      <c r="J503" s="24" t="s">
        <v>908</v>
      </c>
      <c r="K503" s="24" t="s">
        <v>908</v>
      </c>
      <c r="M503" s="24" t="s">
        <v>908</v>
      </c>
      <c r="N503" s="24"/>
      <c r="P503" s="1" t="str">
        <f t="shared" si="14"/>
        <v>71401009</v>
      </c>
      <c r="Q503" s="263" t="str">
        <f t="shared" si="15"/>
        <v>PM - Electrical/Mechanical Equipment</v>
      </c>
    </row>
    <row r="504" spans="1:17" x14ac:dyDescent="0.25">
      <c r="A504" s="24" t="s">
        <v>317</v>
      </c>
      <c r="B504" s="24" t="s">
        <v>20</v>
      </c>
      <c r="C504" s="24" t="s">
        <v>54</v>
      </c>
      <c r="D504" s="24" t="s">
        <v>0</v>
      </c>
      <c r="E504" s="24" t="s">
        <v>238</v>
      </c>
      <c r="F504" s="5" t="s">
        <v>401</v>
      </c>
      <c r="G504" s="2" t="s">
        <v>174</v>
      </c>
      <c r="H504" s="2" t="s">
        <v>23</v>
      </c>
      <c r="I504" s="24" t="s">
        <v>908</v>
      </c>
      <c r="J504" s="24" t="s">
        <v>908</v>
      </c>
      <c r="K504" s="24" t="s">
        <v>908</v>
      </c>
      <c r="M504" s="24" t="s">
        <v>908</v>
      </c>
      <c r="N504" s="24"/>
      <c r="P504" s="1" t="str">
        <f t="shared" si="14"/>
        <v>71401010</v>
      </c>
      <c r="Q504" s="263" t="str">
        <f t="shared" si="15"/>
        <v>PM - Elevator</v>
      </c>
    </row>
    <row r="505" spans="1:17" x14ac:dyDescent="0.25">
      <c r="A505" s="24" t="s">
        <v>317</v>
      </c>
      <c r="B505" s="24" t="s">
        <v>20</v>
      </c>
      <c r="C505" s="24" t="s">
        <v>54</v>
      </c>
      <c r="D505" s="24" t="s">
        <v>0</v>
      </c>
      <c r="E505" s="24" t="s">
        <v>240</v>
      </c>
      <c r="F505" s="5" t="s">
        <v>402</v>
      </c>
      <c r="G505" s="2" t="s">
        <v>174</v>
      </c>
      <c r="H505" s="2" t="s">
        <v>23</v>
      </c>
      <c r="I505" s="24" t="s">
        <v>908</v>
      </c>
      <c r="J505" s="24" t="s">
        <v>908</v>
      </c>
      <c r="K505" s="24" t="s">
        <v>908</v>
      </c>
      <c r="M505" s="24" t="s">
        <v>908</v>
      </c>
      <c r="N505" s="24"/>
      <c r="P505" s="1" t="str">
        <f t="shared" si="14"/>
        <v>71401011</v>
      </c>
      <c r="Q505" s="263" t="str">
        <f t="shared" si="15"/>
        <v>PM - Floor/Wall Covering</v>
      </c>
    </row>
    <row r="506" spans="1:17" x14ac:dyDescent="0.25">
      <c r="A506" s="24" t="s">
        <v>317</v>
      </c>
      <c r="B506" s="24" t="s">
        <v>20</v>
      </c>
      <c r="C506" s="24" t="s">
        <v>54</v>
      </c>
      <c r="D506" s="24" t="s">
        <v>0</v>
      </c>
      <c r="E506" s="24" t="s">
        <v>331</v>
      </c>
      <c r="F506" s="5" t="s">
        <v>403</v>
      </c>
      <c r="G506" s="2" t="s">
        <v>174</v>
      </c>
      <c r="H506" s="2" t="s">
        <v>23</v>
      </c>
      <c r="I506" s="24" t="s">
        <v>908</v>
      </c>
      <c r="J506" s="24" t="s">
        <v>908</v>
      </c>
      <c r="K506" s="24" t="s">
        <v>908</v>
      </c>
      <c r="M506" s="24" t="s">
        <v>908</v>
      </c>
      <c r="N506" s="24"/>
      <c r="P506" s="1" t="str">
        <f t="shared" si="14"/>
        <v>71401012</v>
      </c>
      <c r="Q506" s="263" t="str">
        <f t="shared" si="15"/>
        <v>PM - Furniture</v>
      </c>
    </row>
    <row r="507" spans="1:17" x14ac:dyDescent="0.25">
      <c r="A507" s="24" t="s">
        <v>317</v>
      </c>
      <c r="B507" s="24" t="s">
        <v>20</v>
      </c>
      <c r="C507" s="24" t="s">
        <v>54</v>
      </c>
      <c r="D507" s="24" t="s">
        <v>0</v>
      </c>
      <c r="E507" s="24" t="s">
        <v>333</v>
      </c>
      <c r="F507" s="5" t="s">
        <v>404</v>
      </c>
      <c r="G507" s="2" t="s">
        <v>174</v>
      </c>
      <c r="H507" s="2" t="s">
        <v>23</v>
      </c>
      <c r="I507" s="24" t="s">
        <v>908</v>
      </c>
      <c r="J507" s="24" t="s">
        <v>908</v>
      </c>
      <c r="K507" s="24" t="s">
        <v>908</v>
      </c>
      <c r="M507" s="24" t="s">
        <v>908</v>
      </c>
      <c r="N507" s="24"/>
      <c r="P507" s="1" t="str">
        <f t="shared" si="14"/>
        <v>71401013</v>
      </c>
      <c r="Q507" s="263" t="str">
        <f t="shared" si="15"/>
        <v>PM - Generator</v>
      </c>
    </row>
    <row r="508" spans="1:17" x14ac:dyDescent="0.25">
      <c r="A508" s="24" t="s">
        <v>317</v>
      </c>
      <c r="B508" s="24" t="s">
        <v>20</v>
      </c>
      <c r="C508" s="24" t="s">
        <v>54</v>
      </c>
      <c r="D508" s="24" t="s">
        <v>0</v>
      </c>
      <c r="E508" s="24" t="s">
        <v>335</v>
      </c>
      <c r="F508" s="5" t="s">
        <v>405</v>
      </c>
      <c r="G508" s="2" t="s">
        <v>174</v>
      </c>
      <c r="H508" s="2" t="s">
        <v>23</v>
      </c>
      <c r="I508" s="24" t="s">
        <v>908</v>
      </c>
      <c r="J508" s="24" t="s">
        <v>908</v>
      </c>
      <c r="K508" s="24" t="s">
        <v>908</v>
      </c>
      <c r="M508" s="24" t="s">
        <v>908</v>
      </c>
      <c r="N508" s="24"/>
      <c r="P508" s="1" t="str">
        <f t="shared" si="14"/>
        <v>71401014</v>
      </c>
      <c r="Q508" s="263" t="str">
        <f t="shared" si="15"/>
        <v>PM - Grounds/Landscape</v>
      </c>
    </row>
    <row r="509" spans="1:17" x14ac:dyDescent="0.25">
      <c r="A509" s="24" t="s">
        <v>317</v>
      </c>
      <c r="B509" s="24" t="s">
        <v>20</v>
      </c>
      <c r="C509" s="24" t="s">
        <v>54</v>
      </c>
      <c r="D509" s="24" t="s">
        <v>0</v>
      </c>
      <c r="E509" s="24" t="s">
        <v>337</v>
      </c>
      <c r="F509" s="5" t="s">
        <v>406</v>
      </c>
      <c r="G509" s="2" t="s">
        <v>174</v>
      </c>
      <c r="H509" s="2" t="s">
        <v>23</v>
      </c>
      <c r="I509" s="2" t="s">
        <v>907</v>
      </c>
      <c r="J509" s="2" t="s">
        <v>907</v>
      </c>
      <c r="K509" s="2" t="s">
        <v>910</v>
      </c>
      <c r="M509" s="2" t="s">
        <v>907</v>
      </c>
      <c r="N509" s="24"/>
      <c r="P509" s="1" t="str">
        <f t="shared" si="14"/>
        <v>71401015</v>
      </c>
      <c r="Q509" s="263" t="str">
        <f t="shared" si="15"/>
        <v>PM - Kitchen</v>
      </c>
    </row>
    <row r="510" spans="1:17" x14ac:dyDescent="0.25">
      <c r="A510" s="24" t="s">
        <v>317</v>
      </c>
      <c r="B510" s="24" t="s">
        <v>20</v>
      </c>
      <c r="C510" s="24" t="s">
        <v>54</v>
      </c>
      <c r="D510" s="24" t="s">
        <v>0</v>
      </c>
      <c r="E510" s="24" t="s">
        <v>339</v>
      </c>
      <c r="F510" s="5" t="s">
        <v>407</v>
      </c>
      <c r="G510" s="2" t="s">
        <v>174</v>
      </c>
      <c r="H510" s="2" t="s">
        <v>23</v>
      </c>
      <c r="I510" s="2" t="s">
        <v>907</v>
      </c>
      <c r="J510" s="2" t="s">
        <v>907</v>
      </c>
      <c r="K510" s="2" t="s">
        <v>86</v>
      </c>
      <c r="M510" s="2" t="s">
        <v>907</v>
      </c>
      <c r="N510" s="24"/>
      <c r="P510" s="1" t="str">
        <f t="shared" si="14"/>
        <v>71401016</v>
      </c>
      <c r="Q510" s="263" t="str">
        <f t="shared" si="15"/>
        <v>PM - Laundry</v>
      </c>
    </row>
    <row r="511" spans="1:17" x14ac:dyDescent="0.25">
      <c r="A511" s="24" t="s">
        <v>317</v>
      </c>
      <c r="B511" s="24" t="s">
        <v>20</v>
      </c>
      <c r="C511" s="24" t="s">
        <v>54</v>
      </c>
      <c r="D511" s="24" t="s">
        <v>0</v>
      </c>
      <c r="E511" s="24" t="s">
        <v>341</v>
      </c>
      <c r="F511" s="5" t="s">
        <v>408</v>
      </c>
      <c r="G511" s="2" t="s">
        <v>174</v>
      </c>
      <c r="H511" s="2" t="s">
        <v>23</v>
      </c>
      <c r="I511" s="24" t="s">
        <v>908</v>
      </c>
      <c r="J511" s="24" t="s">
        <v>908</v>
      </c>
      <c r="K511" s="24" t="s">
        <v>908</v>
      </c>
      <c r="M511" s="24" t="s">
        <v>908</v>
      </c>
      <c r="N511" s="24"/>
      <c r="P511" s="1" t="str">
        <f t="shared" si="14"/>
        <v>71401017</v>
      </c>
      <c r="Q511" s="263" t="str">
        <f t="shared" si="15"/>
        <v>PM - Neon Signs</v>
      </c>
    </row>
    <row r="512" spans="1:17" x14ac:dyDescent="0.25">
      <c r="A512" s="24" t="s">
        <v>317</v>
      </c>
      <c r="B512" s="24" t="s">
        <v>20</v>
      </c>
      <c r="C512" s="24" t="s">
        <v>54</v>
      </c>
      <c r="D512" s="24" t="s">
        <v>0</v>
      </c>
      <c r="E512" s="24" t="s">
        <v>343</v>
      </c>
      <c r="F512" s="5" t="s">
        <v>409</v>
      </c>
      <c r="G512" s="2" t="s">
        <v>174</v>
      </c>
      <c r="H512" s="2" t="s">
        <v>23</v>
      </c>
      <c r="I512" s="24" t="s">
        <v>908</v>
      </c>
      <c r="J512" s="24" t="s">
        <v>908</v>
      </c>
      <c r="K512" s="24" t="s">
        <v>908</v>
      </c>
      <c r="M512" s="24" t="s">
        <v>908</v>
      </c>
      <c r="N512" s="24"/>
      <c r="P512" s="1" t="str">
        <f t="shared" si="14"/>
        <v>71401018</v>
      </c>
      <c r="Q512" s="263" t="str">
        <f t="shared" si="15"/>
        <v>PM - Painting/Decoration</v>
      </c>
    </row>
    <row r="513" spans="1:17" x14ac:dyDescent="0.25">
      <c r="A513" s="24" t="s">
        <v>317</v>
      </c>
      <c r="B513" s="24" t="s">
        <v>20</v>
      </c>
      <c r="C513" s="24" t="s">
        <v>54</v>
      </c>
      <c r="D513" s="24" t="s">
        <v>0</v>
      </c>
      <c r="E513" s="24" t="s">
        <v>344</v>
      </c>
      <c r="F513" s="5" t="s">
        <v>410</v>
      </c>
      <c r="G513" s="2" t="s">
        <v>174</v>
      </c>
      <c r="H513" s="2" t="s">
        <v>23</v>
      </c>
      <c r="I513" s="24" t="s">
        <v>908</v>
      </c>
      <c r="J513" s="24" t="s">
        <v>908</v>
      </c>
      <c r="K513" s="24" t="s">
        <v>908</v>
      </c>
      <c r="M513" s="24" t="s">
        <v>908</v>
      </c>
      <c r="N513" s="24"/>
      <c r="P513" s="1" t="str">
        <f t="shared" si="14"/>
        <v>71401019</v>
      </c>
      <c r="Q513" s="263" t="str">
        <f t="shared" si="15"/>
        <v>PM - Plumbing/Heating</v>
      </c>
    </row>
    <row r="514" spans="1:17" x14ac:dyDescent="0.25">
      <c r="A514" s="24" t="s">
        <v>317</v>
      </c>
      <c r="B514" s="24" t="s">
        <v>20</v>
      </c>
      <c r="C514" s="24" t="s">
        <v>54</v>
      </c>
      <c r="D514" s="24" t="s">
        <v>0</v>
      </c>
      <c r="E514" s="24" t="s">
        <v>346</v>
      </c>
      <c r="F514" s="5" t="s">
        <v>411</v>
      </c>
      <c r="G514" s="2" t="s">
        <v>174</v>
      </c>
      <c r="H514" s="2" t="s">
        <v>23</v>
      </c>
      <c r="I514" s="24" t="s">
        <v>908</v>
      </c>
      <c r="J514" s="24" t="s">
        <v>908</v>
      </c>
      <c r="K514" s="24" t="s">
        <v>908</v>
      </c>
      <c r="M514" s="24" t="s">
        <v>908</v>
      </c>
      <c r="N514" s="24"/>
      <c r="P514" s="1" t="str">
        <f t="shared" si="14"/>
        <v>71401020</v>
      </c>
      <c r="Q514" s="263" t="str">
        <f t="shared" si="15"/>
        <v>PM - Refrigerator</v>
      </c>
    </row>
    <row r="515" spans="1:17" x14ac:dyDescent="0.25">
      <c r="A515" s="24" t="s">
        <v>317</v>
      </c>
      <c r="B515" s="24" t="s">
        <v>20</v>
      </c>
      <c r="C515" s="24" t="s">
        <v>54</v>
      </c>
      <c r="D515" s="24" t="s">
        <v>0</v>
      </c>
      <c r="E515" s="24" t="s">
        <v>348</v>
      </c>
      <c r="F515" s="5" t="s">
        <v>412</v>
      </c>
      <c r="G515" s="2" t="s">
        <v>174</v>
      </c>
      <c r="H515" s="2" t="s">
        <v>23</v>
      </c>
      <c r="I515" s="2" t="s">
        <v>907</v>
      </c>
      <c r="J515" s="2" t="s">
        <v>910</v>
      </c>
      <c r="K515" s="24" t="s">
        <v>908</v>
      </c>
      <c r="M515" s="2" t="s">
        <v>907</v>
      </c>
      <c r="N515" s="24"/>
      <c r="P515" s="1" t="str">
        <f t="shared" si="14"/>
        <v>71401021</v>
      </c>
      <c r="Q515" s="263" t="str">
        <f t="shared" si="15"/>
        <v>PM - Swimming Pool</v>
      </c>
    </row>
    <row r="516" spans="1:17" x14ac:dyDescent="0.25">
      <c r="A516" s="24" t="s">
        <v>317</v>
      </c>
      <c r="B516" s="24" t="s">
        <v>20</v>
      </c>
      <c r="C516" s="24" t="s">
        <v>54</v>
      </c>
      <c r="D516" s="24" t="s">
        <v>0</v>
      </c>
      <c r="E516" s="24" t="s">
        <v>350</v>
      </c>
      <c r="F516" s="5" t="s">
        <v>413</v>
      </c>
      <c r="G516" s="2" t="s">
        <v>174</v>
      </c>
      <c r="H516" s="2" t="s">
        <v>23</v>
      </c>
      <c r="I516" s="24" t="s">
        <v>908</v>
      </c>
      <c r="J516" s="24" t="s">
        <v>908</v>
      </c>
      <c r="K516" s="24" t="s">
        <v>908</v>
      </c>
      <c r="M516" s="24" t="s">
        <v>908</v>
      </c>
      <c r="N516" s="24"/>
      <c r="P516" s="1" t="str">
        <f t="shared" si="14"/>
        <v>71401022</v>
      </c>
      <c r="Q516" s="263" t="str">
        <f t="shared" si="15"/>
        <v>PM - Vehicle</v>
      </c>
    </row>
    <row r="517" spans="1:17" x14ac:dyDescent="0.25">
      <c r="A517" s="24" t="s">
        <v>317</v>
      </c>
      <c r="B517" s="24" t="s">
        <v>20</v>
      </c>
      <c r="C517" s="24" t="s">
        <v>54</v>
      </c>
      <c r="D517" s="24" t="s">
        <v>0</v>
      </c>
      <c r="E517" s="24" t="s">
        <v>414</v>
      </c>
      <c r="F517" s="5" t="s">
        <v>415</v>
      </c>
      <c r="G517" s="2" t="s">
        <v>174</v>
      </c>
      <c r="H517" s="2" t="s">
        <v>23</v>
      </c>
      <c r="I517" s="24" t="s">
        <v>908</v>
      </c>
      <c r="J517" s="24" t="s">
        <v>908</v>
      </c>
      <c r="K517" s="24" t="s">
        <v>908</v>
      </c>
      <c r="M517" s="24" t="s">
        <v>908</v>
      </c>
      <c r="N517" s="24"/>
      <c r="P517" s="1" t="str">
        <f t="shared" ref="P517:P580" si="16">CONCATENATE(A517,B517,C517,D517,E517)</f>
        <v>71401023</v>
      </c>
      <c r="Q517" s="263" t="str">
        <f t="shared" si="15"/>
        <v>PM - Pest Control</v>
      </c>
    </row>
    <row r="518" spans="1:17" x14ac:dyDescent="0.25">
      <c r="A518" s="24" t="s">
        <v>317</v>
      </c>
      <c r="B518" s="24" t="s">
        <v>20</v>
      </c>
      <c r="C518" s="24" t="s">
        <v>54</v>
      </c>
      <c r="D518" s="24" t="s">
        <v>0</v>
      </c>
      <c r="E518" s="24" t="s">
        <v>416</v>
      </c>
      <c r="F518" s="5" t="s">
        <v>417</v>
      </c>
      <c r="G518" s="2" t="s">
        <v>174</v>
      </c>
      <c r="H518" s="2" t="s">
        <v>23</v>
      </c>
      <c r="I518" s="24" t="s">
        <v>908</v>
      </c>
      <c r="J518" s="24" t="s">
        <v>908</v>
      </c>
      <c r="K518" s="24" t="s">
        <v>908</v>
      </c>
      <c r="M518" s="24" t="s">
        <v>908</v>
      </c>
      <c r="N518" s="24"/>
      <c r="P518" s="1" t="str">
        <f t="shared" si="16"/>
        <v>71401024</v>
      </c>
      <c r="Q518" s="263" t="str">
        <f t="shared" si="15"/>
        <v>PM - Printing &amp; Stationary</v>
      </c>
    </row>
    <row r="519" spans="1:17" x14ac:dyDescent="0.25">
      <c r="A519" s="24" t="s">
        <v>317</v>
      </c>
      <c r="B519" s="24" t="s">
        <v>20</v>
      </c>
      <c r="C519" s="24" t="s">
        <v>54</v>
      </c>
      <c r="D519" s="24" t="s">
        <v>0</v>
      </c>
      <c r="E519" s="24" t="s">
        <v>418</v>
      </c>
      <c r="F519" s="5" t="s">
        <v>419</v>
      </c>
      <c r="G519" s="2" t="s">
        <v>174</v>
      </c>
      <c r="H519" s="2" t="s">
        <v>23</v>
      </c>
      <c r="I519" s="24" t="s">
        <v>908</v>
      </c>
      <c r="J519" s="24" t="s">
        <v>908</v>
      </c>
      <c r="K519" s="24" t="s">
        <v>908</v>
      </c>
      <c r="M519" s="24" t="s">
        <v>908</v>
      </c>
      <c r="N519" s="24"/>
      <c r="P519" s="1" t="str">
        <f t="shared" si="16"/>
        <v>71401025</v>
      </c>
      <c r="Q519" s="263" t="str">
        <f t="shared" si="15"/>
        <v>PM - Tools and Equipment</v>
      </c>
    </row>
    <row r="520" spans="1:17" x14ac:dyDescent="0.25">
      <c r="A520" s="24" t="s">
        <v>317</v>
      </c>
      <c r="B520" s="24" t="s">
        <v>20</v>
      </c>
      <c r="C520" s="24" t="s">
        <v>54</v>
      </c>
      <c r="D520" s="24" t="s">
        <v>0</v>
      </c>
      <c r="E520" s="24" t="s">
        <v>420</v>
      </c>
      <c r="F520" s="5" t="s">
        <v>421</v>
      </c>
      <c r="G520" s="2" t="s">
        <v>174</v>
      </c>
      <c r="H520" s="2" t="s">
        <v>23</v>
      </c>
      <c r="I520" s="24" t="s">
        <v>908</v>
      </c>
      <c r="J520" s="24" t="s">
        <v>908</v>
      </c>
      <c r="K520" s="24" t="s">
        <v>908</v>
      </c>
      <c r="M520" s="24" t="s">
        <v>908</v>
      </c>
      <c r="N520" s="24"/>
      <c r="P520" s="1" t="str">
        <f t="shared" si="16"/>
        <v>71401026</v>
      </c>
      <c r="Q520" s="263" t="str">
        <f t="shared" si="15"/>
        <v>PM - Telephone &amp; Fax</v>
      </c>
    </row>
    <row r="521" spans="1:17" x14ac:dyDescent="0.25">
      <c r="A521" s="24" t="s">
        <v>317</v>
      </c>
      <c r="B521" s="24" t="s">
        <v>20</v>
      </c>
      <c r="C521" s="24" t="s">
        <v>54</v>
      </c>
      <c r="D521" s="24" t="s">
        <v>0</v>
      </c>
      <c r="E521" s="24" t="s">
        <v>422</v>
      </c>
      <c r="F521" s="5" t="s">
        <v>423</v>
      </c>
      <c r="G521" s="2" t="s">
        <v>174</v>
      </c>
      <c r="H521" s="2" t="s">
        <v>23</v>
      </c>
      <c r="I521" s="24" t="s">
        <v>908</v>
      </c>
      <c r="J521" s="24" t="s">
        <v>908</v>
      </c>
      <c r="K521" s="24" t="s">
        <v>908</v>
      </c>
      <c r="M521" s="24" t="s">
        <v>908</v>
      </c>
      <c r="N521" s="24"/>
      <c r="P521" s="1" t="str">
        <f t="shared" si="16"/>
        <v>71401027</v>
      </c>
      <c r="Q521" s="263" t="str">
        <f t="shared" ref="Q521:Q584" si="17">F521</f>
        <v>PM - Training</v>
      </c>
    </row>
    <row r="522" spans="1:17" x14ac:dyDescent="0.25">
      <c r="A522" s="24" t="s">
        <v>317</v>
      </c>
      <c r="B522" s="24" t="s">
        <v>20</v>
      </c>
      <c r="C522" s="24" t="s">
        <v>54</v>
      </c>
      <c r="D522" s="24" t="s">
        <v>0</v>
      </c>
      <c r="E522" s="24" t="s">
        <v>424</v>
      </c>
      <c r="F522" s="5" t="s">
        <v>426</v>
      </c>
      <c r="G522" s="2" t="s">
        <v>174</v>
      </c>
      <c r="H522" s="2" t="s">
        <v>23</v>
      </c>
      <c r="I522" s="24" t="s">
        <v>908</v>
      </c>
      <c r="J522" s="24" t="s">
        <v>908</v>
      </c>
      <c r="K522" s="24" t="s">
        <v>908</v>
      </c>
      <c r="M522" s="24" t="s">
        <v>908</v>
      </c>
      <c r="N522" s="24"/>
      <c r="P522" s="1" t="str">
        <f t="shared" si="16"/>
        <v>71401028</v>
      </c>
      <c r="Q522" s="263" t="str">
        <f t="shared" si="17"/>
        <v>PM - Uniform Laundry</v>
      </c>
    </row>
    <row r="523" spans="1:17" x14ac:dyDescent="0.25">
      <c r="A523" s="24" t="s">
        <v>317</v>
      </c>
      <c r="B523" s="24" t="s">
        <v>20</v>
      </c>
      <c r="C523" s="24" t="s">
        <v>54</v>
      </c>
      <c r="D523" s="24" t="s">
        <v>0</v>
      </c>
      <c r="E523" s="24" t="s">
        <v>425</v>
      </c>
      <c r="F523" s="5" t="s">
        <v>428</v>
      </c>
      <c r="G523" s="2" t="s">
        <v>174</v>
      </c>
      <c r="H523" s="2" t="s">
        <v>23</v>
      </c>
      <c r="I523" s="24" t="s">
        <v>908</v>
      </c>
      <c r="J523" s="24" t="s">
        <v>908</v>
      </c>
      <c r="K523" s="24" t="s">
        <v>908</v>
      </c>
      <c r="M523" s="24" t="s">
        <v>908</v>
      </c>
      <c r="N523" s="24"/>
      <c r="P523" s="1" t="str">
        <f t="shared" si="16"/>
        <v>71401029</v>
      </c>
      <c r="Q523" s="263" t="str">
        <f t="shared" si="17"/>
        <v>PM - Waste Removal</v>
      </c>
    </row>
    <row r="524" spans="1:17" x14ac:dyDescent="0.25">
      <c r="A524" s="24" t="s">
        <v>317</v>
      </c>
      <c r="B524" s="24" t="s">
        <v>20</v>
      </c>
      <c r="C524" s="24" t="s">
        <v>54</v>
      </c>
      <c r="D524" s="24" t="s">
        <v>0</v>
      </c>
      <c r="E524" s="24" t="s">
        <v>427</v>
      </c>
      <c r="F524" s="5" t="s">
        <v>430</v>
      </c>
      <c r="G524" s="2" t="s">
        <v>174</v>
      </c>
      <c r="H524" s="2" t="s">
        <v>23</v>
      </c>
      <c r="I524" s="24" t="s">
        <v>908</v>
      </c>
      <c r="J524" s="24" t="s">
        <v>908</v>
      </c>
      <c r="K524" s="24" t="s">
        <v>908</v>
      </c>
      <c r="M524" s="24" t="s">
        <v>908</v>
      </c>
      <c r="N524" s="24"/>
      <c r="P524" s="1" t="str">
        <f t="shared" si="16"/>
        <v>71401030</v>
      </c>
      <c r="Q524" s="263" t="str">
        <f t="shared" si="17"/>
        <v>PM - Engineering Supplies</v>
      </c>
    </row>
    <row r="525" spans="1:17" x14ac:dyDescent="0.25">
      <c r="A525" s="24" t="s">
        <v>317</v>
      </c>
      <c r="B525" s="24" t="s">
        <v>20</v>
      </c>
      <c r="C525" s="24" t="s">
        <v>54</v>
      </c>
      <c r="D525" s="24" t="s">
        <v>0</v>
      </c>
      <c r="E525" s="24" t="s">
        <v>429</v>
      </c>
      <c r="F525" s="5" t="s">
        <v>431</v>
      </c>
      <c r="G525" s="24" t="s">
        <v>174</v>
      </c>
      <c r="H525" s="2" t="s">
        <v>23</v>
      </c>
      <c r="I525" s="24" t="s">
        <v>908</v>
      </c>
      <c r="J525" s="24" t="s">
        <v>908</v>
      </c>
      <c r="K525" s="24" t="s">
        <v>908</v>
      </c>
      <c r="M525" s="24" t="s">
        <v>908</v>
      </c>
      <c r="N525" s="24"/>
      <c r="P525" s="1" t="str">
        <f t="shared" si="16"/>
        <v>71401031</v>
      </c>
      <c r="Q525" s="263" t="str">
        <f t="shared" si="17"/>
        <v>PM - Non Capitalized Asset</v>
      </c>
    </row>
    <row r="526" spans="1:17" x14ac:dyDescent="0.25">
      <c r="A526" s="24" t="s">
        <v>317</v>
      </c>
      <c r="B526" s="24" t="s">
        <v>20</v>
      </c>
      <c r="C526" s="24" t="s">
        <v>54</v>
      </c>
      <c r="D526" s="24" t="s">
        <v>0</v>
      </c>
      <c r="E526" s="24" t="s">
        <v>865</v>
      </c>
      <c r="F526" s="5" t="s">
        <v>866</v>
      </c>
      <c r="G526" s="2" t="s">
        <v>174</v>
      </c>
      <c r="H526" s="2" t="s">
        <v>23</v>
      </c>
      <c r="I526" s="24" t="s">
        <v>908</v>
      </c>
      <c r="J526" s="24" t="s">
        <v>908</v>
      </c>
      <c r="K526" s="24" t="s">
        <v>908</v>
      </c>
      <c r="M526" s="24" t="s">
        <v>908</v>
      </c>
      <c r="N526" s="24"/>
      <c r="P526" s="1" t="str">
        <f t="shared" si="16"/>
        <v>71401032</v>
      </c>
      <c r="Q526" s="263" t="str">
        <f t="shared" si="17"/>
        <v>PM - Traveling</v>
      </c>
    </row>
    <row r="527" spans="1:17" x14ac:dyDescent="0.25">
      <c r="A527" s="24" t="s">
        <v>317</v>
      </c>
      <c r="B527" s="24" t="s">
        <v>20</v>
      </c>
      <c r="C527" s="24" t="s">
        <v>54</v>
      </c>
      <c r="D527" s="24" t="s">
        <v>0</v>
      </c>
      <c r="E527" s="24" t="s">
        <v>867</v>
      </c>
      <c r="F527" s="5" t="s">
        <v>868</v>
      </c>
      <c r="G527" s="2" t="s">
        <v>174</v>
      </c>
      <c r="H527" s="2" t="s">
        <v>23</v>
      </c>
      <c r="I527" s="24" t="s">
        <v>908</v>
      </c>
      <c r="J527" s="24" t="s">
        <v>908</v>
      </c>
      <c r="K527" s="24" t="s">
        <v>908</v>
      </c>
      <c r="M527" s="24" t="s">
        <v>908</v>
      </c>
      <c r="N527" s="24"/>
      <c r="P527" s="1" t="str">
        <f t="shared" si="16"/>
        <v>71401033</v>
      </c>
      <c r="Q527" s="263" t="str">
        <f t="shared" si="17"/>
        <v>PM - Entertainment</v>
      </c>
    </row>
    <row r="528" spans="1:17" x14ac:dyDescent="0.25">
      <c r="A528" s="24" t="s">
        <v>317</v>
      </c>
      <c r="B528" s="24" t="s">
        <v>20</v>
      </c>
      <c r="C528" s="24" t="s">
        <v>54</v>
      </c>
      <c r="D528" s="24" t="s">
        <v>0</v>
      </c>
      <c r="E528" s="24" t="s">
        <v>43</v>
      </c>
      <c r="F528" s="5" t="s">
        <v>432</v>
      </c>
      <c r="G528" s="2" t="s">
        <v>174</v>
      </c>
      <c r="H528" s="2" t="s">
        <v>23</v>
      </c>
      <c r="I528" s="24" t="s">
        <v>908</v>
      </c>
      <c r="J528" s="24" t="s">
        <v>908</v>
      </c>
      <c r="K528" s="24" t="s">
        <v>908</v>
      </c>
      <c r="M528" s="24" t="s">
        <v>908</v>
      </c>
      <c r="N528" s="24"/>
      <c r="P528" s="1" t="str">
        <f t="shared" si="16"/>
        <v>71401999</v>
      </c>
      <c r="Q528" s="263" t="str">
        <f t="shared" si="17"/>
        <v>PM - Other Operating Expenses</v>
      </c>
    </row>
    <row r="529" spans="1:17" hidden="1" x14ac:dyDescent="0.25">
      <c r="A529" s="20" t="s">
        <v>317</v>
      </c>
      <c r="B529" s="20" t="s">
        <v>20</v>
      </c>
      <c r="C529" s="20" t="s">
        <v>54</v>
      </c>
      <c r="D529" s="20" t="s">
        <v>2</v>
      </c>
      <c r="E529" s="20"/>
      <c r="F529" s="22" t="s">
        <v>641</v>
      </c>
      <c r="G529" s="23" t="s">
        <v>174</v>
      </c>
      <c r="H529" s="23" t="s">
        <v>23</v>
      </c>
      <c r="I529" s="23" t="s">
        <v>907</v>
      </c>
      <c r="J529" s="23" t="s">
        <v>907</v>
      </c>
      <c r="K529" s="23" t="s">
        <v>907</v>
      </c>
      <c r="M529" s="23" t="s">
        <v>907</v>
      </c>
      <c r="N529" s="23"/>
      <c r="Q529" s="263"/>
    </row>
    <row r="530" spans="1:17" x14ac:dyDescent="0.25">
      <c r="A530" s="24" t="s">
        <v>317</v>
      </c>
      <c r="B530" s="24" t="s">
        <v>20</v>
      </c>
      <c r="C530" s="24" t="s">
        <v>54</v>
      </c>
      <c r="D530" s="24" t="s">
        <v>2</v>
      </c>
      <c r="E530" s="24" t="s">
        <v>1</v>
      </c>
      <c r="F530" s="5" t="s">
        <v>570</v>
      </c>
      <c r="G530" s="2" t="s">
        <v>174</v>
      </c>
      <c r="H530" s="2" t="s">
        <v>23</v>
      </c>
      <c r="I530" s="24" t="s">
        <v>908</v>
      </c>
      <c r="J530" s="24" t="s">
        <v>908</v>
      </c>
      <c r="K530" s="24" t="s">
        <v>908</v>
      </c>
      <c r="M530" s="24" t="s">
        <v>908</v>
      </c>
      <c r="N530" s="24"/>
      <c r="P530" s="1" t="str">
        <f t="shared" si="16"/>
        <v>71402001</v>
      </c>
      <c r="Q530" s="263" t="str">
        <f t="shared" si="17"/>
        <v>PM - Provision for Replacement Uniform</v>
      </c>
    </row>
    <row r="531" spans="1:17" hidden="1" x14ac:dyDescent="0.25">
      <c r="A531" s="20" t="s">
        <v>317</v>
      </c>
      <c r="B531" s="20" t="s">
        <v>20</v>
      </c>
      <c r="C531" s="20" t="s">
        <v>54</v>
      </c>
      <c r="D531" s="21" t="s">
        <v>4</v>
      </c>
      <c r="E531" s="20"/>
      <c r="F531" s="22" t="s">
        <v>433</v>
      </c>
      <c r="G531" s="23" t="s">
        <v>174</v>
      </c>
      <c r="H531" s="23" t="s">
        <v>23</v>
      </c>
      <c r="I531" s="23" t="s">
        <v>907</v>
      </c>
      <c r="J531" s="23" t="s">
        <v>907</v>
      </c>
      <c r="K531" s="23" t="s">
        <v>907</v>
      </c>
      <c r="M531" s="23" t="s">
        <v>907</v>
      </c>
      <c r="N531" s="23"/>
      <c r="Q531" s="263"/>
    </row>
    <row r="532" spans="1:17" x14ac:dyDescent="0.25">
      <c r="A532" s="24" t="s">
        <v>317</v>
      </c>
      <c r="B532" s="24" t="s">
        <v>20</v>
      </c>
      <c r="C532" s="24" t="s">
        <v>54</v>
      </c>
      <c r="D532" s="24" t="s">
        <v>4</v>
      </c>
      <c r="E532" s="2" t="s">
        <v>1</v>
      </c>
      <c r="F532" s="5" t="s">
        <v>434</v>
      </c>
      <c r="G532" s="2" t="s">
        <v>174</v>
      </c>
      <c r="H532" s="2" t="s">
        <v>23</v>
      </c>
      <c r="I532" s="24" t="s">
        <v>908</v>
      </c>
      <c r="J532" s="24" t="s">
        <v>908</v>
      </c>
      <c r="K532" s="24" t="s">
        <v>908</v>
      </c>
      <c r="M532" s="24" t="s">
        <v>908</v>
      </c>
      <c r="N532" s="24"/>
      <c r="P532" s="1" t="str">
        <f t="shared" si="16"/>
        <v>71403001</v>
      </c>
      <c r="Q532" s="263" t="str">
        <f t="shared" si="17"/>
        <v>EC - Electricity</v>
      </c>
    </row>
    <row r="533" spans="1:17" x14ac:dyDescent="0.25">
      <c r="A533" s="24" t="s">
        <v>317</v>
      </c>
      <c r="B533" s="24" t="s">
        <v>20</v>
      </c>
      <c r="C533" s="24" t="s">
        <v>54</v>
      </c>
      <c r="D533" s="24" t="s">
        <v>4</v>
      </c>
      <c r="E533" s="2" t="s">
        <v>3</v>
      </c>
      <c r="F533" s="5" t="s">
        <v>435</v>
      </c>
      <c r="G533" s="2" t="s">
        <v>174</v>
      </c>
      <c r="H533" s="2" t="s">
        <v>23</v>
      </c>
      <c r="I533" s="24" t="s">
        <v>908</v>
      </c>
      <c r="J533" s="24" t="s">
        <v>908</v>
      </c>
      <c r="K533" s="24" t="s">
        <v>908</v>
      </c>
      <c r="M533" s="24" t="s">
        <v>908</v>
      </c>
      <c r="N533" s="24"/>
      <c r="P533" s="1" t="str">
        <f t="shared" si="16"/>
        <v>71403002</v>
      </c>
      <c r="Q533" s="263" t="str">
        <f t="shared" si="17"/>
        <v>EC - Fuel</v>
      </c>
    </row>
    <row r="534" spans="1:17" x14ac:dyDescent="0.25">
      <c r="A534" s="24" t="s">
        <v>317</v>
      </c>
      <c r="B534" s="24" t="s">
        <v>20</v>
      </c>
      <c r="C534" s="24" t="s">
        <v>54</v>
      </c>
      <c r="D534" s="24" t="s">
        <v>4</v>
      </c>
      <c r="E534" s="2" t="s">
        <v>5</v>
      </c>
      <c r="F534" s="5" t="s">
        <v>436</v>
      </c>
      <c r="G534" s="2" t="s">
        <v>174</v>
      </c>
      <c r="H534" s="2" t="s">
        <v>23</v>
      </c>
      <c r="I534" s="24" t="s">
        <v>908</v>
      </c>
      <c r="J534" s="24" t="s">
        <v>908</v>
      </c>
      <c r="K534" s="24" t="s">
        <v>908</v>
      </c>
      <c r="M534" s="24" t="s">
        <v>908</v>
      </c>
      <c r="N534" s="24"/>
      <c r="P534" s="1" t="str">
        <f t="shared" si="16"/>
        <v>71403003</v>
      </c>
      <c r="Q534" s="263" t="str">
        <f t="shared" si="17"/>
        <v>EC - Water and Sewage</v>
      </c>
    </row>
    <row r="535" spans="1:17" x14ac:dyDescent="0.25">
      <c r="A535" s="24" t="s">
        <v>317</v>
      </c>
      <c r="B535" s="24" t="s">
        <v>20</v>
      </c>
      <c r="C535" s="24" t="s">
        <v>54</v>
      </c>
      <c r="D535" s="24" t="s">
        <v>4</v>
      </c>
      <c r="E535" s="2" t="s">
        <v>7</v>
      </c>
      <c r="F535" s="5" t="s">
        <v>869</v>
      </c>
      <c r="G535" s="2" t="s">
        <v>174</v>
      </c>
      <c r="H535" s="2" t="s">
        <v>23</v>
      </c>
      <c r="I535" s="2" t="s">
        <v>910</v>
      </c>
      <c r="J535" s="2" t="s">
        <v>910</v>
      </c>
      <c r="K535" s="2" t="s">
        <v>910</v>
      </c>
      <c r="M535" s="2" t="s">
        <v>907</v>
      </c>
      <c r="N535" s="24"/>
      <c r="P535" s="1" t="str">
        <f t="shared" si="16"/>
        <v>71403004</v>
      </c>
      <c r="Q535" s="263" t="str">
        <f t="shared" si="17"/>
        <v>EC - Utilities Space Rented</v>
      </c>
    </row>
    <row r="536" spans="1:17" hidden="1" x14ac:dyDescent="0.25">
      <c r="A536" s="16" t="s">
        <v>317</v>
      </c>
      <c r="B536" s="16" t="s">
        <v>20</v>
      </c>
      <c r="C536" s="16" t="s">
        <v>58</v>
      </c>
      <c r="D536" s="16"/>
      <c r="E536" s="16"/>
      <c r="F536" s="18" t="s">
        <v>437</v>
      </c>
      <c r="G536" s="19" t="s">
        <v>174</v>
      </c>
      <c r="H536" s="19" t="s">
        <v>23</v>
      </c>
      <c r="I536" s="19" t="s">
        <v>907</v>
      </c>
      <c r="J536" s="19" t="s">
        <v>907</v>
      </c>
      <c r="K536" s="19" t="s">
        <v>907</v>
      </c>
      <c r="M536" s="19" t="s">
        <v>907</v>
      </c>
      <c r="N536" s="19"/>
      <c r="Q536" s="263"/>
    </row>
    <row r="537" spans="1:17" hidden="1" x14ac:dyDescent="0.25">
      <c r="A537" s="20" t="s">
        <v>317</v>
      </c>
      <c r="B537" s="20" t="s">
        <v>20</v>
      </c>
      <c r="C537" s="20" t="s">
        <v>58</v>
      </c>
      <c r="D537" s="21" t="s">
        <v>0</v>
      </c>
      <c r="E537" s="20"/>
      <c r="F537" s="22" t="s">
        <v>572</v>
      </c>
      <c r="G537" s="23" t="s">
        <v>174</v>
      </c>
      <c r="H537" s="23" t="s">
        <v>23</v>
      </c>
      <c r="I537" s="23" t="s">
        <v>907</v>
      </c>
      <c r="J537" s="23" t="s">
        <v>907</v>
      </c>
      <c r="K537" s="23" t="s">
        <v>907</v>
      </c>
      <c r="M537" s="23" t="s">
        <v>907</v>
      </c>
      <c r="N537" s="23"/>
      <c r="Q537" s="263"/>
    </row>
    <row r="538" spans="1:17" x14ac:dyDescent="0.25">
      <c r="A538" s="24" t="s">
        <v>317</v>
      </c>
      <c r="B538" s="24" t="s">
        <v>20</v>
      </c>
      <c r="C538" s="24" t="s">
        <v>58</v>
      </c>
      <c r="D538" s="24" t="s">
        <v>0</v>
      </c>
      <c r="E538" s="24" t="s">
        <v>1</v>
      </c>
      <c r="F538" s="5" t="s">
        <v>438</v>
      </c>
      <c r="G538" s="2" t="s">
        <v>174</v>
      </c>
      <c r="H538" s="2" t="s">
        <v>23</v>
      </c>
      <c r="I538" s="24" t="s">
        <v>908</v>
      </c>
      <c r="J538" s="24" t="s">
        <v>908</v>
      </c>
      <c r="K538" s="24" t="s">
        <v>908</v>
      </c>
      <c r="M538" s="24" t="s">
        <v>908</v>
      </c>
      <c r="N538" s="24"/>
      <c r="P538" s="1" t="str">
        <f t="shared" si="16"/>
        <v>71501001</v>
      </c>
      <c r="Q538" s="263" t="str">
        <f t="shared" si="17"/>
        <v>SM - Advertising</v>
      </c>
    </row>
    <row r="539" spans="1:17" x14ac:dyDescent="0.25">
      <c r="A539" s="24" t="s">
        <v>317</v>
      </c>
      <c r="B539" s="24" t="s">
        <v>20</v>
      </c>
      <c r="C539" s="24" t="s">
        <v>58</v>
      </c>
      <c r="D539" s="24" t="s">
        <v>0</v>
      </c>
      <c r="E539" s="24" t="s">
        <v>3</v>
      </c>
      <c r="F539" s="5" t="s">
        <v>439</v>
      </c>
      <c r="G539" s="2" t="s">
        <v>174</v>
      </c>
      <c r="H539" s="2" t="s">
        <v>23</v>
      </c>
      <c r="I539" s="24" t="s">
        <v>908</v>
      </c>
      <c r="J539" s="24" t="s">
        <v>908</v>
      </c>
      <c r="K539" s="24" t="s">
        <v>908</v>
      </c>
      <c r="M539" s="24" t="s">
        <v>908</v>
      </c>
      <c r="N539" s="24"/>
      <c r="P539" s="1" t="str">
        <f t="shared" si="16"/>
        <v>71501002</v>
      </c>
      <c r="Q539" s="263" t="str">
        <f t="shared" si="17"/>
        <v>SM - Complimentary Guest</v>
      </c>
    </row>
    <row r="540" spans="1:17" x14ac:dyDescent="0.25">
      <c r="A540" s="24" t="s">
        <v>317</v>
      </c>
      <c r="B540" s="24" t="s">
        <v>20</v>
      </c>
      <c r="C540" s="24" t="s">
        <v>58</v>
      </c>
      <c r="D540" s="24" t="s">
        <v>0</v>
      </c>
      <c r="E540" s="24" t="s">
        <v>5</v>
      </c>
      <c r="F540" s="5" t="s">
        <v>440</v>
      </c>
      <c r="G540" s="2" t="s">
        <v>174</v>
      </c>
      <c r="H540" s="2" t="s">
        <v>23</v>
      </c>
      <c r="I540" s="24" t="s">
        <v>908</v>
      </c>
      <c r="J540" s="24" t="s">
        <v>908</v>
      </c>
      <c r="K540" s="24" t="s">
        <v>908</v>
      </c>
      <c r="M540" s="24" t="s">
        <v>908</v>
      </c>
      <c r="N540" s="24"/>
      <c r="P540" s="1" t="str">
        <f t="shared" si="16"/>
        <v>71501003</v>
      </c>
      <c r="Q540" s="263" t="str">
        <f t="shared" si="17"/>
        <v>SM - Corporate Support Services</v>
      </c>
    </row>
    <row r="541" spans="1:17" x14ac:dyDescent="0.25">
      <c r="A541" s="24" t="s">
        <v>317</v>
      </c>
      <c r="B541" s="24" t="s">
        <v>20</v>
      </c>
      <c r="C541" s="24" t="s">
        <v>58</v>
      </c>
      <c r="D541" s="24" t="s">
        <v>0</v>
      </c>
      <c r="E541" s="24" t="s">
        <v>7</v>
      </c>
      <c r="F541" s="5" t="s">
        <v>441</v>
      </c>
      <c r="G541" s="2" t="s">
        <v>174</v>
      </c>
      <c r="H541" s="2" t="s">
        <v>23</v>
      </c>
      <c r="I541" s="24" t="s">
        <v>908</v>
      </c>
      <c r="J541" s="24" t="s">
        <v>908</v>
      </c>
      <c r="K541" s="24" t="s">
        <v>908</v>
      </c>
      <c r="M541" s="24" t="s">
        <v>908</v>
      </c>
      <c r="N541" s="24"/>
      <c r="P541" s="1" t="str">
        <f t="shared" si="16"/>
        <v>71501004</v>
      </c>
      <c r="Q541" s="263" t="str">
        <f t="shared" si="17"/>
        <v>SM - Direct Mail</v>
      </c>
    </row>
    <row r="542" spans="1:17" x14ac:dyDescent="0.25">
      <c r="A542" s="24" t="s">
        <v>317</v>
      </c>
      <c r="B542" s="24" t="s">
        <v>20</v>
      </c>
      <c r="C542" s="24" t="s">
        <v>58</v>
      </c>
      <c r="D542" s="24" t="s">
        <v>0</v>
      </c>
      <c r="E542" s="24" t="s">
        <v>9</v>
      </c>
      <c r="F542" s="5" t="s">
        <v>442</v>
      </c>
      <c r="G542" s="2" t="s">
        <v>174</v>
      </c>
      <c r="H542" s="2" t="s">
        <v>23</v>
      </c>
      <c r="I542" s="24" t="s">
        <v>908</v>
      </c>
      <c r="J542" s="24" t="s">
        <v>908</v>
      </c>
      <c r="K542" s="24" t="s">
        <v>908</v>
      </c>
      <c r="M542" s="24" t="s">
        <v>908</v>
      </c>
      <c r="N542" s="24"/>
      <c r="P542" s="1" t="str">
        <f t="shared" si="16"/>
        <v>71501005</v>
      </c>
      <c r="Q542" s="263" t="str">
        <f t="shared" si="17"/>
        <v>SM - Due &amp; Subscription</v>
      </c>
    </row>
    <row r="543" spans="1:17" x14ac:dyDescent="0.25">
      <c r="A543" s="24" t="s">
        <v>317</v>
      </c>
      <c r="B543" s="24" t="s">
        <v>20</v>
      </c>
      <c r="C543" s="24" t="s">
        <v>58</v>
      </c>
      <c r="D543" s="24" t="s">
        <v>0</v>
      </c>
      <c r="E543" s="24" t="s">
        <v>10</v>
      </c>
      <c r="F543" s="5" t="s">
        <v>443</v>
      </c>
      <c r="G543" s="2" t="s">
        <v>174</v>
      </c>
      <c r="H543" s="2" t="s">
        <v>23</v>
      </c>
      <c r="I543" s="24" t="s">
        <v>908</v>
      </c>
      <c r="J543" s="24" t="s">
        <v>908</v>
      </c>
      <c r="K543" s="24" t="s">
        <v>908</v>
      </c>
      <c r="M543" s="24" t="s">
        <v>908</v>
      </c>
      <c r="N543" s="24"/>
      <c r="P543" s="1" t="str">
        <f t="shared" si="16"/>
        <v>71501006</v>
      </c>
      <c r="Q543" s="263" t="str">
        <f t="shared" si="17"/>
        <v>SM - Entertainment</v>
      </c>
    </row>
    <row r="544" spans="1:17" x14ac:dyDescent="0.25">
      <c r="A544" s="24" t="s">
        <v>317</v>
      </c>
      <c r="B544" s="24" t="s">
        <v>20</v>
      </c>
      <c r="C544" s="24" t="s">
        <v>58</v>
      </c>
      <c r="D544" s="24" t="s">
        <v>0</v>
      </c>
      <c r="E544" s="24" t="s">
        <v>11</v>
      </c>
      <c r="F544" s="5" t="s">
        <v>870</v>
      </c>
      <c r="G544" s="2" t="s">
        <v>174</v>
      </c>
      <c r="H544" s="2" t="s">
        <v>23</v>
      </c>
      <c r="I544" s="24" t="s">
        <v>908</v>
      </c>
      <c r="J544" s="24" t="s">
        <v>908</v>
      </c>
      <c r="K544" s="24" t="s">
        <v>908</v>
      </c>
      <c r="M544" s="24" t="s">
        <v>908</v>
      </c>
      <c r="N544" s="24"/>
      <c r="P544" s="1" t="str">
        <f t="shared" si="16"/>
        <v>71501007</v>
      </c>
      <c r="Q544" s="263" t="str">
        <f t="shared" si="17"/>
        <v>SM - Trade Show &amp; Publication</v>
      </c>
    </row>
    <row r="545" spans="1:17" x14ac:dyDescent="0.25">
      <c r="A545" s="24" t="s">
        <v>317</v>
      </c>
      <c r="B545" s="24" t="s">
        <v>20</v>
      </c>
      <c r="C545" s="24" t="s">
        <v>58</v>
      </c>
      <c r="D545" s="24" t="s">
        <v>0</v>
      </c>
      <c r="E545" s="24" t="s">
        <v>13</v>
      </c>
      <c r="F545" s="5" t="s">
        <v>444</v>
      </c>
      <c r="G545" s="2" t="s">
        <v>174</v>
      </c>
      <c r="H545" s="2" t="s">
        <v>23</v>
      </c>
      <c r="I545" s="24" t="s">
        <v>908</v>
      </c>
      <c r="J545" s="24" t="s">
        <v>908</v>
      </c>
      <c r="K545" s="24" t="s">
        <v>908</v>
      </c>
      <c r="M545" s="24" t="s">
        <v>908</v>
      </c>
      <c r="N545" s="24"/>
      <c r="P545" s="1" t="str">
        <f t="shared" si="16"/>
        <v>71501008</v>
      </c>
      <c r="Q545" s="263" t="str">
        <f t="shared" si="17"/>
        <v>SM - In House Graphic</v>
      </c>
    </row>
    <row r="546" spans="1:17" x14ac:dyDescent="0.25">
      <c r="A546" s="24" t="s">
        <v>317</v>
      </c>
      <c r="B546" s="24" t="s">
        <v>20</v>
      </c>
      <c r="C546" s="24" t="s">
        <v>58</v>
      </c>
      <c r="D546" s="24" t="s">
        <v>0</v>
      </c>
      <c r="E546" s="24" t="s">
        <v>15</v>
      </c>
      <c r="F546" s="5" t="s">
        <v>445</v>
      </c>
      <c r="G546" s="2" t="s">
        <v>174</v>
      </c>
      <c r="H546" s="2" t="s">
        <v>23</v>
      </c>
      <c r="I546" s="24" t="s">
        <v>908</v>
      </c>
      <c r="J546" s="24" t="s">
        <v>908</v>
      </c>
      <c r="K546" s="24" t="s">
        <v>908</v>
      </c>
      <c r="M546" s="24" t="s">
        <v>908</v>
      </c>
      <c r="N546" s="24"/>
      <c r="P546" s="1" t="str">
        <f t="shared" si="16"/>
        <v>71501009</v>
      </c>
      <c r="Q546" s="263" t="str">
        <f t="shared" si="17"/>
        <v>SM - Internet</v>
      </c>
    </row>
    <row r="547" spans="1:17" x14ac:dyDescent="0.25">
      <c r="A547" s="24" t="s">
        <v>317</v>
      </c>
      <c r="B547" s="24" t="s">
        <v>20</v>
      </c>
      <c r="C547" s="24" t="s">
        <v>58</v>
      </c>
      <c r="D547" s="24" t="s">
        <v>0</v>
      </c>
      <c r="E547" s="24" t="s">
        <v>238</v>
      </c>
      <c r="F547" s="5" t="s">
        <v>446</v>
      </c>
      <c r="G547" s="2" t="s">
        <v>174</v>
      </c>
      <c r="H547" s="2" t="s">
        <v>23</v>
      </c>
      <c r="I547" s="24" t="s">
        <v>908</v>
      </c>
      <c r="J547" s="24" t="s">
        <v>908</v>
      </c>
      <c r="K547" s="24" t="s">
        <v>908</v>
      </c>
      <c r="M547" s="24" t="s">
        <v>908</v>
      </c>
      <c r="N547" s="24"/>
      <c r="P547" s="1" t="str">
        <f t="shared" si="16"/>
        <v>71501010</v>
      </c>
      <c r="Q547" s="263" t="str">
        <f t="shared" si="17"/>
        <v>SM - IT Maintenance</v>
      </c>
    </row>
    <row r="548" spans="1:17" x14ac:dyDescent="0.25">
      <c r="A548" s="24" t="s">
        <v>317</v>
      </c>
      <c r="B548" s="24" t="s">
        <v>20</v>
      </c>
      <c r="C548" s="24" t="s">
        <v>58</v>
      </c>
      <c r="D548" s="24" t="s">
        <v>0</v>
      </c>
      <c r="E548" s="24" t="s">
        <v>240</v>
      </c>
      <c r="F548" s="5" t="s">
        <v>871</v>
      </c>
      <c r="G548" s="2" t="s">
        <v>174</v>
      </c>
      <c r="H548" s="2" t="s">
        <v>23</v>
      </c>
      <c r="I548" s="24" t="s">
        <v>908</v>
      </c>
      <c r="J548" s="24" t="s">
        <v>908</v>
      </c>
      <c r="K548" s="24" t="s">
        <v>908</v>
      </c>
      <c r="M548" s="24" t="s">
        <v>908</v>
      </c>
      <c r="N548" s="24"/>
      <c r="P548" s="1" t="str">
        <f t="shared" si="16"/>
        <v>71501011</v>
      </c>
      <c r="Q548" s="263" t="str">
        <f t="shared" si="17"/>
        <v>SM - Meeting</v>
      </c>
    </row>
    <row r="549" spans="1:17" x14ac:dyDescent="0.25">
      <c r="A549" s="24" t="s">
        <v>317</v>
      </c>
      <c r="B549" s="24" t="s">
        <v>20</v>
      </c>
      <c r="C549" s="24" t="s">
        <v>58</v>
      </c>
      <c r="D549" s="24" t="s">
        <v>0</v>
      </c>
      <c r="E549" s="24" t="s">
        <v>331</v>
      </c>
      <c r="F549" s="5" t="s">
        <v>447</v>
      </c>
      <c r="G549" s="2" t="s">
        <v>174</v>
      </c>
      <c r="H549" s="2" t="s">
        <v>23</v>
      </c>
      <c r="I549" s="24" t="s">
        <v>908</v>
      </c>
      <c r="J549" s="24" t="s">
        <v>908</v>
      </c>
      <c r="K549" s="24" t="s">
        <v>908</v>
      </c>
      <c r="M549" s="24" t="s">
        <v>908</v>
      </c>
      <c r="N549" s="24"/>
      <c r="P549" s="1" t="str">
        <f t="shared" si="16"/>
        <v>71501012</v>
      </c>
      <c r="Q549" s="263" t="str">
        <f t="shared" si="17"/>
        <v>SM - Outdoor Advertising &amp; Print</v>
      </c>
    </row>
    <row r="550" spans="1:17" x14ac:dyDescent="0.25">
      <c r="A550" s="24" t="s">
        <v>317</v>
      </c>
      <c r="B550" s="24" t="s">
        <v>20</v>
      </c>
      <c r="C550" s="24" t="s">
        <v>58</v>
      </c>
      <c r="D550" s="24" t="s">
        <v>0</v>
      </c>
      <c r="E550" s="24" t="s">
        <v>333</v>
      </c>
      <c r="F550" s="5" t="s">
        <v>448</v>
      </c>
      <c r="G550" s="2" t="s">
        <v>174</v>
      </c>
      <c r="H550" s="2" t="s">
        <v>23</v>
      </c>
      <c r="I550" s="24" t="s">
        <v>908</v>
      </c>
      <c r="J550" s="24" t="s">
        <v>908</v>
      </c>
      <c r="K550" s="24" t="s">
        <v>908</v>
      </c>
      <c r="M550" s="24" t="s">
        <v>908</v>
      </c>
      <c r="N550" s="24"/>
      <c r="P550" s="1" t="str">
        <f t="shared" si="16"/>
        <v>71501013</v>
      </c>
      <c r="Q550" s="263" t="str">
        <f t="shared" si="17"/>
        <v>SM - Postage &amp; Stamp Duty</v>
      </c>
    </row>
    <row r="551" spans="1:17" x14ac:dyDescent="0.25">
      <c r="A551" s="24" t="s">
        <v>317</v>
      </c>
      <c r="B551" s="24" t="s">
        <v>20</v>
      </c>
      <c r="C551" s="24" t="s">
        <v>58</v>
      </c>
      <c r="D551" s="24" t="s">
        <v>0</v>
      </c>
      <c r="E551" s="24" t="s">
        <v>335</v>
      </c>
      <c r="F551" s="5" t="s">
        <v>449</v>
      </c>
      <c r="G551" s="2" t="s">
        <v>174</v>
      </c>
      <c r="H551" s="2" t="s">
        <v>23</v>
      </c>
      <c r="I551" s="24" t="s">
        <v>908</v>
      </c>
      <c r="J551" s="24" t="s">
        <v>908</v>
      </c>
      <c r="K551" s="24" t="s">
        <v>908</v>
      </c>
      <c r="M551" s="24" t="s">
        <v>908</v>
      </c>
      <c r="N551" s="24"/>
      <c r="P551" s="1" t="str">
        <f t="shared" si="16"/>
        <v>71501014</v>
      </c>
      <c r="Q551" s="263" t="str">
        <f t="shared" si="17"/>
        <v>SM - Printing &amp; Stationary</v>
      </c>
    </row>
    <row r="552" spans="1:17" x14ac:dyDescent="0.25">
      <c r="A552" s="24" t="s">
        <v>317</v>
      </c>
      <c r="B552" s="24" t="s">
        <v>20</v>
      </c>
      <c r="C552" s="24" t="s">
        <v>58</v>
      </c>
      <c r="D552" s="24" t="s">
        <v>0</v>
      </c>
      <c r="E552" s="24" t="s">
        <v>337</v>
      </c>
      <c r="F552" s="5" t="s">
        <v>450</v>
      </c>
      <c r="G552" s="2" t="s">
        <v>174</v>
      </c>
      <c r="H552" s="2" t="s">
        <v>23</v>
      </c>
      <c r="I552" s="24" t="s">
        <v>908</v>
      </c>
      <c r="J552" s="24" t="s">
        <v>908</v>
      </c>
      <c r="K552" s="24" t="s">
        <v>908</v>
      </c>
      <c r="M552" s="24" t="s">
        <v>908</v>
      </c>
      <c r="N552" s="24"/>
      <c r="P552" s="1" t="str">
        <f t="shared" si="16"/>
        <v>71501015</v>
      </c>
      <c r="Q552" s="263" t="str">
        <f t="shared" si="17"/>
        <v>SM - Promotional Supplies</v>
      </c>
    </row>
    <row r="553" spans="1:17" x14ac:dyDescent="0.25">
      <c r="A553" s="24" t="s">
        <v>317</v>
      </c>
      <c r="B553" s="24" t="s">
        <v>20</v>
      </c>
      <c r="C553" s="24" t="s">
        <v>58</v>
      </c>
      <c r="D553" s="24" t="s">
        <v>0</v>
      </c>
      <c r="E553" s="24" t="s">
        <v>339</v>
      </c>
      <c r="F553" s="5" t="s">
        <v>451</v>
      </c>
      <c r="G553" s="2" t="s">
        <v>174</v>
      </c>
      <c r="H553" s="2" t="s">
        <v>23</v>
      </c>
      <c r="I553" s="24" t="s">
        <v>908</v>
      </c>
      <c r="J553" s="24" t="s">
        <v>908</v>
      </c>
      <c r="K553" s="24" t="s">
        <v>908</v>
      </c>
      <c r="M553" s="24" t="s">
        <v>908</v>
      </c>
      <c r="N553" s="24"/>
      <c r="P553" s="1" t="str">
        <f t="shared" si="16"/>
        <v>71501016</v>
      </c>
      <c r="Q553" s="263" t="str">
        <f t="shared" si="17"/>
        <v>SM - Telephone &amp; Fax</v>
      </c>
    </row>
    <row r="554" spans="1:17" x14ac:dyDescent="0.25">
      <c r="A554" s="24" t="s">
        <v>317</v>
      </c>
      <c r="B554" s="24" t="s">
        <v>20</v>
      </c>
      <c r="C554" s="24" t="s">
        <v>58</v>
      </c>
      <c r="D554" s="24" t="s">
        <v>0</v>
      </c>
      <c r="E554" s="24" t="s">
        <v>341</v>
      </c>
      <c r="F554" s="5" t="s">
        <v>452</v>
      </c>
      <c r="G554" s="2" t="s">
        <v>174</v>
      </c>
      <c r="H554" s="2" t="s">
        <v>23</v>
      </c>
      <c r="I554" s="24" t="s">
        <v>908</v>
      </c>
      <c r="J554" s="24" t="s">
        <v>908</v>
      </c>
      <c r="K554" s="24" t="s">
        <v>908</v>
      </c>
      <c r="M554" s="24" t="s">
        <v>908</v>
      </c>
      <c r="N554" s="24"/>
      <c r="P554" s="1" t="str">
        <f t="shared" si="16"/>
        <v>71501017</v>
      </c>
      <c r="Q554" s="263" t="str">
        <f t="shared" si="17"/>
        <v>SM - Training</v>
      </c>
    </row>
    <row r="555" spans="1:17" x14ac:dyDescent="0.25">
      <c r="A555" s="24" t="s">
        <v>317</v>
      </c>
      <c r="B555" s="24" t="s">
        <v>20</v>
      </c>
      <c r="C555" s="24" t="s">
        <v>58</v>
      </c>
      <c r="D555" s="24" t="s">
        <v>0</v>
      </c>
      <c r="E555" s="24" t="s">
        <v>343</v>
      </c>
      <c r="F555" s="5" t="s">
        <v>872</v>
      </c>
      <c r="G555" s="2" t="s">
        <v>174</v>
      </c>
      <c r="H555" s="2" t="s">
        <v>23</v>
      </c>
      <c r="I555" s="24" t="s">
        <v>908</v>
      </c>
      <c r="J555" s="24" t="s">
        <v>908</v>
      </c>
      <c r="K555" s="24" t="s">
        <v>908</v>
      </c>
      <c r="M555" s="24" t="s">
        <v>908</v>
      </c>
      <c r="N555" s="24"/>
      <c r="P555" s="1" t="str">
        <f t="shared" si="16"/>
        <v>71501018</v>
      </c>
      <c r="Q555" s="263" t="str">
        <f t="shared" si="17"/>
        <v>SM - Traveling</v>
      </c>
    </row>
    <row r="556" spans="1:17" x14ac:dyDescent="0.25">
      <c r="A556" s="24" t="s">
        <v>317</v>
      </c>
      <c r="B556" s="24" t="s">
        <v>20</v>
      </c>
      <c r="C556" s="24" t="s">
        <v>58</v>
      </c>
      <c r="D556" s="24" t="s">
        <v>0</v>
      </c>
      <c r="E556" s="24" t="s">
        <v>344</v>
      </c>
      <c r="F556" s="5" t="s">
        <v>453</v>
      </c>
      <c r="G556" s="2" t="s">
        <v>174</v>
      </c>
      <c r="H556" s="2" t="s">
        <v>23</v>
      </c>
      <c r="I556" s="24" t="s">
        <v>908</v>
      </c>
      <c r="J556" s="24" t="s">
        <v>908</v>
      </c>
      <c r="K556" s="24" t="s">
        <v>908</v>
      </c>
      <c r="M556" s="24" t="s">
        <v>908</v>
      </c>
      <c r="N556" s="24"/>
      <c r="P556" s="1" t="str">
        <f t="shared" si="16"/>
        <v>71501019</v>
      </c>
      <c r="Q556" s="263" t="str">
        <f t="shared" si="17"/>
        <v>SM - Uniform Laundry</v>
      </c>
    </row>
    <row r="557" spans="1:17" x14ac:dyDescent="0.25">
      <c r="A557" s="24" t="s">
        <v>317</v>
      </c>
      <c r="B557" s="24" t="s">
        <v>20</v>
      </c>
      <c r="C557" s="24" t="s">
        <v>58</v>
      </c>
      <c r="D557" s="24" t="s">
        <v>0</v>
      </c>
      <c r="E557" s="24" t="s">
        <v>346</v>
      </c>
      <c r="F557" s="5" t="s">
        <v>454</v>
      </c>
      <c r="G557" s="24" t="s">
        <v>174</v>
      </c>
      <c r="H557" s="2" t="s">
        <v>23</v>
      </c>
      <c r="I557" s="24" t="s">
        <v>908</v>
      </c>
      <c r="J557" s="24" t="s">
        <v>908</v>
      </c>
      <c r="K557" s="24" t="s">
        <v>908</v>
      </c>
      <c r="M557" s="24" t="s">
        <v>908</v>
      </c>
      <c r="N557" s="24"/>
      <c r="P557" s="1" t="str">
        <f t="shared" si="16"/>
        <v>71501020</v>
      </c>
      <c r="Q557" s="263" t="str">
        <f t="shared" si="17"/>
        <v>SM - Non Capitalized Asset</v>
      </c>
    </row>
    <row r="558" spans="1:17" x14ac:dyDescent="0.25">
      <c r="A558" s="24" t="s">
        <v>317</v>
      </c>
      <c r="B558" s="24" t="s">
        <v>20</v>
      </c>
      <c r="C558" s="24" t="s">
        <v>58</v>
      </c>
      <c r="D558" s="24" t="s">
        <v>0</v>
      </c>
      <c r="E558" s="24" t="s">
        <v>348</v>
      </c>
      <c r="F558" s="5" t="s">
        <v>873</v>
      </c>
      <c r="G558" s="24" t="s">
        <v>174</v>
      </c>
      <c r="H558" s="2" t="s">
        <v>23</v>
      </c>
      <c r="I558" s="24" t="s">
        <v>908</v>
      </c>
      <c r="J558" s="24" t="s">
        <v>908</v>
      </c>
      <c r="K558" s="24" t="s">
        <v>908</v>
      </c>
      <c r="M558" s="24" t="s">
        <v>908</v>
      </c>
      <c r="N558" s="24"/>
      <c r="P558" s="1" t="str">
        <f t="shared" si="16"/>
        <v>71501021</v>
      </c>
      <c r="Q558" s="263" t="str">
        <f t="shared" si="17"/>
        <v>SM - Transportation</v>
      </c>
    </row>
    <row r="559" spans="1:17" x14ac:dyDescent="0.25">
      <c r="A559" s="24" t="s">
        <v>317</v>
      </c>
      <c r="B559" s="24" t="s">
        <v>20</v>
      </c>
      <c r="C559" s="24" t="s">
        <v>58</v>
      </c>
      <c r="D559" s="24" t="s">
        <v>0</v>
      </c>
      <c r="E559" s="24" t="s">
        <v>350</v>
      </c>
      <c r="F559" s="5" t="s">
        <v>874</v>
      </c>
      <c r="G559" s="24" t="s">
        <v>174</v>
      </c>
      <c r="H559" s="2" t="s">
        <v>23</v>
      </c>
      <c r="I559" s="24" t="s">
        <v>908</v>
      </c>
      <c r="J559" s="24" t="s">
        <v>908</v>
      </c>
      <c r="K559" s="24" t="s">
        <v>908</v>
      </c>
      <c r="M559" s="24" t="s">
        <v>908</v>
      </c>
      <c r="N559" s="24"/>
      <c r="P559" s="1" t="str">
        <f t="shared" si="16"/>
        <v>71501022</v>
      </c>
      <c r="Q559" s="263" t="str">
        <f t="shared" si="17"/>
        <v>SM - Production Fee</v>
      </c>
    </row>
    <row r="560" spans="1:17" x14ac:dyDescent="0.25">
      <c r="A560" s="24" t="s">
        <v>317</v>
      </c>
      <c r="B560" s="24" t="s">
        <v>20</v>
      </c>
      <c r="C560" s="24" t="s">
        <v>58</v>
      </c>
      <c r="D560" s="24" t="s">
        <v>0</v>
      </c>
      <c r="E560" s="24" t="s">
        <v>43</v>
      </c>
      <c r="F560" s="5" t="s">
        <v>455</v>
      </c>
      <c r="G560" s="2" t="s">
        <v>174</v>
      </c>
      <c r="H560" s="2" t="s">
        <v>23</v>
      </c>
      <c r="I560" s="24" t="s">
        <v>908</v>
      </c>
      <c r="J560" s="24" t="s">
        <v>908</v>
      </c>
      <c r="K560" s="24" t="s">
        <v>908</v>
      </c>
      <c r="M560" s="24" t="s">
        <v>908</v>
      </c>
      <c r="N560" s="24"/>
      <c r="P560" s="1" t="str">
        <f t="shared" si="16"/>
        <v>71501999</v>
      </c>
      <c r="Q560" s="263" t="str">
        <f t="shared" si="17"/>
        <v>SM - Other Operating Expenses</v>
      </c>
    </row>
    <row r="561" spans="1:17" hidden="1" x14ac:dyDescent="0.25">
      <c r="A561" s="20" t="s">
        <v>317</v>
      </c>
      <c r="B561" s="20" t="s">
        <v>20</v>
      </c>
      <c r="C561" s="20" t="s">
        <v>58</v>
      </c>
      <c r="D561" s="20" t="s">
        <v>2</v>
      </c>
      <c r="E561" s="20"/>
      <c r="F561" s="22" t="s">
        <v>576</v>
      </c>
      <c r="G561" s="23" t="s">
        <v>174</v>
      </c>
      <c r="H561" s="23" t="s">
        <v>23</v>
      </c>
      <c r="I561" s="23" t="s">
        <v>907</v>
      </c>
      <c r="J561" s="23" t="s">
        <v>907</v>
      </c>
      <c r="K561" s="23" t="s">
        <v>907</v>
      </c>
      <c r="M561" s="23" t="s">
        <v>907</v>
      </c>
      <c r="N561" s="23"/>
      <c r="Q561" s="263"/>
    </row>
    <row r="562" spans="1:17" x14ac:dyDescent="0.25">
      <c r="A562" s="24" t="s">
        <v>317</v>
      </c>
      <c r="B562" s="24" t="s">
        <v>20</v>
      </c>
      <c r="C562" s="24" t="s">
        <v>58</v>
      </c>
      <c r="D562" s="24" t="s">
        <v>2</v>
      </c>
      <c r="E562" s="24" t="s">
        <v>1</v>
      </c>
      <c r="F562" s="5" t="s">
        <v>577</v>
      </c>
      <c r="G562" s="2" t="s">
        <v>174</v>
      </c>
      <c r="H562" s="2" t="s">
        <v>23</v>
      </c>
      <c r="I562" s="24" t="s">
        <v>908</v>
      </c>
      <c r="J562" s="24" t="s">
        <v>908</v>
      </c>
      <c r="K562" s="24" t="s">
        <v>908</v>
      </c>
      <c r="M562" s="24" t="s">
        <v>908</v>
      </c>
      <c r="N562" s="24"/>
      <c r="P562" s="1" t="str">
        <f t="shared" si="16"/>
        <v>71502001</v>
      </c>
      <c r="Q562" s="263" t="str">
        <f t="shared" si="17"/>
        <v>SM - Provision for Replacement Uniform</v>
      </c>
    </row>
    <row r="563" spans="1:17" hidden="1" x14ac:dyDescent="0.25">
      <c r="A563" s="16" t="s">
        <v>317</v>
      </c>
      <c r="B563" s="16" t="s">
        <v>20</v>
      </c>
      <c r="C563" s="16" t="s">
        <v>224</v>
      </c>
      <c r="D563" s="16"/>
      <c r="E563" s="16"/>
      <c r="F563" s="18" t="s">
        <v>456</v>
      </c>
      <c r="G563" s="19" t="s">
        <v>174</v>
      </c>
      <c r="H563" s="19" t="s">
        <v>23</v>
      </c>
      <c r="I563" s="19" t="s">
        <v>907</v>
      </c>
      <c r="J563" s="19" t="s">
        <v>907</v>
      </c>
      <c r="K563" s="19" t="s">
        <v>907</v>
      </c>
      <c r="M563" s="19" t="s">
        <v>907</v>
      </c>
      <c r="N563" s="19"/>
      <c r="Q563" s="263"/>
    </row>
    <row r="564" spans="1:17" hidden="1" x14ac:dyDescent="0.25">
      <c r="A564" s="20" t="s">
        <v>317</v>
      </c>
      <c r="B564" s="20" t="s">
        <v>20</v>
      </c>
      <c r="C564" s="20" t="s">
        <v>224</v>
      </c>
      <c r="D564" s="20" t="s">
        <v>0</v>
      </c>
      <c r="E564" s="20"/>
      <c r="F564" s="22" t="s">
        <v>573</v>
      </c>
      <c r="G564" s="23" t="s">
        <v>174</v>
      </c>
      <c r="H564" s="23" t="s">
        <v>23</v>
      </c>
      <c r="I564" s="23" t="s">
        <v>907</v>
      </c>
      <c r="J564" s="23" t="s">
        <v>907</v>
      </c>
      <c r="K564" s="23" t="s">
        <v>907</v>
      </c>
      <c r="M564" s="23" t="s">
        <v>907</v>
      </c>
      <c r="N564" s="23"/>
      <c r="Q564" s="263"/>
    </row>
    <row r="565" spans="1:17" x14ac:dyDescent="0.25">
      <c r="A565" s="24" t="s">
        <v>317</v>
      </c>
      <c r="B565" s="24" t="s">
        <v>20</v>
      </c>
      <c r="C565" s="24" t="s">
        <v>224</v>
      </c>
      <c r="D565" s="24" t="s">
        <v>0</v>
      </c>
      <c r="E565" s="24" t="s">
        <v>1</v>
      </c>
      <c r="F565" s="5" t="s">
        <v>457</v>
      </c>
      <c r="G565" s="2" t="s">
        <v>174</v>
      </c>
      <c r="H565" s="2" t="s">
        <v>23</v>
      </c>
      <c r="I565" s="24" t="s">
        <v>908</v>
      </c>
      <c r="J565" s="24" t="s">
        <v>908</v>
      </c>
      <c r="K565" s="24" t="s">
        <v>908</v>
      </c>
      <c r="M565" s="24" t="s">
        <v>908</v>
      </c>
      <c r="N565" s="24"/>
      <c r="P565" s="1" t="str">
        <f t="shared" si="16"/>
        <v>71601001</v>
      </c>
      <c r="Q565" s="263" t="str">
        <f t="shared" si="17"/>
        <v>AG - Cash Over Or Short</v>
      </c>
    </row>
    <row r="566" spans="1:17" x14ac:dyDescent="0.25">
      <c r="A566" s="24" t="s">
        <v>317</v>
      </c>
      <c r="B566" s="24" t="s">
        <v>20</v>
      </c>
      <c r="C566" s="24" t="s">
        <v>224</v>
      </c>
      <c r="D566" s="24" t="s">
        <v>0</v>
      </c>
      <c r="E566" s="24" t="s">
        <v>3</v>
      </c>
      <c r="F566" s="5" t="s">
        <v>458</v>
      </c>
      <c r="G566" s="2" t="s">
        <v>174</v>
      </c>
      <c r="H566" s="2" t="s">
        <v>23</v>
      </c>
      <c r="I566" s="24" t="s">
        <v>908</v>
      </c>
      <c r="J566" s="24" t="s">
        <v>908</v>
      </c>
      <c r="K566" s="24" t="s">
        <v>908</v>
      </c>
      <c r="M566" s="24" t="s">
        <v>908</v>
      </c>
      <c r="N566" s="24"/>
      <c r="P566" s="1" t="str">
        <f t="shared" si="16"/>
        <v>71601002</v>
      </c>
      <c r="Q566" s="263" t="str">
        <f t="shared" si="17"/>
        <v>AG - Corporate Support Services</v>
      </c>
    </row>
    <row r="567" spans="1:17" x14ac:dyDescent="0.25">
      <c r="A567" s="24" t="s">
        <v>317</v>
      </c>
      <c r="B567" s="24" t="s">
        <v>20</v>
      </c>
      <c r="C567" s="24" t="s">
        <v>224</v>
      </c>
      <c r="D567" s="24" t="s">
        <v>0</v>
      </c>
      <c r="E567" s="24" t="s">
        <v>5</v>
      </c>
      <c r="F567" s="5" t="s">
        <v>459</v>
      </c>
      <c r="G567" s="2" t="s">
        <v>174</v>
      </c>
      <c r="H567" s="2" t="s">
        <v>23</v>
      </c>
      <c r="I567" s="24" t="s">
        <v>908</v>
      </c>
      <c r="J567" s="24" t="s">
        <v>908</v>
      </c>
      <c r="K567" s="24" t="s">
        <v>908</v>
      </c>
      <c r="M567" s="24" t="s">
        <v>908</v>
      </c>
      <c r="N567" s="24"/>
      <c r="P567" s="1" t="str">
        <f t="shared" si="16"/>
        <v>71601003</v>
      </c>
      <c r="Q567" s="263" t="str">
        <f t="shared" si="17"/>
        <v>AG - Credit &amp; Collection</v>
      </c>
    </row>
    <row r="568" spans="1:17" x14ac:dyDescent="0.25">
      <c r="A568" s="24" t="s">
        <v>317</v>
      </c>
      <c r="B568" s="24" t="s">
        <v>20</v>
      </c>
      <c r="C568" s="24" t="s">
        <v>224</v>
      </c>
      <c r="D568" s="24" t="s">
        <v>0</v>
      </c>
      <c r="E568" s="24" t="s">
        <v>7</v>
      </c>
      <c r="F568" s="5" t="s">
        <v>460</v>
      </c>
      <c r="G568" s="2" t="s">
        <v>174</v>
      </c>
      <c r="H568" s="2" t="s">
        <v>23</v>
      </c>
      <c r="I568" s="24" t="s">
        <v>908</v>
      </c>
      <c r="J568" s="24" t="s">
        <v>908</v>
      </c>
      <c r="K568" s="24" t="s">
        <v>908</v>
      </c>
      <c r="M568" s="24" t="s">
        <v>908</v>
      </c>
      <c r="N568" s="24"/>
      <c r="P568" s="1" t="str">
        <f t="shared" si="16"/>
        <v>71601004</v>
      </c>
      <c r="Q568" s="263" t="str">
        <f t="shared" si="17"/>
        <v>AG - Donations</v>
      </c>
    </row>
    <row r="569" spans="1:17" x14ac:dyDescent="0.25">
      <c r="A569" s="24" t="s">
        <v>317</v>
      </c>
      <c r="B569" s="24" t="s">
        <v>20</v>
      </c>
      <c r="C569" s="24" t="s">
        <v>224</v>
      </c>
      <c r="D569" s="24" t="s">
        <v>0</v>
      </c>
      <c r="E569" s="24" t="s">
        <v>9</v>
      </c>
      <c r="F569" s="5" t="s">
        <v>461</v>
      </c>
      <c r="G569" s="2" t="s">
        <v>174</v>
      </c>
      <c r="H569" s="2" t="s">
        <v>23</v>
      </c>
      <c r="I569" s="24" t="s">
        <v>908</v>
      </c>
      <c r="J569" s="24" t="s">
        <v>908</v>
      </c>
      <c r="K569" s="24" t="s">
        <v>908</v>
      </c>
      <c r="M569" s="24" t="s">
        <v>908</v>
      </c>
      <c r="N569" s="24"/>
      <c r="P569" s="1" t="str">
        <f t="shared" si="16"/>
        <v>71601005</v>
      </c>
      <c r="Q569" s="263" t="str">
        <f t="shared" si="17"/>
        <v>AG - Due &amp; Subscription</v>
      </c>
    </row>
    <row r="570" spans="1:17" x14ac:dyDescent="0.25">
      <c r="A570" s="24" t="s">
        <v>317</v>
      </c>
      <c r="B570" s="24" t="s">
        <v>20</v>
      </c>
      <c r="C570" s="24" t="s">
        <v>224</v>
      </c>
      <c r="D570" s="24" t="s">
        <v>0</v>
      </c>
      <c r="E570" s="24" t="s">
        <v>10</v>
      </c>
      <c r="F570" s="5" t="s">
        <v>462</v>
      </c>
      <c r="G570" s="2" t="s">
        <v>174</v>
      </c>
      <c r="H570" s="2" t="s">
        <v>23</v>
      </c>
      <c r="I570" s="24" t="s">
        <v>908</v>
      </c>
      <c r="J570" s="24" t="s">
        <v>908</v>
      </c>
      <c r="K570" s="24" t="s">
        <v>908</v>
      </c>
      <c r="M570" s="24" t="s">
        <v>908</v>
      </c>
      <c r="N570" s="24"/>
      <c r="P570" s="1" t="str">
        <f t="shared" si="16"/>
        <v>71601006</v>
      </c>
      <c r="Q570" s="263" t="str">
        <f t="shared" si="17"/>
        <v>AG - Employee Housing</v>
      </c>
    </row>
    <row r="571" spans="1:17" x14ac:dyDescent="0.25">
      <c r="A571" s="24" t="s">
        <v>317</v>
      </c>
      <c r="B571" s="24" t="s">
        <v>20</v>
      </c>
      <c r="C571" s="24" t="s">
        <v>224</v>
      </c>
      <c r="D571" s="24" t="s">
        <v>0</v>
      </c>
      <c r="E571" s="24" t="s">
        <v>11</v>
      </c>
      <c r="F571" s="5" t="s">
        <v>463</v>
      </c>
      <c r="G571" s="2" t="s">
        <v>174</v>
      </c>
      <c r="H571" s="2" t="s">
        <v>23</v>
      </c>
      <c r="I571" s="24" t="s">
        <v>908</v>
      </c>
      <c r="J571" s="24" t="s">
        <v>908</v>
      </c>
      <c r="K571" s="24" t="s">
        <v>908</v>
      </c>
      <c r="M571" s="24" t="s">
        <v>908</v>
      </c>
      <c r="N571" s="24"/>
      <c r="P571" s="1" t="str">
        <f t="shared" si="16"/>
        <v>71601007</v>
      </c>
      <c r="Q571" s="263" t="str">
        <f t="shared" si="17"/>
        <v>AG - Employee Relation</v>
      </c>
    </row>
    <row r="572" spans="1:17" x14ac:dyDescent="0.25">
      <c r="A572" s="24" t="s">
        <v>317</v>
      </c>
      <c r="B572" s="24" t="s">
        <v>20</v>
      </c>
      <c r="C572" s="24" t="s">
        <v>224</v>
      </c>
      <c r="D572" s="24" t="s">
        <v>0</v>
      </c>
      <c r="E572" s="24" t="s">
        <v>13</v>
      </c>
      <c r="F572" s="5" t="s">
        <v>464</v>
      </c>
      <c r="G572" s="2" t="s">
        <v>174</v>
      </c>
      <c r="H572" s="2" t="s">
        <v>23</v>
      </c>
      <c r="I572" s="24" t="s">
        <v>908</v>
      </c>
      <c r="J572" s="24" t="s">
        <v>908</v>
      </c>
      <c r="K572" s="24" t="s">
        <v>908</v>
      </c>
      <c r="M572" s="24" t="s">
        <v>908</v>
      </c>
      <c r="N572" s="24"/>
      <c r="P572" s="1" t="str">
        <f t="shared" si="16"/>
        <v>71601008</v>
      </c>
      <c r="Q572" s="263" t="str">
        <f t="shared" si="17"/>
        <v>AG - Entertainment</v>
      </c>
    </row>
    <row r="573" spans="1:17" x14ac:dyDescent="0.25">
      <c r="A573" s="24" t="s">
        <v>317</v>
      </c>
      <c r="B573" s="24" t="s">
        <v>20</v>
      </c>
      <c r="C573" s="24" t="s">
        <v>224</v>
      </c>
      <c r="D573" s="24" t="s">
        <v>0</v>
      </c>
      <c r="E573" s="24" t="s">
        <v>15</v>
      </c>
      <c r="F573" s="5" t="s">
        <v>465</v>
      </c>
      <c r="G573" s="2" t="s">
        <v>174</v>
      </c>
      <c r="H573" s="2" t="s">
        <v>23</v>
      </c>
      <c r="I573" s="24" t="s">
        <v>908</v>
      </c>
      <c r="J573" s="24" t="s">
        <v>908</v>
      </c>
      <c r="K573" s="24" t="s">
        <v>908</v>
      </c>
      <c r="M573" s="24" t="s">
        <v>908</v>
      </c>
      <c r="N573" s="24"/>
      <c r="P573" s="1" t="str">
        <f t="shared" si="16"/>
        <v>71601009</v>
      </c>
      <c r="Q573" s="263" t="str">
        <f t="shared" si="17"/>
        <v>AG - Insurance</v>
      </c>
    </row>
    <row r="574" spans="1:17" x14ac:dyDescent="0.25">
      <c r="A574" s="24" t="s">
        <v>317</v>
      </c>
      <c r="B574" s="24" t="s">
        <v>20</v>
      </c>
      <c r="C574" s="24" t="s">
        <v>224</v>
      </c>
      <c r="D574" s="24" t="s">
        <v>0</v>
      </c>
      <c r="E574" s="24" t="s">
        <v>238</v>
      </c>
      <c r="F574" s="5" t="s">
        <v>466</v>
      </c>
      <c r="G574" s="2" t="s">
        <v>174</v>
      </c>
      <c r="H574" s="2" t="s">
        <v>23</v>
      </c>
      <c r="I574" s="24" t="s">
        <v>908</v>
      </c>
      <c r="J574" s="24" t="s">
        <v>908</v>
      </c>
      <c r="K574" s="24" t="s">
        <v>908</v>
      </c>
      <c r="M574" s="24" t="s">
        <v>908</v>
      </c>
      <c r="N574" s="24"/>
      <c r="P574" s="1" t="str">
        <f t="shared" si="16"/>
        <v>71601010</v>
      </c>
      <c r="Q574" s="263" t="str">
        <f t="shared" si="17"/>
        <v>AG - Internet</v>
      </c>
    </row>
    <row r="575" spans="1:17" x14ac:dyDescent="0.25">
      <c r="A575" s="24" t="s">
        <v>317</v>
      </c>
      <c r="B575" s="24" t="s">
        <v>20</v>
      </c>
      <c r="C575" s="24" t="s">
        <v>224</v>
      </c>
      <c r="D575" s="24" t="s">
        <v>0</v>
      </c>
      <c r="E575" s="24" t="s">
        <v>240</v>
      </c>
      <c r="F575" s="5" t="s">
        <v>467</v>
      </c>
      <c r="G575" s="2" t="s">
        <v>174</v>
      </c>
      <c r="H575" s="2" t="s">
        <v>23</v>
      </c>
      <c r="I575" s="24" t="s">
        <v>908</v>
      </c>
      <c r="J575" s="24" t="s">
        <v>908</v>
      </c>
      <c r="K575" s="24" t="s">
        <v>908</v>
      </c>
      <c r="M575" s="24" t="s">
        <v>908</v>
      </c>
      <c r="N575" s="24"/>
      <c r="P575" s="1" t="str">
        <f t="shared" si="16"/>
        <v>71601011</v>
      </c>
      <c r="Q575" s="263" t="str">
        <f t="shared" si="17"/>
        <v>AG - IT Maintenance</v>
      </c>
    </row>
    <row r="576" spans="1:17" x14ac:dyDescent="0.25">
      <c r="A576" s="24" t="s">
        <v>317</v>
      </c>
      <c r="B576" s="24" t="s">
        <v>20</v>
      </c>
      <c r="C576" s="24" t="s">
        <v>224</v>
      </c>
      <c r="D576" s="24" t="s">
        <v>0</v>
      </c>
      <c r="E576" s="24" t="s">
        <v>331</v>
      </c>
      <c r="F576" s="5" t="s">
        <v>468</v>
      </c>
      <c r="G576" s="2" t="s">
        <v>174</v>
      </c>
      <c r="H576" s="2" t="s">
        <v>23</v>
      </c>
      <c r="I576" s="24" t="s">
        <v>908</v>
      </c>
      <c r="J576" s="24" t="s">
        <v>908</v>
      </c>
      <c r="K576" s="24" t="s">
        <v>908</v>
      </c>
      <c r="M576" s="24" t="s">
        <v>908</v>
      </c>
      <c r="N576" s="24"/>
      <c r="P576" s="1" t="str">
        <f t="shared" si="16"/>
        <v>71601012</v>
      </c>
      <c r="Q576" s="263" t="str">
        <f t="shared" si="17"/>
        <v>AG - License &amp; Tax</v>
      </c>
    </row>
    <row r="577" spans="1:17" x14ac:dyDescent="0.25">
      <c r="A577" s="24" t="s">
        <v>317</v>
      </c>
      <c r="B577" s="24" t="s">
        <v>20</v>
      </c>
      <c r="C577" s="24" t="s">
        <v>224</v>
      </c>
      <c r="D577" s="24" t="s">
        <v>0</v>
      </c>
      <c r="E577" s="24" t="s">
        <v>333</v>
      </c>
      <c r="F577" s="5" t="s">
        <v>875</v>
      </c>
      <c r="G577" s="2" t="s">
        <v>174</v>
      </c>
      <c r="H577" s="2" t="s">
        <v>23</v>
      </c>
      <c r="I577" s="24" t="s">
        <v>908</v>
      </c>
      <c r="J577" s="24" t="s">
        <v>908</v>
      </c>
      <c r="K577" s="24" t="s">
        <v>908</v>
      </c>
      <c r="M577" s="24" t="s">
        <v>908</v>
      </c>
      <c r="N577" s="24"/>
      <c r="P577" s="1" t="str">
        <f t="shared" si="16"/>
        <v>71601013</v>
      </c>
      <c r="Q577" s="263" t="str">
        <f t="shared" si="17"/>
        <v>AG - Meeting</v>
      </c>
    </row>
    <row r="578" spans="1:17" x14ac:dyDescent="0.25">
      <c r="A578" s="24" t="s">
        <v>317</v>
      </c>
      <c r="B578" s="24" t="s">
        <v>20</v>
      </c>
      <c r="C578" s="24" t="s">
        <v>224</v>
      </c>
      <c r="D578" s="24" t="s">
        <v>0</v>
      </c>
      <c r="E578" s="24" t="s">
        <v>335</v>
      </c>
      <c r="F578" s="5" t="s">
        <v>469</v>
      </c>
      <c r="G578" s="2" t="s">
        <v>174</v>
      </c>
      <c r="H578" s="2" t="s">
        <v>23</v>
      </c>
      <c r="I578" s="24" t="s">
        <v>908</v>
      </c>
      <c r="J578" s="24" t="s">
        <v>908</v>
      </c>
      <c r="K578" s="24" t="s">
        <v>908</v>
      </c>
      <c r="M578" s="24" t="s">
        <v>908</v>
      </c>
      <c r="N578" s="24"/>
      <c r="P578" s="1" t="str">
        <f t="shared" si="16"/>
        <v>71601014</v>
      </c>
      <c r="Q578" s="263" t="str">
        <f t="shared" si="17"/>
        <v>AG - Postage &amp; Stamp Duty</v>
      </c>
    </row>
    <row r="579" spans="1:17" x14ac:dyDescent="0.25">
      <c r="A579" s="24" t="s">
        <v>317</v>
      </c>
      <c r="B579" s="24" t="s">
        <v>20</v>
      </c>
      <c r="C579" s="24" t="s">
        <v>224</v>
      </c>
      <c r="D579" s="24" t="s">
        <v>0</v>
      </c>
      <c r="E579" s="24" t="s">
        <v>337</v>
      </c>
      <c r="F579" s="5" t="s">
        <v>470</v>
      </c>
      <c r="G579" s="2" t="s">
        <v>174</v>
      </c>
      <c r="H579" s="2" t="s">
        <v>23</v>
      </c>
      <c r="I579" s="24" t="s">
        <v>908</v>
      </c>
      <c r="J579" s="24" t="s">
        <v>908</v>
      </c>
      <c r="K579" s="24" t="s">
        <v>908</v>
      </c>
      <c r="M579" s="24" t="s">
        <v>908</v>
      </c>
      <c r="N579" s="24"/>
      <c r="P579" s="1" t="str">
        <f t="shared" si="16"/>
        <v>71601015</v>
      </c>
      <c r="Q579" s="263" t="str">
        <f t="shared" si="17"/>
        <v>AG - Printing &amp; Stationary</v>
      </c>
    </row>
    <row r="580" spans="1:17" x14ac:dyDescent="0.25">
      <c r="A580" s="24" t="s">
        <v>317</v>
      </c>
      <c r="B580" s="24" t="s">
        <v>20</v>
      </c>
      <c r="C580" s="24" t="s">
        <v>224</v>
      </c>
      <c r="D580" s="24" t="s">
        <v>0</v>
      </c>
      <c r="E580" s="24" t="s">
        <v>339</v>
      </c>
      <c r="F580" s="5" t="s">
        <v>471</v>
      </c>
      <c r="G580" s="2" t="s">
        <v>174</v>
      </c>
      <c r="H580" s="2" t="s">
        <v>23</v>
      </c>
      <c r="I580" s="24" t="s">
        <v>908</v>
      </c>
      <c r="J580" s="24" t="s">
        <v>908</v>
      </c>
      <c r="K580" s="24" t="s">
        <v>908</v>
      </c>
      <c r="M580" s="24" t="s">
        <v>908</v>
      </c>
      <c r="N580" s="24"/>
      <c r="P580" s="1" t="str">
        <f t="shared" si="16"/>
        <v>71601016</v>
      </c>
      <c r="Q580" s="263" t="str">
        <f t="shared" si="17"/>
        <v>AG - Recruitment</v>
      </c>
    </row>
    <row r="581" spans="1:17" x14ac:dyDescent="0.25">
      <c r="A581" s="24" t="s">
        <v>317</v>
      </c>
      <c r="B581" s="24" t="s">
        <v>20</v>
      </c>
      <c r="C581" s="24" t="s">
        <v>224</v>
      </c>
      <c r="D581" s="24" t="s">
        <v>0</v>
      </c>
      <c r="E581" s="24" t="s">
        <v>341</v>
      </c>
      <c r="F581" s="5" t="s">
        <v>472</v>
      </c>
      <c r="G581" s="2" t="s">
        <v>174</v>
      </c>
      <c r="H581" s="2" t="s">
        <v>23</v>
      </c>
      <c r="I581" s="24" t="s">
        <v>908</v>
      </c>
      <c r="J581" s="24" t="s">
        <v>908</v>
      </c>
      <c r="K581" s="24" t="s">
        <v>908</v>
      </c>
      <c r="M581" s="24" t="s">
        <v>908</v>
      </c>
      <c r="N581" s="24"/>
      <c r="P581" s="1" t="str">
        <f t="shared" ref="P581:P639" si="18">CONCATENATE(A581,B581,C581,D581,E581)</f>
        <v>71601017</v>
      </c>
      <c r="Q581" s="263" t="str">
        <f t="shared" si="17"/>
        <v>AG - Relocation</v>
      </c>
    </row>
    <row r="582" spans="1:17" x14ac:dyDescent="0.25">
      <c r="A582" s="24" t="s">
        <v>317</v>
      </c>
      <c r="B582" s="24" t="s">
        <v>20</v>
      </c>
      <c r="C582" s="24" t="s">
        <v>224</v>
      </c>
      <c r="D582" s="24" t="s">
        <v>0</v>
      </c>
      <c r="E582" s="24" t="s">
        <v>343</v>
      </c>
      <c r="F582" s="5" t="s">
        <v>473</v>
      </c>
      <c r="G582" s="2" t="s">
        <v>174</v>
      </c>
      <c r="H582" s="2" t="s">
        <v>23</v>
      </c>
      <c r="I582" s="24" t="s">
        <v>908</v>
      </c>
      <c r="J582" s="24" t="s">
        <v>908</v>
      </c>
      <c r="K582" s="24" t="s">
        <v>908</v>
      </c>
      <c r="M582" s="24" t="s">
        <v>908</v>
      </c>
      <c r="N582" s="24"/>
      <c r="P582" s="1" t="str">
        <f t="shared" si="18"/>
        <v>71601018</v>
      </c>
      <c r="Q582" s="263" t="str">
        <f t="shared" si="17"/>
        <v>AG - Security Contract Services</v>
      </c>
    </row>
    <row r="583" spans="1:17" x14ac:dyDescent="0.25">
      <c r="A583" s="24" t="s">
        <v>317</v>
      </c>
      <c r="B583" s="24" t="s">
        <v>20</v>
      </c>
      <c r="C583" s="24" t="s">
        <v>224</v>
      </c>
      <c r="D583" s="24" t="s">
        <v>0</v>
      </c>
      <c r="E583" s="24" t="s">
        <v>344</v>
      </c>
      <c r="F583" s="5" t="s">
        <v>474</v>
      </c>
      <c r="G583" s="2" t="s">
        <v>174</v>
      </c>
      <c r="H583" s="2" t="s">
        <v>23</v>
      </c>
      <c r="I583" s="24" t="s">
        <v>908</v>
      </c>
      <c r="J583" s="24" t="s">
        <v>908</v>
      </c>
      <c r="K583" s="24" t="s">
        <v>908</v>
      </c>
      <c r="M583" s="24" t="s">
        <v>908</v>
      </c>
      <c r="N583" s="24"/>
      <c r="P583" s="1" t="str">
        <f t="shared" si="18"/>
        <v>71601019</v>
      </c>
      <c r="Q583" s="263" t="str">
        <f t="shared" si="17"/>
        <v>AG - Telephone &amp; Fax</v>
      </c>
    </row>
    <row r="584" spans="1:17" x14ac:dyDescent="0.25">
      <c r="A584" s="24" t="s">
        <v>317</v>
      </c>
      <c r="B584" s="24" t="s">
        <v>20</v>
      </c>
      <c r="C584" s="24" t="s">
        <v>224</v>
      </c>
      <c r="D584" s="24" t="s">
        <v>0</v>
      </c>
      <c r="E584" s="24" t="s">
        <v>346</v>
      </c>
      <c r="F584" s="5" t="s">
        <v>475</v>
      </c>
      <c r="G584" s="2" t="s">
        <v>174</v>
      </c>
      <c r="H584" s="2" t="s">
        <v>23</v>
      </c>
      <c r="I584" s="24" t="s">
        <v>908</v>
      </c>
      <c r="J584" s="24" t="s">
        <v>908</v>
      </c>
      <c r="K584" s="24" t="s">
        <v>908</v>
      </c>
      <c r="M584" s="24" t="s">
        <v>908</v>
      </c>
      <c r="N584" s="24"/>
      <c r="P584" s="1" t="str">
        <f t="shared" si="18"/>
        <v>71601020</v>
      </c>
      <c r="Q584" s="263" t="str">
        <f t="shared" si="17"/>
        <v>AG - Training</v>
      </c>
    </row>
    <row r="585" spans="1:17" x14ac:dyDescent="0.25">
      <c r="A585" s="24" t="s">
        <v>317</v>
      </c>
      <c r="B585" s="24" t="s">
        <v>20</v>
      </c>
      <c r="C585" s="24" t="s">
        <v>224</v>
      </c>
      <c r="D585" s="24" t="s">
        <v>0</v>
      </c>
      <c r="E585" s="24" t="s">
        <v>348</v>
      </c>
      <c r="F585" s="5" t="s">
        <v>876</v>
      </c>
      <c r="G585" s="2" t="s">
        <v>174</v>
      </c>
      <c r="H585" s="2" t="s">
        <v>23</v>
      </c>
      <c r="I585" s="24" t="s">
        <v>908</v>
      </c>
      <c r="J585" s="24" t="s">
        <v>908</v>
      </c>
      <c r="K585" s="24" t="s">
        <v>908</v>
      </c>
      <c r="M585" s="24" t="s">
        <v>908</v>
      </c>
      <c r="N585" s="24"/>
      <c r="P585" s="1" t="str">
        <f t="shared" si="18"/>
        <v>71601021</v>
      </c>
      <c r="Q585" s="263" t="str">
        <f t="shared" ref="Q585:Q645" si="19">F585</f>
        <v>AG - Traveling</v>
      </c>
    </row>
    <row r="586" spans="1:17" x14ac:dyDescent="0.25">
      <c r="A586" s="24" t="s">
        <v>317</v>
      </c>
      <c r="B586" s="24" t="s">
        <v>20</v>
      </c>
      <c r="C586" s="24" t="s">
        <v>224</v>
      </c>
      <c r="D586" s="24" t="s">
        <v>0</v>
      </c>
      <c r="E586" s="24" t="s">
        <v>350</v>
      </c>
      <c r="F586" s="5" t="s">
        <v>476</v>
      </c>
      <c r="G586" s="2" t="s">
        <v>174</v>
      </c>
      <c r="H586" s="2" t="s">
        <v>23</v>
      </c>
      <c r="I586" s="24" t="s">
        <v>908</v>
      </c>
      <c r="J586" s="24" t="s">
        <v>908</v>
      </c>
      <c r="K586" s="24" t="s">
        <v>908</v>
      </c>
      <c r="M586" s="24" t="s">
        <v>908</v>
      </c>
      <c r="N586" s="24"/>
      <c r="P586" s="1" t="str">
        <f t="shared" si="18"/>
        <v>71601022</v>
      </c>
      <c r="Q586" s="263" t="str">
        <f t="shared" si="19"/>
        <v>AG - Uniform Laundry</v>
      </c>
    </row>
    <row r="587" spans="1:17" x14ac:dyDescent="0.25">
      <c r="A587" s="24" t="s">
        <v>317</v>
      </c>
      <c r="B587" s="24" t="s">
        <v>20</v>
      </c>
      <c r="C587" s="24" t="s">
        <v>224</v>
      </c>
      <c r="D587" s="24" t="s">
        <v>0</v>
      </c>
      <c r="E587" s="24" t="s">
        <v>414</v>
      </c>
      <c r="F587" s="5" t="s">
        <v>477</v>
      </c>
      <c r="G587" s="2" t="s">
        <v>174</v>
      </c>
      <c r="H587" s="2" t="s">
        <v>23</v>
      </c>
      <c r="I587" s="24" t="s">
        <v>908</v>
      </c>
      <c r="J587" s="24" t="s">
        <v>908</v>
      </c>
      <c r="K587" s="24" t="s">
        <v>908</v>
      </c>
      <c r="M587" s="24" t="s">
        <v>908</v>
      </c>
      <c r="N587" s="24"/>
      <c r="P587" s="1" t="str">
        <f t="shared" si="18"/>
        <v>71601023</v>
      </c>
      <c r="Q587" s="263" t="str">
        <f t="shared" si="19"/>
        <v>AG - Rent</v>
      </c>
    </row>
    <row r="588" spans="1:17" x14ac:dyDescent="0.25">
      <c r="A588" s="24" t="s">
        <v>317</v>
      </c>
      <c r="B588" s="24" t="s">
        <v>20</v>
      </c>
      <c r="C588" s="24" t="s">
        <v>224</v>
      </c>
      <c r="D588" s="24" t="s">
        <v>0</v>
      </c>
      <c r="E588" s="24" t="s">
        <v>416</v>
      </c>
      <c r="F588" s="26" t="s">
        <v>478</v>
      </c>
      <c r="G588" s="2" t="s">
        <v>174</v>
      </c>
      <c r="H588" s="2" t="s">
        <v>23</v>
      </c>
      <c r="I588" s="24" t="s">
        <v>908</v>
      </c>
      <c r="J588" s="24" t="s">
        <v>908</v>
      </c>
      <c r="K588" s="24" t="s">
        <v>908</v>
      </c>
      <c r="M588" s="24" t="s">
        <v>908</v>
      </c>
      <c r="N588" s="2"/>
      <c r="P588" s="1" t="str">
        <f t="shared" si="18"/>
        <v>71601024</v>
      </c>
      <c r="Q588" s="263" t="str">
        <f t="shared" si="19"/>
        <v>AG - Non Capitalized Asset</v>
      </c>
    </row>
    <row r="589" spans="1:17" x14ac:dyDescent="0.25">
      <c r="A589" s="24" t="s">
        <v>317</v>
      </c>
      <c r="B589" s="24" t="s">
        <v>20</v>
      </c>
      <c r="C589" s="24" t="s">
        <v>224</v>
      </c>
      <c r="D589" s="24" t="s">
        <v>0</v>
      </c>
      <c r="E589" s="24" t="s">
        <v>418</v>
      </c>
      <c r="F589" s="26" t="s">
        <v>772</v>
      </c>
      <c r="G589" s="2" t="s">
        <v>174</v>
      </c>
      <c r="H589" s="2" t="s">
        <v>23</v>
      </c>
      <c r="I589" s="24" t="s">
        <v>908</v>
      </c>
      <c r="J589" s="24" t="s">
        <v>908</v>
      </c>
      <c r="K589" s="24" t="s">
        <v>908</v>
      </c>
      <c r="M589" s="24" t="s">
        <v>908</v>
      </c>
      <c r="N589" s="2"/>
      <c r="P589" s="1" t="str">
        <f t="shared" si="18"/>
        <v>71601025</v>
      </c>
      <c r="Q589" s="263" t="str">
        <f t="shared" si="19"/>
        <v>AG - Bank Charges</v>
      </c>
    </row>
    <row r="590" spans="1:17" x14ac:dyDescent="0.25">
      <c r="A590" s="24" t="s">
        <v>317</v>
      </c>
      <c r="B590" s="24" t="s">
        <v>20</v>
      </c>
      <c r="C590" s="24" t="s">
        <v>224</v>
      </c>
      <c r="D590" s="24" t="s">
        <v>0</v>
      </c>
      <c r="E590" s="24" t="s">
        <v>420</v>
      </c>
      <c r="F590" s="26" t="s">
        <v>773</v>
      </c>
      <c r="G590" s="2" t="s">
        <v>174</v>
      </c>
      <c r="H590" s="2" t="s">
        <v>23</v>
      </c>
      <c r="I590" s="24" t="s">
        <v>908</v>
      </c>
      <c r="J590" s="24" t="s">
        <v>908</v>
      </c>
      <c r="K590" s="24" t="s">
        <v>908</v>
      </c>
      <c r="M590" s="24" t="s">
        <v>908</v>
      </c>
      <c r="N590" s="2"/>
      <c r="P590" s="1" t="str">
        <f t="shared" si="18"/>
        <v>71601026</v>
      </c>
      <c r="Q590" s="263" t="str">
        <f t="shared" si="19"/>
        <v>AG - Credit Card Charge</v>
      </c>
    </row>
    <row r="591" spans="1:17" x14ac:dyDescent="0.25">
      <c r="A591" s="24" t="s">
        <v>317</v>
      </c>
      <c r="B591" s="24" t="s">
        <v>20</v>
      </c>
      <c r="C591" s="24" t="s">
        <v>224</v>
      </c>
      <c r="D591" s="24" t="s">
        <v>0</v>
      </c>
      <c r="E591" s="24" t="s">
        <v>422</v>
      </c>
      <c r="F591" s="5" t="s">
        <v>774</v>
      </c>
      <c r="G591" s="2" t="s">
        <v>174</v>
      </c>
      <c r="H591" s="2" t="s">
        <v>23</v>
      </c>
      <c r="I591" s="24" t="s">
        <v>908</v>
      </c>
      <c r="J591" s="24" t="s">
        <v>908</v>
      </c>
      <c r="K591" s="24" t="s">
        <v>908</v>
      </c>
      <c r="M591" s="24" t="s">
        <v>908</v>
      </c>
      <c r="N591" s="24"/>
      <c r="P591" s="1" t="str">
        <f t="shared" si="18"/>
        <v>71601027</v>
      </c>
      <c r="Q591" s="263" t="str">
        <f t="shared" si="19"/>
        <v>AG - Bad Debt Expense</v>
      </c>
    </row>
    <row r="592" spans="1:17" x14ac:dyDescent="0.25">
      <c r="A592" s="24" t="s">
        <v>317</v>
      </c>
      <c r="B592" s="24" t="s">
        <v>20</v>
      </c>
      <c r="C592" s="24" t="s">
        <v>224</v>
      </c>
      <c r="D592" s="24" t="s">
        <v>0</v>
      </c>
      <c r="E592" s="24" t="s">
        <v>43</v>
      </c>
      <c r="F592" s="5" t="s">
        <v>479</v>
      </c>
      <c r="G592" s="2" t="s">
        <v>174</v>
      </c>
      <c r="H592" s="2" t="s">
        <v>23</v>
      </c>
      <c r="I592" s="24" t="s">
        <v>908</v>
      </c>
      <c r="J592" s="24" t="s">
        <v>908</v>
      </c>
      <c r="K592" s="24" t="s">
        <v>908</v>
      </c>
      <c r="M592" s="24" t="s">
        <v>908</v>
      </c>
      <c r="N592" s="24"/>
      <c r="P592" s="1" t="str">
        <f t="shared" si="18"/>
        <v>71601999</v>
      </c>
      <c r="Q592" s="263" t="str">
        <f t="shared" si="19"/>
        <v>AG - Other Operating Expenses</v>
      </c>
    </row>
    <row r="593" spans="1:17" hidden="1" x14ac:dyDescent="0.25">
      <c r="A593" s="20" t="s">
        <v>317</v>
      </c>
      <c r="B593" s="20" t="s">
        <v>20</v>
      </c>
      <c r="C593" s="20" t="s">
        <v>224</v>
      </c>
      <c r="D593" s="20" t="s">
        <v>2</v>
      </c>
      <c r="E593" s="20"/>
      <c r="F593" s="22" t="s">
        <v>574</v>
      </c>
      <c r="G593" s="23" t="s">
        <v>174</v>
      </c>
      <c r="H593" s="23" t="s">
        <v>23</v>
      </c>
      <c r="I593" s="23" t="s">
        <v>907</v>
      </c>
      <c r="J593" s="23" t="s">
        <v>907</v>
      </c>
      <c r="K593" s="23" t="s">
        <v>907</v>
      </c>
      <c r="M593" s="23" t="s">
        <v>907</v>
      </c>
      <c r="N593" s="23"/>
      <c r="Q593" s="263"/>
    </row>
    <row r="594" spans="1:17" x14ac:dyDescent="0.25">
      <c r="A594" s="24" t="s">
        <v>317</v>
      </c>
      <c r="B594" s="24" t="s">
        <v>20</v>
      </c>
      <c r="C594" s="24" t="s">
        <v>224</v>
      </c>
      <c r="D594" s="24" t="s">
        <v>2</v>
      </c>
      <c r="E594" s="24" t="s">
        <v>1</v>
      </c>
      <c r="F594" s="5" t="s">
        <v>575</v>
      </c>
      <c r="G594" s="2" t="s">
        <v>174</v>
      </c>
      <c r="H594" s="2" t="s">
        <v>23</v>
      </c>
      <c r="I594" s="24" t="s">
        <v>908</v>
      </c>
      <c r="J594" s="24" t="s">
        <v>908</v>
      </c>
      <c r="K594" s="24" t="s">
        <v>908</v>
      </c>
      <c r="M594" s="24" t="s">
        <v>908</v>
      </c>
      <c r="N594" s="24"/>
      <c r="P594" s="1" t="str">
        <f t="shared" si="18"/>
        <v>71602001</v>
      </c>
      <c r="Q594" s="263" t="str">
        <f t="shared" si="19"/>
        <v>AG - Provision for Replacement Uniform</v>
      </c>
    </row>
    <row r="595" spans="1:17" hidden="1" x14ac:dyDescent="0.25">
      <c r="A595" s="8" t="s">
        <v>480</v>
      </c>
      <c r="B595" s="8"/>
      <c r="C595" s="8"/>
      <c r="D595" s="8"/>
      <c r="E595" s="8"/>
      <c r="F595" s="9" t="s">
        <v>481</v>
      </c>
      <c r="G595" s="10" t="s">
        <v>174</v>
      </c>
      <c r="H595" s="10" t="s">
        <v>23</v>
      </c>
      <c r="I595" s="10" t="s">
        <v>907</v>
      </c>
      <c r="J595" s="10" t="s">
        <v>907</v>
      </c>
      <c r="K595" s="10" t="s">
        <v>907</v>
      </c>
      <c r="M595" s="10" t="s">
        <v>907</v>
      </c>
      <c r="N595" s="10"/>
      <c r="Q595" s="263"/>
    </row>
    <row r="596" spans="1:17" hidden="1" x14ac:dyDescent="0.25">
      <c r="A596" s="12" t="s">
        <v>480</v>
      </c>
      <c r="B596" s="12" t="s">
        <v>20</v>
      </c>
      <c r="C596" s="12"/>
      <c r="D596" s="12"/>
      <c r="E596" s="12"/>
      <c r="F596" s="13" t="s">
        <v>560</v>
      </c>
      <c r="G596" s="14" t="s">
        <v>174</v>
      </c>
      <c r="H596" s="14" t="s">
        <v>23</v>
      </c>
      <c r="I596" s="14" t="s">
        <v>907</v>
      </c>
      <c r="J596" s="14" t="s">
        <v>907</v>
      </c>
      <c r="K596" s="14" t="s">
        <v>907</v>
      </c>
      <c r="M596" s="14" t="s">
        <v>907</v>
      </c>
      <c r="N596" s="14"/>
      <c r="Q596" s="263"/>
    </row>
    <row r="597" spans="1:17" hidden="1" x14ac:dyDescent="0.25">
      <c r="A597" s="16" t="s">
        <v>480</v>
      </c>
      <c r="B597" s="16" t="s">
        <v>20</v>
      </c>
      <c r="C597" s="16" t="s">
        <v>20</v>
      </c>
      <c r="D597" s="16"/>
      <c r="E597" s="16"/>
      <c r="F597" s="18" t="s">
        <v>483</v>
      </c>
      <c r="G597" s="19" t="s">
        <v>174</v>
      </c>
      <c r="H597" s="19" t="s">
        <v>86</v>
      </c>
      <c r="I597" s="19" t="s">
        <v>907</v>
      </c>
      <c r="J597" s="19" t="s">
        <v>907</v>
      </c>
      <c r="K597" s="19" t="s">
        <v>907</v>
      </c>
      <c r="M597" s="19" t="s">
        <v>907</v>
      </c>
      <c r="N597" s="19"/>
      <c r="Q597" s="263"/>
    </row>
    <row r="598" spans="1:17" hidden="1" x14ac:dyDescent="0.25">
      <c r="A598" s="20" t="s">
        <v>480</v>
      </c>
      <c r="B598" s="20" t="s">
        <v>20</v>
      </c>
      <c r="C598" s="20" t="s">
        <v>20</v>
      </c>
      <c r="D598" s="20" t="s">
        <v>0</v>
      </c>
      <c r="E598" s="20"/>
      <c r="F598" s="22" t="s">
        <v>482</v>
      </c>
      <c r="G598" s="23" t="s">
        <v>174</v>
      </c>
      <c r="H598" s="23" t="s">
        <v>86</v>
      </c>
      <c r="I598" s="23" t="s">
        <v>907</v>
      </c>
      <c r="J598" s="23" t="s">
        <v>907</v>
      </c>
      <c r="K598" s="23" t="s">
        <v>907</v>
      </c>
      <c r="M598" s="23" t="s">
        <v>907</v>
      </c>
      <c r="N598" s="23"/>
      <c r="Q598" s="263"/>
    </row>
    <row r="599" spans="1:17" x14ac:dyDescent="0.25">
      <c r="A599" s="24" t="s">
        <v>480</v>
      </c>
      <c r="B599" s="24" t="s">
        <v>20</v>
      </c>
      <c r="C599" s="24" t="s">
        <v>20</v>
      </c>
      <c r="D599" s="24" t="s">
        <v>0</v>
      </c>
      <c r="E599" s="3" t="s">
        <v>1</v>
      </c>
      <c r="F599" s="5" t="s">
        <v>589</v>
      </c>
      <c r="G599" s="2" t="s">
        <v>174</v>
      </c>
      <c r="H599" s="2" t="s">
        <v>86</v>
      </c>
      <c r="I599" s="24" t="s">
        <v>908</v>
      </c>
      <c r="J599" s="24" t="s">
        <v>908</v>
      </c>
      <c r="K599" s="24" t="s">
        <v>908</v>
      </c>
      <c r="M599" s="24" t="s">
        <v>908</v>
      </c>
      <c r="N599" s="24"/>
      <c r="P599" s="1" t="str">
        <f t="shared" si="18"/>
        <v>81101001</v>
      </c>
      <c r="Q599" s="263" t="str">
        <f t="shared" si="19"/>
        <v>Gain/Loss on Disposal Asset</v>
      </c>
    </row>
    <row r="600" spans="1:17" x14ac:dyDescent="0.25">
      <c r="A600" s="24" t="s">
        <v>480</v>
      </c>
      <c r="B600" s="24" t="s">
        <v>20</v>
      </c>
      <c r="C600" s="24" t="s">
        <v>20</v>
      </c>
      <c r="D600" s="24" t="s">
        <v>0</v>
      </c>
      <c r="E600" s="3" t="s">
        <v>3</v>
      </c>
      <c r="F600" s="5" t="s">
        <v>485</v>
      </c>
      <c r="G600" s="2" t="s">
        <v>174</v>
      </c>
      <c r="H600" s="2" t="s">
        <v>86</v>
      </c>
      <c r="I600" s="24" t="s">
        <v>908</v>
      </c>
      <c r="J600" s="24" t="s">
        <v>908</v>
      </c>
      <c r="K600" s="24" t="s">
        <v>908</v>
      </c>
      <c r="M600" s="24" t="s">
        <v>908</v>
      </c>
      <c r="N600" s="24"/>
      <c r="P600" s="1" t="str">
        <f t="shared" si="18"/>
        <v>81101002</v>
      </c>
      <c r="Q600" s="263" t="str">
        <f t="shared" si="19"/>
        <v>Deferred Tax</v>
      </c>
    </row>
    <row r="601" spans="1:17" x14ac:dyDescent="0.25">
      <c r="A601" s="24" t="s">
        <v>480</v>
      </c>
      <c r="B601" s="24" t="s">
        <v>20</v>
      </c>
      <c r="C601" s="24" t="s">
        <v>20</v>
      </c>
      <c r="D601" s="24" t="s">
        <v>0</v>
      </c>
      <c r="E601" s="3" t="s">
        <v>5</v>
      </c>
      <c r="F601" s="5" t="s">
        <v>484</v>
      </c>
      <c r="G601" s="2" t="s">
        <v>174</v>
      </c>
      <c r="H601" s="2" t="s">
        <v>86</v>
      </c>
      <c r="I601" s="24" t="s">
        <v>908</v>
      </c>
      <c r="J601" s="24" t="s">
        <v>908</v>
      </c>
      <c r="K601" s="24" t="s">
        <v>908</v>
      </c>
      <c r="M601" s="24" t="s">
        <v>908</v>
      </c>
      <c r="N601" s="24"/>
      <c r="P601" s="1" t="str">
        <f t="shared" si="18"/>
        <v>81101003</v>
      </c>
      <c r="Q601" s="263" t="str">
        <f t="shared" si="19"/>
        <v>Interest Income</v>
      </c>
    </row>
    <row r="602" spans="1:17" x14ac:dyDescent="0.25">
      <c r="A602" s="24" t="s">
        <v>480</v>
      </c>
      <c r="B602" s="24" t="s">
        <v>20</v>
      </c>
      <c r="C602" s="24" t="s">
        <v>20</v>
      </c>
      <c r="D602" s="24" t="s">
        <v>0</v>
      </c>
      <c r="E602" s="3" t="s">
        <v>7</v>
      </c>
      <c r="F602" s="5" t="s">
        <v>488</v>
      </c>
      <c r="G602" s="2" t="s">
        <v>174</v>
      </c>
      <c r="H602" s="2" t="s">
        <v>86</v>
      </c>
      <c r="I602" s="24" t="s">
        <v>908</v>
      </c>
      <c r="J602" s="24" t="s">
        <v>908</v>
      </c>
      <c r="K602" s="24" t="s">
        <v>908</v>
      </c>
      <c r="M602" s="24" t="s">
        <v>908</v>
      </c>
      <c r="N602" s="24"/>
      <c r="P602" s="1" t="str">
        <f t="shared" si="18"/>
        <v>81101004</v>
      </c>
      <c r="Q602" s="263" t="str">
        <f t="shared" si="19"/>
        <v>Exchange Rates</v>
      </c>
    </row>
    <row r="603" spans="1:17" x14ac:dyDescent="0.25">
      <c r="A603" s="24" t="s">
        <v>480</v>
      </c>
      <c r="B603" s="24" t="s">
        <v>20</v>
      </c>
      <c r="C603" s="24" t="s">
        <v>20</v>
      </c>
      <c r="D603" s="24" t="s">
        <v>0</v>
      </c>
      <c r="E603" s="2">
        <v>999</v>
      </c>
      <c r="F603" s="5" t="s">
        <v>486</v>
      </c>
      <c r="G603" s="2" t="s">
        <v>174</v>
      </c>
      <c r="H603" s="2" t="s">
        <v>86</v>
      </c>
      <c r="I603" s="24" t="s">
        <v>908</v>
      </c>
      <c r="J603" s="24" t="s">
        <v>908</v>
      </c>
      <c r="K603" s="24" t="s">
        <v>908</v>
      </c>
      <c r="M603" s="24" t="s">
        <v>908</v>
      </c>
      <c r="N603" s="24"/>
      <c r="P603" s="1" t="str">
        <f t="shared" si="18"/>
        <v>81101999</v>
      </c>
      <c r="Q603" s="263" t="str">
        <f t="shared" si="19"/>
        <v>Other - Other Income</v>
      </c>
    </row>
    <row r="604" spans="1:17" hidden="1" x14ac:dyDescent="0.25">
      <c r="A604" s="16" t="s">
        <v>480</v>
      </c>
      <c r="B604" s="16" t="s">
        <v>20</v>
      </c>
      <c r="C604" s="16" t="s">
        <v>33</v>
      </c>
      <c r="D604" s="16"/>
      <c r="E604" s="16"/>
      <c r="F604" s="18" t="s">
        <v>487</v>
      </c>
      <c r="G604" s="19" t="s">
        <v>174</v>
      </c>
      <c r="H604" s="19" t="s">
        <v>23</v>
      </c>
      <c r="I604" s="19" t="s">
        <v>907</v>
      </c>
      <c r="J604" s="19" t="s">
        <v>907</v>
      </c>
      <c r="K604" s="19" t="s">
        <v>907</v>
      </c>
      <c r="M604" s="19" t="s">
        <v>907</v>
      </c>
      <c r="N604" s="19"/>
      <c r="Q604" s="263"/>
    </row>
    <row r="605" spans="1:17" hidden="1" x14ac:dyDescent="0.25">
      <c r="A605" s="20" t="s">
        <v>480</v>
      </c>
      <c r="B605" s="20" t="s">
        <v>20</v>
      </c>
      <c r="C605" s="20" t="s">
        <v>33</v>
      </c>
      <c r="D605" s="20" t="s">
        <v>0</v>
      </c>
      <c r="E605" s="20"/>
      <c r="F605" s="22" t="s">
        <v>561</v>
      </c>
      <c r="G605" s="23" t="s">
        <v>174</v>
      </c>
      <c r="H605" s="23" t="s">
        <v>23</v>
      </c>
      <c r="I605" s="23" t="s">
        <v>907</v>
      </c>
      <c r="J605" s="23" t="s">
        <v>907</v>
      </c>
      <c r="K605" s="23" t="s">
        <v>907</v>
      </c>
      <c r="M605" s="23" t="s">
        <v>907</v>
      </c>
      <c r="N605" s="23"/>
      <c r="Q605" s="263"/>
    </row>
    <row r="606" spans="1:17" x14ac:dyDescent="0.25">
      <c r="A606" s="24" t="s">
        <v>480</v>
      </c>
      <c r="B606" s="24" t="s">
        <v>20</v>
      </c>
      <c r="C606" s="24" t="s">
        <v>33</v>
      </c>
      <c r="D606" s="24" t="s">
        <v>0</v>
      </c>
      <c r="E606" s="3" t="s">
        <v>1</v>
      </c>
      <c r="F606" s="5" t="s">
        <v>489</v>
      </c>
      <c r="G606" s="2" t="s">
        <v>174</v>
      </c>
      <c r="H606" s="2" t="s">
        <v>23</v>
      </c>
      <c r="I606" s="24" t="s">
        <v>908</v>
      </c>
      <c r="J606" s="24" t="s">
        <v>908</v>
      </c>
      <c r="K606" s="24" t="s">
        <v>908</v>
      </c>
      <c r="M606" s="24" t="s">
        <v>908</v>
      </c>
      <c r="N606" s="24"/>
      <c r="P606" s="1" t="str">
        <f t="shared" si="18"/>
        <v>81201001</v>
      </c>
      <c r="Q606" s="263" t="str">
        <f t="shared" si="19"/>
        <v>Loss and Breakage</v>
      </c>
    </row>
    <row r="607" spans="1:17" x14ac:dyDescent="0.25">
      <c r="A607" s="24" t="s">
        <v>480</v>
      </c>
      <c r="B607" s="24" t="s">
        <v>20</v>
      </c>
      <c r="C607" s="24" t="s">
        <v>33</v>
      </c>
      <c r="D607" s="24" t="s">
        <v>0</v>
      </c>
      <c r="E607" s="3" t="s">
        <v>3</v>
      </c>
      <c r="F607" s="5" t="s">
        <v>490</v>
      </c>
      <c r="G607" s="2" t="s">
        <v>174</v>
      </c>
      <c r="H607" s="2" t="s">
        <v>23</v>
      </c>
      <c r="I607" s="24" t="s">
        <v>908</v>
      </c>
      <c r="J607" s="24" t="s">
        <v>908</v>
      </c>
      <c r="K607" s="24" t="s">
        <v>908</v>
      </c>
      <c r="M607" s="24" t="s">
        <v>908</v>
      </c>
      <c r="N607" s="24"/>
      <c r="P607" s="1" t="str">
        <f t="shared" si="18"/>
        <v>81201002</v>
      </c>
      <c r="Q607" s="263" t="str">
        <f t="shared" si="19"/>
        <v>Owners Expenses</v>
      </c>
    </row>
    <row r="608" spans="1:17" x14ac:dyDescent="0.25">
      <c r="A608" s="24" t="s">
        <v>480</v>
      </c>
      <c r="B608" s="24" t="s">
        <v>20</v>
      </c>
      <c r="C608" s="24" t="s">
        <v>33</v>
      </c>
      <c r="D608" s="24" t="s">
        <v>0</v>
      </c>
      <c r="E608" s="3" t="s">
        <v>5</v>
      </c>
      <c r="F608" s="5" t="s">
        <v>491</v>
      </c>
      <c r="G608" s="2" t="s">
        <v>174</v>
      </c>
      <c r="H608" s="2" t="s">
        <v>23</v>
      </c>
      <c r="I608" s="24" t="s">
        <v>908</v>
      </c>
      <c r="J608" s="24" t="s">
        <v>908</v>
      </c>
      <c r="K608" s="24" t="s">
        <v>908</v>
      </c>
      <c r="M608" s="24" t="s">
        <v>908</v>
      </c>
      <c r="N608" s="24"/>
      <c r="P608" s="1" t="str">
        <f t="shared" si="18"/>
        <v>81201003</v>
      </c>
      <c r="Q608" s="263" t="str">
        <f t="shared" si="19"/>
        <v>Property Insurance</v>
      </c>
    </row>
    <row r="609" spans="1:17" x14ac:dyDescent="0.25">
      <c r="A609" s="24" t="s">
        <v>480</v>
      </c>
      <c r="B609" s="24" t="s">
        <v>20</v>
      </c>
      <c r="C609" s="24" t="s">
        <v>33</v>
      </c>
      <c r="D609" s="24" t="s">
        <v>0</v>
      </c>
      <c r="E609" s="3" t="s">
        <v>7</v>
      </c>
      <c r="F609" s="5" t="s">
        <v>492</v>
      </c>
      <c r="G609" s="2" t="s">
        <v>174</v>
      </c>
      <c r="H609" s="2" t="s">
        <v>23</v>
      </c>
      <c r="I609" s="24" t="s">
        <v>908</v>
      </c>
      <c r="J609" s="24" t="s">
        <v>908</v>
      </c>
      <c r="K609" s="24" t="s">
        <v>908</v>
      </c>
      <c r="M609" s="24" t="s">
        <v>908</v>
      </c>
      <c r="N609" s="24"/>
      <c r="P609" s="1" t="str">
        <f t="shared" si="18"/>
        <v>81201004</v>
      </c>
      <c r="Q609" s="263" t="str">
        <f t="shared" si="19"/>
        <v>Property Tax</v>
      </c>
    </row>
    <row r="610" spans="1:17" x14ac:dyDescent="0.25">
      <c r="A610" s="24" t="s">
        <v>480</v>
      </c>
      <c r="B610" s="24" t="s">
        <v>20</v>
      </c>
      <c r="C610" s="24" t="s">
        <v>33</v>
      </c>
      <c r="D610" s="24" t="s">
        <v>0</v>
      </c>
      <c r="E610" s="3" t="s">
        <v>9</v>
      </c>
      <c r="F610" s="5" t="s">
        <v>914</v>
      </c>
      <c r="G610" s="2" t="s">
        <v>174</v>
      </c>
      <c r="H610" s="2" t="s">
        <v>23</v>
      </c>
      <c r="I610" s="2" t="s">
        <v>910</v>
      </c>
      <c r="J610" s="2" t="s">
        <v>910</v>
      </c>
      <c r="K610" s="2" t="s">
        <v>910</v>
      </c>
      <c r="M610" s="2" t="s">
        <v>908</v>
      </c>
      <c r="N610" s="24"/>
      <c r="P610" s="1" t="str">
        <f t="shared" si="18"/>
        <v>81201005</v>
      </c>
      <c r="Q610" s="263" t="str">
        <f t="shared" si="19"/>
        <v>Property Rent / Land Assessment</v>
      </c>
    </row>
    <row r="611" spans="1:17" x14ac:dyDescent="0.25">
      <c r="A611" s="24" t="s">
        <v>480</v>
      </c>
      <c r="B611" s="24" t="s">
        <v>20</v>
      </c>
      <c r="C611" s="24" t="s">
        <v>33</v>
      </c>
      <c r="D611" s="24" t="s">
        <v>0</v>
      </c>
      <c r="E611" s="3" t="s">
        <v>10</v>
      </c>
      <c r="F611" s="5" t="s">
        <v>494</v>
      </c>
      <c r="G611" s="2" t="s">
        <v>174</v>
      </c>
      <c r="H611" s="2" t="s">
        <v>23</v>
      </c>
      <c r="I611" s="24" t="s">
        <v>908</v>
      </c>
      <c r="J611" s="24" t="s">
        <v>908</v>
      </c>
      <c r="K611" s="24" t="s">
        <v>908</v>
      </c>
      <c r="M611" s="24" t="s">
        <v>908</v>
      </c>
      <c r="N611" s="24"/>
      <c r="P611" s="1" t="str">
        <f t="shared" si="18"/>
        <v>81201006</v>
      </c>
      <c r="Q611" s="263" t="str">
        <f t="shared" si="19"/>
        <v>Project &amp; Building Renovation</v>
      </c>
    </row>
    <row r="612" spans="1:17" x14ac:dyDescent="0.25">
      <c r="A612" s="24" t="s">
        <v>480</v>
      </c>
      <c r="B612" s="24" t="s">
        <v>20</v>
      </c>
      <c r="C612" s="24" t="s">
        <v>33</v>
      </c>
      <c r="D612" s="24" t="s">
        <v>0</v>
      </c>
      <c r="E612" s="3" t="s">
        <v>11</v>
      </c>
      <c r="F612" s="5" t="s">
        <v>549</v>
      </c>
      <c r="G612" s="2" t="s">
        <v>174</v>
      </c>
      <c r="H612" s="2" t="s">
        <v>23</v>
      </c>
      <c r="I612" s="24" t="s">
        <v>908</v>
      </c>
      <c r="J612" s="24" t="s">
        <v>908</v>
      </c>
      <c r="K612" s="24" t="s">
        <v>908</v>
      </c>
      <c r="M612" s="24" t="s">
        <v>908</v>
      </c>
      <c r="N612" s="24"/>
      <c r="P612" s="1" t="str">
        <f t="shared" si="18"/>
        <v>81201007</v>
      </c>
      <c r="Q612" s="263" t="str">
        <f t="shared" si="19"/>
        <v>Consultant Fee</v>
      </c>
    </row>
    <row r="613" spans="1:17" x14ac:dyDescent="0.25">
      <c r="A613" s="24" t="s">
        <v>480</v>
      </c>
      <c r="B613" s="24" t="s">
        <v>20</v>
      </c>
      <c r="C613" s="24" t="s">
        <v>33</v>
      </c>
      <c r="D613" s="24" t="s">
        <v>0</v>
      </c>
      <c r="E613" s="2">
        <v>999</v>
      </c>
      <c r="F613" s="5" t="s">
        <v>495</v>
      </c>
      <c r="G613" s="2" t="s">
        <v>174</v>
      </c>
      <c r="H613" s="2" t="s">
        <v>23</v>
      </c>
      <c r="I613" s="24" t="s">
        <v>908</v>
      </c>
      <c r="J613" s="24" t="s">
        <v>908</v>
      </c>
      <c r="K613" s="24" t="s">
        <v>908</v>
      </c>
      <c r="M613" s="24" t="s">
        <v>908</v>
      </c>
      <c r="N613" s="24"/>
      <c r="P613" s="1" t="str">
        <f t="shared" si="18"/>
        <v>81201999</v>
      </c>
      <c r="Q613" s="263" t="str">
        <f t="shared" si="19"/>
        <v>Other - Other Expense</v>
      </c>
    </row>
    <row r="614" spans="1:17" hidden="1" x14ac:dyDescent="0.25">
      <c r="A614" s="20" t="s">
        <v>480</v>
      </c>
      <c r="B614" s="20" t="s">
        <v>20</v>
      </c>
      <c r="C614" s="20" t="s">
        <v>33</v>
      </c>
      <c r="D614" s="20" t="s">
        <v>2</v>
      </c>
      <c r="E614" s="20"/>
      <c r="F614" s="22" t="s">
        <v>562</v>
      </c>
      <c r="G614" s="23" t="s">
        <v>174</v>
      </c>
      <c r="H614" s="23" t="s">
        <v>23</v>
      </c>
      <c r="I614" s="23" t="s">
        <v>907</v>
      </c>
      <c r="J614" s="23" t="s">
        <v>907</v>
      </c>
      <c r="K614" s="23" t="s">
        <v>907</v>
      </c>
      <c r="M614" s="23" t="s">
        <v>907</v>
      </c>
      <c r="N614" s="23"/>
      <c r="Q614" s="263"/>
    </row>
    <row r="615" spans="1:17" x14ac:dyDescent="0.25">
      <c r="A615" s="24" t="s">
        <v>480</v>
      </c>
      <c r="B615" s="24" t="s">
        <v>20</v>
      </c>
      <c r="C615" s="24" t="s">
        <v>33</v>
      </c>
      <c r="D615" s="24" t="s">
        <v>2</v>
      </c>
      <c r="E615" s="2" t="s">
        <v>1</v>
      </c>
      <c r="F615" s="5" t="s">
        <v>496</v>
      </c>
      <c r="G615" s="2" t="s">
        <v>174</v>
      </c>
      <c r="H615" s="2" t="s">
        <v>23</v>
      </c>
      <c r="I615" s="24" t="s">
        <v>908</v>
      </c>
      <c r="J615" s="24" t="s">
        <v>908</v>
      </c>
      <c r="K615" s="24" t="s">
        <v>908</v>
      </c>
      <c r="M615" s="24" t="s">
        <v>908</v>
      </c>
      <c r="N615" s="24"/>
      <c r="P615" s="1" t="str">
        <f t="shared" si="18"/>
        <v>81202001</v>
      </c>
      <c r="Q615" s="263" t="str">
        <f t="shared" si="19"/>
        <v>Management Fee</v>
      </c>
    </row>
    <row r="616" spans="1:17" x14ac:dyDescent="0.25">
      <c r="A616" s="24" t="s">
        <v>480</v>
      </c>
      <c r="B616" s="24" t="s">
        <v>20</v>
      </c>
      <c r="C616" s="24" t="s">
        <v>33</v>
      </c>
      <c r="D616" s="24" t="s">
        <v>2</v>
      </c>
      <c r="E616" s="2" t="s">
        <v>3</v>
      </c>
      <c r="F616" s="5" t="s">
        <v>497</v>
      </c>
      <c r="G616" s="2" t="s">
        <v>174</v>
      </c>
      <c r="H616" s="2" t="s">
        <v>23</v>
      </c>
      <c r="I616" s="24" t="s">
        <v>908</v>
      </c>
      <c r="J616" s="24" t="s">
        <v>908</v>
      </c>
      <c r="K616" s="24" t="s">
        <v>908</v>
      </c>
      <c r="M616" s="24" t="s">
        <v>908</v>
      </c>
      <c r="N616" s="24"/>
      <c r="P616" s="1" t="str">
        <f t="shared" si="18"/>
        <v>81202002</v>
      </c>
      <c r="Q616" s="263" t="str">
        <f t="shared" si="19"/>
        <v>Marketing Fee</v>
      </c>
    </row>
    <row r="617" spans="1:17" x14ac:dyDescent="0.25">
      <c r="A617" s="24" t="s">
        <v>480</v>
      </c>
      <c r="B617" s="24" t="s">
        <v>20</v>
      </c>
      <c r="C617" s="24" t="s">
        <v>33</v>
      </c>
      <c r="D617" s="24" t="s">
        <v>2</v>
      </c>
      <c r="E617" s="2" t="s">
        <v>5</v>
      </c>
      <c r="F617" s="5" t="s">
        <v>498</v>
      </c>
      <c r="G617" s="2" t="s">
        <v>174</v>
      </c>
      <c r="H617" s="2" t="s">
        <v>23</v>
      </c>
      <c r="I617" s="24" t="s">
        <v>908</v>
      </c>
      <c r="J617" s="24" t="s">
        <v>908</v>
      </c>
      <c r="K617" s="24" t="s">
        <v>908</v>
      </c>
      <c r="M617" s="24" t="s">
        <v>908</v>
      </c>
      <c r="N617" s="24"/>
      <c r="P617" s="1" t="str">
        <f t="shared" si="18"/>
        <v>81202003</v>
      </c>
      <c r="Q617" s="263" t="str">
        <f t="shared" si="19"/>
        <v>Royalty Fee</v>
      </c>
    </row>
    <row r="618" spans="1:17" hidden="1" x14ac:dyDescent="0.25">
      <c r="A618" s="20" t="s">
        <v>480</v>
      </c>
      <c r="B618" s="20" t="s">
        <v>20</v>
      </c>
      <c r="C618" s="20" t="s">
        <v>33</v>
      </c>
      <c r="D618" s="20" t="s">
        <v>4</v>
      </c>
      <c r="E618" s="20"/>
      <c r="F618" s="22" t="s">
        <v>583</v>
      </c>
      <c r="G618" s="23" t="s">
        <v>174</v>
      </c>
      <c r="H618" s="23" t="s">
        <v>23</v>
      </c>
      <c r="I618" s="23" t="s">
        <v>907</v>
      </c>
      <c r="J618" s="23" t="s">
        <v>907</v>
      </c>
      <c r="K618" s="23" t="s">
        <v>907</v>
      </c>
      <c r="M618" s="23" t="s">
        <v>907</v>
      </c>
      <c r="N618" s="23"/>
      <c r="Q618" s="263"/>
    </row>
    <row r="619" spans="1:17" x14ac:dyDescent="0.25">
      <c r="A619" s="24" t="s">
        <v>480</v>
      </c>
      <c r="B619" s="24" t="s">
        <v>20</v>
      </c>
      <c r="C619" s="24" t="s">
        <v>33</v>
      </c>
      <c r="D619" s="24" t="s">
        <v>4</v>
      </c>
      <c r="E619" s="2" t="s">
        <v>1</v>
      </c>
      <c r="F619" s="5" t="s">
        <v>499</v>
      </c>
      <c r="G619" s="2" t="s">
        <v>174</v>
      </c>
      <c r="H619" s="2" t="s">
        <v>23</v>
      </c>
      <c r="I619" s="2" t="s">
        <v>907</v>
      </c>
      <c r="J619" s="2" t="s">
        <v>907</v>
      </c>
      <c r="K619" s="2" t="s">
        <v>907</v>
      </c>
      <c r="M619" s="2" t="s">
        <v>907</v>
      </c>
      <c r="N619" s="24"/>
      <c r="P619" s="1" t="str">
        <f t="shared" si="18"/>
        <v>81203001</v>
      </c>
      <c r="Q619" s="263" t="str">
        <f t="shared" si="19"/>
        <v>Provision for THR</v>
      </c>
    </row>
    <row r="620" spans="1:17" x14ac:dyDescent="0.25">
      <c r="A620" s="24" t="s">
        <v>480</v>
      </c>
      <c r="B620" s="24" t="s">
        <v>20</v>
      </c>
      <c r="C620" s="24" t="s">
        <v>33</v>
      </c>
      <c r="D620" s="24" t="s">
        <v>4</v>
      </c>
      <c r="E620" s="2" t="s">
        <v>3</v>
      </c>
      <c r="F620" s="5" t="s">
        <v>500</v>
      </c>
      <c r="G620" s="2" t="s">
        <v>174</v>
      </c>
      <c r="H620" s="2" t="s">
        <v>23</v>
      </c>
      <c r="I620" s="2" t="s">
        <v>907</v>
      </c>
      <c r="J620" s="2" t="s">
        <v>907</v>
      </c>
      <c r="K620" s="2" t="s">
        <v>907</v>
      </c>
      <c r="M620" s="2" t="s">
        <v>907</v>
      </c>
      <c r="N620" s="24"/>
      <c r="P620" s="1" t="str">
        <f t="shared" si="18"/>
        <v>81203002</v>
      </c>
      <c r="Q620" s="263" t="str">
        <f t="shared" si="19"/>
        <v>Provision for Bonus</v>
      </c>
    </row>
    <row r="621" spans="1:17" x14ac:dyDescent="0.25">
      <c r="A621" s="24" t="s">
        <v>480</v>
      </c>
      <c r="B621" s="24" t="s">
        <v>20</v>
      </c>
      <c r="C621" s="24" t="s">
        <v>33</v>
      </c>
      <c r="D621" s="24" t="s">
        <v>4</v>
      </c>
      <c r="E621" s="2" t="s">
        <v>5</v>
      </c>
      <c r="F621" s="5" t="s">
        <v>501</v>
      </c>
      <c r="G621" s="2" t="s">
        <v>174</v>
      </c>
      <c r="H621" s="2" t="s">
        <v>23</v>
      </c>
      <c r="I621" s="24" t="s">
        <v>908</v>
      </c>
      <c r="J621" s="24" t="s">
        <v>908</v>
      </c>
      <c r="K621" s="24" t="s">
        <v>908</v>
      </c>
      <c r="M621" s="24" t="s">
        <v>908</v>
      </c>
      <c r="N621" s="24"/>
      <c r="P621" s="1" t="str">
        <f t="shared" si="18"/>
        <v>81203003</v>
      </c>
      <c r="Q621" s="263" t="str">
        <f t="shared" si="19"/>
        <v>Provision for Replacement FFE</v>
      </c>
    </row>
    <row r="622" spans="1:17" hidden="1" x14ac:dyDescent="0.25">
      <c r="A622" s="12" t="s">
        <v>480</v>
      </c>
      <c r="B622" s="12" t="s">
        <v>33</v>
      </c>
      <c r="C622" s="12"/>
      <c r="D622" s="12"/>
      <c r="E622" s="12"/>
      <c r="F622" s="13" t="s">
        <v>506</v>
      </c>
      <c r="G622" s="14" t="s">
        <v>174</v>
      </c>
      <c r="H622" s="14" t="s">
        <v>23</v>
      </c>
      <c r="I622" s="14" t="s">
        <v>907</v>
      </c>
      <c r="J622" s="14" t="s">
        <v>907</v>
      </c>
      <c r="K622" s="14" t="s">
        <v>907</v>
      </c>
      <c r="M622" s="14" t="s">
        <v>907</v>
      </c>
      <c r="N622" s="14"/>
      <c r="Q622" s="263"/>
    </row>
    <row r="623" spans="1:17" hidden="1" x14ac:dyDescent="0.25">
      <c r="A623" s="16" t="s">
        <v>480</v>
      </c>
      <c r="B623" s="16" t="s">
        <v>33</v>
      </c>
      <c r="C623" s="16" t="s">
        <v>20</v>
      </c>
      <c r="D623" s="16"/>
      <c r="E623" s="16"/>
      <c r="F623" s="18" t="s">
        <v>507</v>
      </c>
      <c r="G623" s="19" t="s">
        <v>174</v>
      </c>
      <c r="H623" s="19" t="s">
        <v>23</v>
      </c>
      <c r="I623" s="19" t="s">
        <v>907</v>
      </c>
      <c r="J623" s="19" t="s">
        <v>907</v>
      </c>
      <c r="K623" s="19" t="s">
        <v>907</v>
      </c>
      <c r="M623" s="19" t="s">
        <v>907</v>
      </c>
      <c r="N623" s="19"/>
      <c r="Q623" s="263"/>
    </row>
    <row r="624" spans="1:17" hidden="1" x14ac:dyDescent="0.25">
      <c r="A624" s="20" t="s">
        <v>480</v>
      </c>
      <c r="B624" s="20" t="s">
        <v>33</v>
      </c>
      <c r="C624" s="20" t="s">
        <v>20</v>
      </c>
      <c r="D624" s="20" t="s">
        <v>0</v>
      </c>
      <c r="E624" s="20"/>
      <c r="F624" s="22" t="s">
        <v>581</v>
      </c>
      <c r="G624" s="23" t="s">
        <v>174</v>
      </c>
      <c r="H624" s="23" t="s">
        <v>23</v>
      </c>
      <c r="I624" s="23" t="s">
        <v>907</v>
      </c>
      <c r="J624" s="23" t="s">
        <v>907</v>
      </c>
      <c r="K624" s="23" t="s">
        <v>907</v>
      </c>
      <c r="M624" s="23" t="s">
        <v>907</v>
      </c>
      <c r="N624" s="23"/>
      <c r="Q624" s="263"/>
    </row>
    <row r="625" spans="1:17" x14ac:dyDescent="0.25">
      <c r="A625" s="24" t="s">
        <v>480</v>
      </c>
      <c r="B625" s="24" t="s">
        <v>33</v>
      </c>
      <c r="C625" s="24" t="s">
        <v>20</v>
      </c>
      <c r="D625" s="24" t="s">
        <v>0</v>
      </c>
      <c r="E625" s="24" t="s">
        <v>1</v>
      </c>
      <c r="F625" s="5" t="s">
        <v>508</v>
      </c>
      <c r="G625" s="2" t="s">
        <v>174</v>
      </c>
      <c r="H625" s="2" t="s">
        <v>23</v>
      </c>
      <c r="I625" s="24" t="s">
        <v>908</v>
      </c>
      <c r="J625" s="24" t="s">
        <v>908</v>
      </c>
      <c r="K625" s="24" t="s">
        <v>908</v>
      </c>
      <c r="M625" s="24" t="s">
        <v>908</v>
      </c>
      <c r="N625" s="24"/>
      <c r="P625" s="1" t="str">
        <f t="shared" si="18"/>
        <v>82101001</v>
      </c>
      <c r="Q625" s="263" t="str">
        <f t="shared" si="19"/>
        <v>Depreciation of Building</v>
      </c>
    </row>
    <row r="626" spans="1:17" x14ac:dyDescent="0.25">
      <c r="A626" s="24" t="s">
        <v>480</v>
      </c>
      <c r="B626" s="24" t="s">
        <v>33</v>
      </c>
      <c r="C626" s="24" t="s">
        <v>20</v>
      </c>
      <c r="D626" s="24" t="s">
        <v>0</v>
      </c>
      <c r="E626" s="24" t="s">
        <v>3</v>
      </c>
      <c r="F626" s="5" t="s">
        <v>510</v>
      </c>
      <c r="G626" s="2" t="s">
        <v>174</v>
      </c>
      <c r="H626" s="2" t="s">
        <v>23</v>
      </c>
      <c r="I626" s="24" t="s">
        <v>908</v>
      </c>
      <c r="J626" s="24" t="s">
        <v>908</v>
      </c>
      <c r="K626" s="24" t="s">
        <v>908</v>
      </c>
      <c r="M626" s="24" t="s">
        <v>908</v>
      </c>
      <c r="N626" s="24"/>
      <c r="P626" s="1" t="str">
        <f t="shared" si="18"/>
        <v>82101002</v>
      </c>
      <c r="Q626" s="263" t="str">
        <f t="shared" si="19"/>
        <v>Depreciation of Machine</v>
      </c>
    </row>
    <row r="627" spans="1:17" x14ac:dyDescent="0.25">
      <c r="A627" s="24" t="s">
        <v>480</v>
      </c>
      <c r="B627" s="24" t="s">
        <v>33</v>
      </c>
      <c r="C627" s="24" t="s">
        <v>20</v>
      </c>
      <c r="D627" s="24" t="s">
        <v>0</v>
      </c>
      <c r="E627" s="24" t="s">
        <v>5</v>
      </c>
      <c r="F627" s="5" t="s">
        <v>546</v>
      </c>
      <c r="G627" s="2" t="s">
        <v>174</v>
      </c>
      <c r="H627" s="2" t="s">
        <v>23</v>
      </c>
      <c r="I627" s="24" t="s">
        <v>908</v>
      </c>
      <c r="J627" s="24" t="s">
        <v>908</v>
      </c>
      <c r="K627" s="24" t="s">
        <v>908</v>
      </c>
      <c r="M627" s="24" t="s">
        <v>908</v>
      </c>
      <c r="N627" s="24"/>
      <c r="P627" s="1" t="str">
        <f t="shared" si="18"/>
        <v>82101003</v>
      </c>
      <c r="Q627" s="263" t="str">
        <f t="shared" si="19"/>
        <v>Depreciation of General Building System Equipment</v>
      </c>
    </row>
    <row r="628" spans="1:17" x14ac:dyDescent="0.25">
      <c r="A628" s="24" t="s">
        <v>480</v>
      </c>
      <c r="B628" s="24" t="s">
        <v>33</v>
      </c>
      <c r="C628" s="24" t="s">
        <v>20</v>
      </c>
      <c r="D628" s="24" t="s">
        <v>0</v>
      </c>
      <c r="E628" s="24" t="s">
        <v>7</v>
      </c>
      <c r="F628" s="5" t="s">
        <v>511</v>
      </c>
      <c r="G628" s="2" t="s">
        <v>174</v>
      </c>
      <c r="H628" s="2" t="s">
        <v>23</v>
      </c>
      <c r="I628" s="24" t="s">
        <v>908</v>
      </c>
      <c r="J628" s="24" t="s">
        <v>908</v>
      </c>
      <c r="K628" s="24" t="s">
        <v>908</v>
      </c>
      <c r="M628" s="24" t="s">
        <v>908</v>
      </c>
      <c r="N628" s="24"/>
      <c r="P628" s="1" t="str">
        <f t="shared" si="18"/>
        <v>82101004</v>
      </c>
      <c r="Q628" s="263" t="str">
        <f t="shared" si="19"/>
        <v>Depreciation of Furniture &amp; Fixture</v>
      </c>
    </row>
    <row r="629" spans="1:17" x14ac:dyDescent="0.25">
      <c r="A629" s="24" t="s">
        <v>480</v>
      </c>
      <c r="B629" s="24" t="s">
        <v>33</v>
      </c>
      <c r="C629" s="24" t="s">
        <v>20</v>
      </c>
      <c r="D629" s="24" t="s">
        <v>0</v>
      </c>
      <c r="E629" s="24" t="s">
        <v>9</v>
      </c>
      <c r="F629" s="5" t="s">
        <v>513</v>
      </c>
      <c r="G629" s="2" t="s">
        <v>174</v>
      </c>
      <c r="H629" s="2" t="s">
        <v>23</v>
      </c>
      <c r="I629" s="24" t="s">
        <v>908</v>
      </c>
      <c r="J629" s="24" t="s">
        <v>908</v>
      </c>
      <c r="K629" s="24" t="s">
        <v>908</v>
      </c>
      <c r="M629" s="24" t="s">
        <v>908</v>
      </c>
      <c r="N629" s="24"/>
      <c r="P629" s="1" t="str">
        <f t="shared" si="18"/>
        <v>82101005</v>
      </c>
      <c r="Q629" s="263" t="str">
        <f t="shared" si="19"/>
        <v>Depreciation of Vehicle</v>
      </c>
    </row>
    <row r="630" spans="1:17" x14ac:dyDescent="0.25">
      <c r="A630" s="24" t="s">
        <v>480</v>
      </c>
      <c r="B630" s="24" t="s">
        <v>33</v>
      </c>
      <c r="C630" s="24" t="s">
        <v>20</v>
      </c>
      <c r="D630" s="24" t="s">
        <v>0</v>
      </c>
      <c r="E630" s="24" t="s">
        <v>43</v>
      </c>
      <c r="F630" s="5" t="s">
        <v>512</v>
      </c>
      <c r="G630" s="2" t="s">
        <v>174</v>
      </c>
      <c r="H630" s="2" t="s">
        <v>23</v>
      </c>
      <c r="I630" s="24" t="s">
        <v>908</v>
      </c>
      <c r="J630" s="24" t="s">
        <v>908</v>
      </c>
      <c r="K630" s="24" t="s">
        <v>908</v>
      </c>
      <c r="M630" s="24" t="s">
        <v>908</v>
      </c>
      <c r="N630" s="24"/>
      <c r="P630" s="1" t="str">
        <f t="shared" si="18"/>
        <v>82101999</v>
      </c>
      <c r="Q630" s="263" t="str">
        <f t="shared" si="19"/>
        <v>Depreciation of Other Equipment</v>
      </c>
    </row>
    <row r="631" spans="1:17" hidden="1" x14ac:dyDescent="0.25">
      <c r="A631" s="16" t="s">
        <v>480</v>
      </c>
      <c r="B631" s="16" t="s">
        <v>33</v>
      </c>
      <c r="C631" s="16" t="s">
        <v>33</v>
      </c>
      <c r="D631" s="16"/>
      <c r="E631" s="16"/>
      <c r="F631" s="18" t="s">
        <v>515</v>
      </c>
      <c r="G631" s="19" t="s">
        <v>174</v>
      </c>
      <c r="H631" s="19" t="s">
        <v>23</v>
      </c>
      <c r="I631" s="19" t="s">
        <v>907</v>
      </c>
      <c r="J631" s="19" t="s">
        <v>907</v>
      </c>
      <c r="K631" s="19" t="s">
        <v>907</v>
      </c>
      <c r="M631" s="19" t="s">
        <v>907</v>
      </c>
      <c r="N631" s="19"/>
      <c r="Q631" s="263"/>
    </row>
    <row r="632" spans="1:17" hidden="1" x14ac:dyDescent="0.25">
      <c r="A632" s="20" t="s">
        <v>480</v>
      </c>
      <c r="B632" s="20" t="s">
        <v>33</v>
      </c>
      <c r="C632" s="20" t="s">
        <v>33</v>
      </c>
      <c r="D632" s="20" t="s">
        <v>0</v>
      </c>
      <c r="E632" s="20"/>
      <c r="F632" s="22" t="s">
        <v>516</v>
      </c>
      <c r="G632" s="23" t="s">
        <v>174</v>
      </c>
      <c r="H632" s="23" t="s">
        <v>23</v>
      </c>
      <c r="I632" s="23" t="s">
        <v>907</v>
      </c>
      <c r="J632" s="23" t="s">
        <v>907</v>
      </c>
      <c r="K632" s="23" t="s">
        <v>907</v>
      </c>
      <c r="M632" s="23" t="s">
        <v>907</v>
      </c>
      <c r="N632" s="23"/>
      <c r="Q632" s="263"/>
    </row>
    <row r="633" spans="1:17" x14ac:dyDescent="0.25">
      <c r="A633" s="24" t="s">
        <v>480</v>
      </c>
      <c r="B633" s="24" t="s">
        <v>33</v>
      </c>
      <c r="C633" s="24" t="s">
        <v>33</v>
      </c>
      <c r="D633" s="24" t="s">
        <v>0</v>
      </c>
      <c r="E633" s="2" t="s">
        <v>1</v>
      </c>
      <c r="F633" s="5" t="s">
        <v>517</v>
      </c>
      <c r="G633" s="2" t="s">
        <v>174</v>
      </c>
      <c r="H633" s="2" t="s">
        <v>23</v>
      </c>
      <c r="I633" s="24" t="s">
        <v>908</v>
      </c>
      <c r="J633" s="24" t="s">
        <v>908</v>
      </c>
      <c r="K633" s="24" t="s">
        <v>908</v>
      </c>
      <c r="M633" s="24" t="s">
        <v>908</v>
      </c>
      <c r="N633" s="24"/>
      <c r="P633" s="1" t="str">
        <f t="shared" si="18"/>
        <v>82201001</v>
      </c>
      <c r="Q633" s="263" t="str">
        <f t="shared" si="19"/>
        <v>Amortization of Software</v>
      </c>
    </row>
    <row r="634" spans="1:17" x14ac:dyDescent="0.25">
      <c r="A634" s="24" t="s">
        <v>480</v>
      </c>
      <c r="B634" s="24" t="s">
        <v>33</v>
      </c>
      <c r="C634" s="24" t="s">
        <v>33</v>
      </c>
      <c r="D634" s="24" t="s">
        <v>0</v>
      </c>
      <c r="E634" s="2" t="s">
        <v>3</v>
      </c>
      <c r="F634" s="5" t="s">
        <v>518</v>
      </c>
      <c r="G634" s="2" t="s">
        <v>174</v>
      </c>
      <c r="H634" s="2" t="s">
        <v>23</v>
      </c>
      <c r="I634" s="24" t="s">
        <v>908</v>
      </c>
      <c r="J634" s="24" t="s">
        <v>908</v>
      </c>
      <c r="K634" s="24" t="s">
        <v>908</v>
      </c>
      <c r="M634" s="24" t="s">
        <v>908</v>
      </c>
      <c r="N634" s="24"/>
      <c r="P634" s="1" t="str">
        <f t="shared" si="18"/>
        <v>82201002</v>
      </c>
      <c r="Q634" s="263" t="str">
        <f t="shared" si="19"/>
        <v>Amortization of Goodwill</v>
      </c>
    </row>
    <row r="635" spans="1:17" x14ac:dyDescent="0.25">
      <c r="A635" s="24" t="s">
        <v>480</v>
      </c>
      <c r="B635" s="24" t="s">
        <v>33</v>
      </c>
      <c r="C635" s="24" t="s">
        <v>33</v>
      </c>
      <c r="D635" s="24" t="s">
        <v>0</v>
      </c>
      <c r="E635" s="2" t="s">
        <v>5</v>
      </c>
      <c r="F635" s="5" t="s">
        <v>519</v>
      </c>
      <c r="G635" s="2" t="s">
        <v>174</v>
      </c>
      <c r="H635" s="2" t="s">
        <v>23</v>
      </c>
      <c r="I635" s="24" t="s">
        <v>908</v>
      </c>
      <c r="J635" s="24" t="s">
        <v>908</v>
      </c>
      <c r="K635" s="24" t="s">
        <v>908</v>
      </c>
      <c r="M635" s="24" t="s">
        <v>908</v>
      </c>
      <c r="N635" s="24"/>
      <c r="P635" s="1" t="str">
        <f t="shared" si="18"/>
        <v>82201003</v>
      </c>
      <c r="Q635" s="263" t="str">
        <f t="shared" si="19"/>
        <v>Amortization of License</v>
      </c>
    </row>
    <row r="636" spans="1:17" x14ac:dyDescent="0.25">
      <c r="A636" s="24" t="s">
        <v>480</v>
      </c>
      <c r="B636" s="24" t="s">
        <v>33</v>
      </c>
      <c r="C636" s="24" t="s">
        <v>33</v>
      </c>
      <c r="D636" s="24" t="s">
        <v>0</v>
      </c>
      <c r="E636" s="2" t="s">
        <v>7</v>
      </c>
      <c r="F636" s="5" t="s">
        <v>520</v>
      </c>
      <c r="G636" s="2" t="s">
        <v>174</v>
      </c>
      <c r="H636" s="2" t="s">
        <v>23</v>
      </c>
      <c r="I636" s="24" t="s">
        <v>908</v>
      </c>
      <c r="J636" s="24" t="s">
        <v>908</v>
      </c>
      <c r="K636" s="24" t="s">
        <v>908</v>
      </c>
      <c r="M636" s="24" t="s">
        <v>908</v>
      </c>
      <c r="N636" s="24"/>
      <c r="P636" s="1" t="str">
        <f t="shared" si="18"/>
        <v>82201004</v>
      </c>
      <c r="Q636" s="263" t="str">
        <f t="shared" si="19"/>
        <v>Amortization of Building Rights on Land</v>
      </c>
    </row>
    <row r="637" spans="1:17" x14ac:dyDescent="0.25">
      <c r="A637" s="24" t="s">
        <v>480</v>
      </c>
      <c r="B637" s="24" t="s">
        <v>33</v>
      </c>
      <c r="C637" s="24" t="s">
        <v>33</v>
      </c>
      <c r="D637" s="24" t="s">
        <v>0</v>
      </c>
      <c r="E637" s="2">
        <v>999</v>
      </c>
      <c r="F637" s="5" t="s">
        <v>547</v>
      </c>
      <c r="G637" s="2" t="s">
        <v>174</v>
      </c>
      <c r="H637" s="2" t="s">
        <v>23</v>
      </c>
      <c r="I637" s="24" t="s">
        <v>908</v>
      </c>
      <c r="J637" s="24" t="s">
        <v>908</v>
      </c>
      <c r="K637" s="24" t="s">
        <v>908</v>
      </c>
      <c r="M637" s="24" t="s">
        <v>908</v>
      </c>
      <c r="N637" s="24"/>
      <c r="P637" s="1" t="str">
        <f t="shared" si="18"/>
        <v>82201999</v>
      </c>
      <c r="Q637" s="263" t="str">
        <f t="shared" si="19"/>
        <v>Amortization of Other Intangible Asset</v>
      </c>
    </row>
    <row r="638" spans="1:17" hidden="1" x14ac:dyDescent="0.25">
      <c r="A638" s="20" t="s">
        <v>480</v>
      </c>
      <c r="B638" s="20" t="s">
        <v>33</v>
      </c>
      <c r="C638" s="20" t="s">
        <v>33</v>
      </c>
      <c r="D638" s="21" t="s">
        <v>2</v>
      </c>
      <c r="E638" s="20"/>
      <c r="F638" s="22" t="s">
        <v>521</v>
      </c>
      <c r="G638" s="23" t="s">
        <v>174</v>
      </c>
      <c r="H638" s="23" t="s">
        <v>23</v>
      </c>
      <c r="I638" s="23" t="s">
        <v>907</v>
      </c>
      <c r="J638" s="23" t="s">
        <v>907</v>
      </c>
      <c r="K638" s="23" t="s">
        <v>907</v>
      </c>
      <c r="M638" s="23" t="s">
        <v>907</v>
      </c>
      <c r="N638" s="23"/>
      <c r="Q638" s="263"/>
    </row>
    <row r="639" spans="1:17" x14ac:dyDescent="0.25">
      <c r="A639" s="24" t="s">
        <v>480</v>
      </c>
      <c r="B639" s="24" t="s">
        <v>33</v>
      </c>
      <c r="C639" s="24" t="s">
        <v>33</v>
      </c>
      <c r="D639" s="24" t="s">
        <v>2</v>
      </c>
      <c r="E639" s="24" t="s">
        <v>1</v>
      </c>
      <c r="F639" s="5" t="s">
        <v>877</v>
      </c>
      <c r="G639" s="2" t="s">
        <v>174</v>
      </c>
      <c r="H639" s="2" t="s">
        <v>23</v>
      </c>
      <c r="I639" s="24" t="s">
        <v>908</v>
      </c>
      <c r="J639" s="24" t="s">
        <v>908</v>
      </c>
      <c r="K639" s="24" t="s">
        <v>908</v>
      </c>
      <c r="M639" s="24" t="s">
        <v>908</v>
      </c>
      <c r="N639" s="24"/>
      <c r="P639" s="1" t="str">
        <f t="shared" si="18"/>
        <v>82202001</v>
      </c>
      <c r="Q639" s="263" t="str">
        <f t="shared" si="19"/>
        <v>Amortization Of Pre Opening Expenses</v>
      </c>
    </row>
    <row r="640" spans="1:17" hidden="1" x14ac:dyDescent="0.25">
      <c r="A640" s="12" t="s">
        <v>480</v>
      </c>
      <c r="B640" s="12" t="s">
        <v>44</v>
      </c>
      <c r="C640" s="12"/>
      <c r="D640" s="12"/>
      <c r="E640" s="12"/>
      <c r="F640" s="13" t="s">
        <v>1554</v>
      </c>
      <c r="G640" s="14" t="s">
        <v>174</v>
      </c>
      <c r="H640" s="14" t="s">
        <v>23</v>
      </c>
      <c r="I640" s="14" t="s">
        <v>907</v>
      </c>
      <c r="J640" s="14" t="s">
        <v>907</v>
      </c>
      <c r="K640" s="14" t="s">
        <v>907</v>
      </c>
      <c r="M640" s="14" t="s">
        <v>907</v>
      </c>
      <c r="N640" s="14"/>
      <c r="Q640" s="263"/>
    </row>
    <row r="641" spans="1:17" hidden="1" x14ac:dyDescent="0.25">
      <c r="A641" s="16" t="s">
        <v>480</v>
      </c>
      <c r="B641" s="16" t="s">
        <v>44</v>
      </c>
      <c r="C641" s="16" t="s">
        <v>20</v>
      </c>
      <c r="D641" s="16"/>
      <c r="E641" s="16"/>
      <c r="F641" s="18" t="s">
        <v>1555</v>
      </c>
      <c r="G641" s="19" t="s">
        <v>174</v>
      </c>
      <c r="H641" s="19" t="s">
        <v>23</v>
      </c>
      <c r="I641" s="19" t="s">
        <v>907</v>
      </c>
      <c r="J641" s="19" t="s">
        <v>907</v>
      </c>
      <c r="K641" s="19" t="s">
        <v>907</v>
      </c>
      <c r="M641" s="19" t="s">
        <v>907</v>
      </c>
      <c r="N641" s="19"/>
      <c r="Q641" s="263"/>
    </row>
    <row r="642" spans="1:17" hidden="1" x14ac:dyDescent="0.25">
      <c r="A642" s="20" t="s">
        <v>480</v>
      </c>
      <c r="B642" s="20" t="s">
        <v>44</v>
      </c>
      <c r="C642" s="20" t="s">
        <v>20</v>
      </c>
      <c r="D642" s="20" t="s">
        <v>0</v>
      </c>
      <c r="E642" s="20"/>
      <c r="F642" s="15" t="s">
        <v>502</v>
      </c>
      <c r="G642" s="23" t="s">
        <v>174</v>
      </c>
      <c r="H642" s="23" t="s">
        <v>23</v>
      </c>
      <c r="I642" s="20" t="s">
        <v>907</v>
      </c>
      <c r="J642" s="20" t="s">
        <v>907</v>
      </c>
      <c r="K642" s="20" t="s">
        <v>907</v>
      </c>
      <c r="M642" s="20" t="s">
        <v>907</v>
      </c>
      <c r="N642" s="20"/>
      <c r="Q642" s="263"/>
    </row>
    <row r="643" spans="1:17" x14ac:dyDescent="0.25">
      <c r="A643" s="24" t="s">
        <v>480</v>
      </c>
      <c r="B643" s="24" t="s">
        <v>44</v>
      </c>
      <c r="C643" s="24" t="s">
        <v>20</v>
      </c>
      <c r="D643" s="24" t="s">
        <v>0</v>
      </c>
      <c r="E643" s="2" t="s">
        <v>1</v>
      </c>
      <c r="F643" s="5" t="s">
        <v>503</v>
      </c>
      <c r="G643" s="2" t="s">
        <v>174</v>
      </c>
      <c r="H643" s="2" t="s">
        <v>23</v>
      </c>
      <c r="I643" s="24" t="s">
        <v>908</v>
      </c>
      <c r="J643" s="24" t="s">
        <v>908</v>
      </c>
      <c r="K643" s="24" t="s">
        <v>908</v>
      </c>
      <c r="M643" s="24" t="s">
        <v>908</v>
      </c>
      <c r="N643" s="24"/>
      <c r="P643" s="1" t="str">
        <f>CONCATENATE(A643,B643,C643,D643,E643)</f>
        <v>83101001</v>
      </c>
      <c r="Q643" s="263" t="str">
        <f t="shared" si="19"/>
        <v>Interest Bank Loan (IDR)</v>
      </c>
    </row>
    <row r="644" spans="1:17" x14ac:dyDescent="0.25">
      <c r="A644" s="24" t="s">
        <v>480</v>
      </c>
      <c r="B644" s="24" t="s">
        <v>44</v>
      </c>
      <c r="C644" s="24" t="s">
        <v>20</v>
      </c>
      <c r="D644" s="24" t="s">
        <v>0</v>
      </c>
      <c r="E644" s="2" t="s">
        <v>3</v>
      </c>
      <c r="F644" s="5" t="s">
        <v>504</v>
      </c>
      <c r="G644" s="2" t="s">
        <v>174</v>
      </c>
      <c r="H644" s="2" t="s">
        <v>23</v>
      </c>
      <c r="I644" s="24" t="s">
        <v>908</v>
      </c>
      <c r="J644" s="24" t="s">
        <v>908</v>
      </c>
      <c r="K644" s="24" t="s">
        <v>908</v>
      </c>
      <c r="M644" s="24" t="s">
        <v>908</v>
      </c>
      <c r="N644" s="24"/>
      <c r="P644" s="1" t="str">
        <f>CONCATENATE(A644,B644,C644,D644,E644)</f>
        <v>83101002</v>
      </c>
      <c r="Q644" s="263" t="str">
        <f t="shared" si="19"/>
        <v>Interest Bank Loan (IDR) - Provision Cost</v>
      </c>
    </row>
    <row r="645" spans="1:17" x14ac:dyDescent="0.25">
      <c r="A645" s="24" t="s">
        <v>480</v>
      </c>
      <c r="B645" s="24" t="s">
        <v>44</v>
      </c>
      <c r="C645" s="24" t="s">
        <v>20</v>
      </c>
      <c r="D645" s="24" t="s">
        <v>0</v>
      </c>
      <c r="E645" s="2" t="s">
        <v>5</v>
      </c>
      <c r="F645" s="5" t="s">
        <v>505</v>
      </c>
      <c r="G645" s="2" t="s">
        <v>174</v>
      </c>
      <c r="H645" s="2" t="s">
        <v>23</v>
      </c>
      <c r="I645" s="24" t="s">
        <v>908</v>
      </c>
      <c r="J645" s="24" t="s">
        <v>908</v>
      </c>
      <c r="K645" s="24" t="s">
        <v>908</v>
      </c>
      <c r="M645" s="24" t="s">
        <v>908</v>
      </c>
      <c r="N645" s="24"/>
      <c r="P645" s="1" t="str">
        <f>CONCATENATE(A645,B645,C645,D645,E645)</f>
        <v>83101003</v>
      </c>
      <c r="Q645" s="263" t="str">
        <f t="shared" si="19"/>
        <v>Interest Expense - Leased Assets</v>
      </c>
    </row>
    <row r="646" spans="1:17" hidden="1" x14ac:dyDescent="0.25">
      <c r="A646" s="12" t="s">
        <v>480</v>
      </c>
      <c r="B646" s="12" t="s">
        <v>54</v>
      </c>
      <c r="C646" s="12"/>
      <c r="D646" s="12"/>
      <c r="E646" s="12"/>
      <c r="F646" s="13" t="s">
        <v>553</v>
      </c>
      <c r="G646" s="14" t="s">
        <v>174</v>
      </c>
      <c r="H646" s="14" t="s">
        <v>23</v>
      </c>
      <c r="I646" s="14" t="s">
        <v>907</v>
      </c>
      <c r="J646" s="14" t="s">
        <v>907</v>
      </c>
      <c r="K646" s="14" t="s">
        <v>907</v>
      </c>
      <c r="M646" s="14" t="s">
        <v>907</v>
      </c>
      <c r="N646" s="14"/>
      <c r="Q646" s="263"/>
    </row>
    <row r="647" spans="1:17" hidden="1" x14ac:dyDescent="0.25">
      <c r="A647" s="16" t="s">
        <v>480</v>
      </c>
      <c r="B647" s="16" t="s">
        <v>54</v>
      </c>
      <c r="C647" s="16" t="s">
        <v>20</v>
      </c>
      <c r="D647" s="16"/>
      <c r="E647" s="16"/>
      <c r="F647" s="18" t="s">
        <v>554</v>
      </c>
      <c r="G647" s="19" t="s">
        <v>174</v>
      </c>
      <c r="H647" s="19" t="s">
        <v>23</v>
      </c>
      <c r="I647" s="19" t="s">
        <v>907</v>
      </c>
      <c r="J647" s="19" t="s">
        <v>907</v>
      </c>
      <c r="K647" s="19" t="s">
        <v>907</v>
      </c>
      <c r="M647" s="19" t="s">
        <v>907</v>
      </c>
      <c r="N647" s="19"/>
      <c r="Q647" s="263"/>
    </row>
    <row r="648" spans="1:17" hidden="1" x14ac:dyDescent="0.25">
      <c r="A648" s="20" t="s">
        <v>480</v>
      </c>
      <c r="B648" s="20" t="s">
        <v>54</v>
      </c>
      <c r="C648" s="20" t="s">
        <v>20</v>
      </c>
      <c r="D648" s="20" t="s">
        <v>0</v>
      </c>
      <c r="E648" s="20"/>
      <c r="F648" s="15" t="s">
        <v>555</v>
      </c>
      <c r="G648" s="23" t="s">
        <v>174</v>
      </c>
      <c r="H648" s="23" t="s">
        <v>23</v>
      </c>
      <c r="I648" s="20" t="s">
        <v>907</v>
      </c>
      <c r="J648" s="20" t="s">
        <v>907</v>
      </c>
      <c r="K648" s="20" t="s">
        <v>907</v>
      </c>
      <c r="M648" s="20" t="s">
        <v>907</v>
      </c>
      <c r="N648" s="20"/>
      <c r="Q648" s="263"/>
    </row>
    <row r="649" spans="1:17" x14ac:dyDescent="0.25">
      <c r="A649" s="24" t="s">
        <v>480</v>
      </c>
      <c r="B649" s="24" t="s">
        <v>54</v>
      </c>
      <c r="C649" s="24" t="s">
        <v>20</v>
      </c>
      <c r="D649" s="24" t="s">
        <v>0</v>
      </c>
      <c r="E649" s="24" t="s">
        <v>1</v>
      </c>
      <c r="F649" s="5" t="s">
        <v>523</v>
      </c>
      <c r="G649" s="2" t="s">
        <v>174</v>
      </c>
      <c r="H649" s="2" t="s">
        <v>23</v>
      </c>
      <c r="I649" s="24" t="s">
        <v>908</v>
      </c>
      <c r="J649" s="24" t="s">
        <v>908</v>
      </c>
      <c r="K649" s="24" t="s">
        <v>908</v>
      </c>
      <c r="M649" s="24" t="s">
        <v>908</v>
      </c>
      <c r="N649" s="24"/>
      <c r="P649" s="1" t="str">
        <f>CONCATENATE(A649,B649,C649,D649,E649)</f>
        <v>84101001</v>
      </c>
      <c r="Q649" s="263" t="str">
        <f>F649</f>
        <v>Income Taxes</v>
      </c>
    </row>
  </sheetData>
  <autoFilter ref="P1:P649" xr:uid="{00000000-0009-0000-0000-000001000000}">
    <filterColumn colId="0">
      <customFilters>
        <customFilter operator="notEqual" val=" "/>
      </customFilters>
    </filterColumn>
  </autoFilter>
  <mergeCells count="5">
    <mergeCell ref="A1:E2"/>
    <mergeCell ref="F1:F2"/>
    <mergeCell ref="G1:G2"/>
    <mergeCell ref="H1:H2"/>
    <mergeCell ref="I1:K1"/>
  </mergeCells>
  <pageMargins left="0.2" right="0.2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22"/>
  <sheetViews>
    <sheetView workbookViewId="0">
      <pane xSplit="13" ySplit="8" topLeftCell="T9" activePane="bottomRight" state="frozen"/>
      <selection pane="topRight" activeCell="N1" sqref="N1"/>
      <selection pane="bottomLeft" activeCell="A8" sqref="A8"/>
      <selection pane="bottomRight" activeCell="G11" sqref="G11"/>
    </sheetView>
  </sheetViews>
  <sheetFormatPr defaultRowHeight="10.5" x14ac:dyDescent="0.35"/>
  <cols>
    <col min="1" max="1" width="2.81640625" style="28" bestFit="1" customWidth="1"/>
    <col min="2" max="2" width="6.81640625" style="28" bestFit="1" customWidth="1"/>
    <col min="3" max="3" width="4.36328125" style="28" bestFit="1" customWidth="1"/>
    <col min="4" max="4" width="5.6328125" style="28" bestFit="1" customWidth="1"/>
    <col min="5" max="5" width="4.81640625" style="28" bestFit="1" customWidth="1"/>
    <col min="6" max="6" width="5.6328125" style="28" bestFit="1" customWidth="1"/>
    <col min="7" max="7" width="9.26953125" style="28" bestFit="1" customWidth="1"/>
    <col min="8" max="8" width="1.81640625" style="28" bestFit="1" customWidth="1"/>
    <col min="9" max="9" width="6.81640625" style="28" bestFit="1" customWidth="1"/>
    <col min="10" max="10" width="10.81640625" style="28" bestFit="1" customWidth="1"/>
    <col min="11" max="11" width="9.6328125" style="28" bestFit="1" customWidth="1"/>
    <col min="12" max="12" width="11.7265625" style="28" customWidth="1"/>
    <col min="13" max="13" width="13.81640625" style="28" customWidth="1"/>
    <col min="14" max="19" width="8.7265625" style="28" bestFit="1" customWidth="1"/>
    <col min="20" max="20" width="19.26953125" style="28" customWidth="1"/>
    <col min="21" max="21" width="11" style="28" customWidth="1"/>
    <col min="22" max="25" width="8.7265625" style="28" bestFit="1" customWidth="1"/>
    <col min="26" max="26" width="12.7265625" style="28" customWidth="1"/>
    <col min="27" max="27" width="13" style="28" customWidth="1"/>
    <col min="28" max="28" width="11.81640625" style="28" bestFit="1" customWidth="1"/>
    <col min="29" max="241" width="9.08984375" style="28"/>
    <col min="242" max="242" width="2.81640625" style="28" bestFit="1" customWidth="1"/>
    <col min="243" max="243" width="6.81640625" style="28" bestFit="1" customWidth="1"/>
    <col min="244" max="244" width="4.36328125" style="28" bestFit="1" customWidth="1"/>
    <col min="245" max="245" width="5.6328125" style="28" bestFit="1" customWidth="1"/>
    <col min="246" max="246" width="4" style="28" bestFit="1" customWidth="1"/>
    <col min="247" max="247" width="5.6328125" style="28" bestFit="1" customWidth="1"/>
    <col min="248" max="248" width="9.26953125" style="28" bestFit="1" customWidth="1"/>
    <col min="249" max="249" width="1.81640625" style="28" bestFit="1" customWidth="1"/>
    <col min="250" max="250" width="6.81640625" style="28" bestFit="1" customWidth="1"/>
    <col min="251" max="251" width="10.81640625" style="28" bestFit="1" customWidth="1"/>
    <col min="252" max="252" width="8.7265625" style="28" bestFit="1" customWidth="1"/>
    <col min="253" max="253" width="9.6328125" style="28" bestFit="1" customWidth="1"/>
    <col min="254" max="254" width="12" style="28" bestFit="1" customWidth="1"/>
    <col min="255" max="266" width="8.7265625" style="28" bestFit="1" customWidth="1"/>
    <col min="267" max="267" width="9.6328125" style="28" bestFit="1" customWidth="1"/>
    <col min="268" max="268" width="12" style="28" bestFit="1" customWidth="1"/>
    <col min="269" max="269" width="11.81640625" style="28" bestFit="1" customWidth="1"/>
    <col min="270" max="270" width="13.7265625" style="28" bestFit="1" customWidth="1"/>
    <col min="271" max="271" width="14.08984375" style="28" bestFit="1" customWidth="1"/>
    <col min="272" max="272" width="9.08984375" style="28"/>
    <col min="273" max="273" width="25.26953125" style="28" bestFit="1" customWidth="1"/>
    <col min="274" max="274" width="4.7265625" style="28" bestFit="1" customWidth="1"/>
    <col min="275" max="275" width="1.36328125" style="28" bestFit="1" customWidth="1"/>
    <col min="276" max="276" width="4.26953125" style="28" bestFit="1" customWidth="1"/>
    <col min="277" max="277" width="1.36328125" style="28" bestFit="1" customWidth="1"/>
    <col min="278" max="278" width="5.6328125" style="28" bestFit="1" customWidth="1"/>
    <col min="279" max="279" width="1.36328125" style="28" bestFit="1" customWidth="1"/>
    <col min="280" max="280" width="6.81640625" style="28" bestFit="1" customWidth="1"/>
    <col min="281" max="281" width="13.08984375" style="28" bestFit="1" customWidth="1"/>
    <col min="282" max="497" width="9.08984375" style="28"/>
    <col min="498" max="498" width="2.81640625" style="28" bestFit="1" customWidth="1"/>
    <col min="499" max="499" width="6.81640625" style="28" bestFit="1" customWidth="1"/>
    <col min="500" max="500" width="4.36328125" style="28" bestFit="1" customWidth="1"/>
    <col min="501" max="501" width="5.6328125" style="28" bestFit="1" customWidth="1"/>
    <col min="502" max="502" width="4" style="28" bestFit="1" customWidth="1"/>
    <col min="503" max="503" width="5.6328125" style="28" bestFit="1" customWidth="1"/>
    <col min="504" max="504" width="9.26953125" style="28" bestFit="1" customWidth="1"/>
    <col min="505" max="505" width="1.81640625" style="28" bestFit="1" customWidth="1"/>
    <col min="506" max="506" width="6.81640625" style="28" bestFit="1" customWidth="1"/>
    <col min="507" max="507" width="10.81640625" style="28" bestFit="1" customWidth="1"/>
    <col min="508" max="508" width="8.7265625" style="28" bestFit="1" customWidth="1"/>
    <col min="509" max="509" width="9.6328125" style="28" bestFit="1" customWidth="1"/>
    <col min="510" max="510" width="12" style="28" bestFit="1" customWidth="1"/>
    <col min="511" max="522" width="8.7265625" style="28" bestFit="1" customWidth="1"/>
    <col min="523" max="523" width="9.6328125" style="28" bestFit="1" customWidth="1"/>
    <col min="524" max="524" width="12" style="28" bestFit="1" customWidth="1"/>
    <col min="525" max="525" width="11.81640625" style="28" bestFit="1" customWidth="1"/>
    <col min="526" max="526" width="13.7265625" style="28" bestFit="1" customWidth="1"/>
    <col min="527" max="527" width="14.08984375" style="28" bestFit="1" customWidth="1"/>
    <col min="528" max="528" width="9.08984375" style="28"/>
    <col min="529" max="529" width="25.26953125" style="28" bestFit="1" customWidth="1"/>
    <col min="530" max="530" width="4.7265625" style="28" bestFit="1" customWidth="1"/>
    <col min="531" max="531" width="1.36328125" style="28" bestFit="1" customWidth="1"/>
    <col min="532" max="532" width="4.26953125" style="28" bestFit="1" customWidth="1"/>
    <col min="533" max="533" width="1.36328125" style="28" bestFit="1" customWidth="1"/>
    <col min="534" max="534" width="5.6328125" style="28" bestFit="1" customWidth="1"/>
    <col min="535" max="535" width="1.36328125" style="28" bestFit="1" customWidth="1"/>
    <col min="536" max="536" width="6.81640625" style="28" bestFit="1" customWidth="1"/>
    <col min="537" max="537" width="13.08984375" style="28" bestFit="1" customWidth="1"/>
    <col min="538" max="753" width="9.08984375" style="28"/>
    <col min="754" max="754" width="2.81640625" style="28" bestFit="1" customWidth="1"/>
    <col min="755" max="755" width="6.81640625" style="28" bestFit="1" customWidth="1"/>
    <col min="756" max="756" width="4.36328125" style="28" bestFit="1" customWidth="1"/>
    <col min="757" max="757" width="5.6328125" style="28" bestFit="1" customWidth="1"/>
    <col min="758" max="758" width="4" style="28" bestFit="1" customWidth="1"/>
    <col min="759" max="759" width="5.6328125" style="28" bestFit="1" customWidth="1"/>
    <col min="760" max="760" width="9.26953125" style="28" bestFit="1" customWidth="1"/>
    <col min="761" max="761" width="1.81640625" style="28" bestFit="1" customWidth="1"/>
    <col min="762" max="762" width="6.81640625" style="28" bestFit="1" customWidth="1"/>
    <col min="763" max="763" width="10.81640625" style="28" bestFit="1" customWidth="1"/>
    <col min="764" max="764" width="8.7265625" style="28" bestFit="1" customWidth="1"/>
    <col min="765" max="765" width="9.6328125" style="28" bestFit="1" customWidth="1"/>
    <col min="766" max="766" width="12" style="28" bestFit="1" customWidth="1"/>
    <col min="767" max="778" width="8.7265625" style="28" bestFit="1" customWidth="1"/>
    <col min="779" max="779" width="9.6328125" style="28" bestFit="1" customWidth="1"/>
    <col min="780" max="780" width="12" style="28" bestFit="1" customWidth="1"/>
    <col min="781" max="781" width="11.81640625" style="28" bestFit="1" customWidth="1"/>
    <col min="782" max="782" width="13.7265625" style="28" bestFit="1" customWidth="1"/>
    <col min="783" max="783" width="14.08984375" style="28" bestFit="1" customWidth="1"/>
    <col min="784" max="784" width="9.08984375" style="28"/>
    <col min="785" max="785" width="25.26953125" style="28" bestFit="1" customWidth="1"/>
    <col min="786" max="786" width="4.7265625" style="28" bestFit="1" customWidth="1"/>
    <col min="787" max="787" width="1.36328125" style="28" bestFit="1" customWidth="1"/>
    <col min="788" max="788" width="4.26953125" style="28" bestFit="1" customWidth="1"/>
    <col min="789" max="789" width="1.36328125" style="28" bestFit="1" customWidth="1"/>
    <col min="790" max="790" width="5.6328125" style="28" bestFit="1" customWidth="1"/>
    <col min="791" max="791" width="1.36328125" style="28" bestFit="1" customWidth="1"/>
    <col min="792" max="792" width="6.81640625" style="28" bestFit="1" customWidth="1"/>
    <col min="793" max="793" width="13.08984375" style="28" bestFit="1" customWidth="1"/>
    <col min="794" max="1009" width="9.08984375" style="28"/>
    <col min="1010" max="1010" width="2.81640625" style="28" bestFit="1" customWidth="1"/>
    <col min="1011" max="1011" width="6.81640625" style="28" bestFit="1" customWidth="1"/>
    <col min="1012" max="1012" width="4.36328125" style="28" bestFit="1" customWidth="1"/>
    <col min="1013" max="1013" width="5.6328125" style="28" bestFit="1" customWidth="1"/>
    <col min="1014" max="1014" width="4" style="28" bestFit="1" customWidth="1"/>
    <col min="1015" max="1015" width="5.6328125" style="28" bestFit="1" customWidth="1"/>
    <col min="1016" max="1016" width="9.26953125" style="28" bestFit="1" customWidth="1"/>
    <col min="1017" max="1017" width="1.81640625" style="28" bestFit="1" customWidth="1"/>
    <col min="1018" max="1018" width="6.81640625" style="28" bestFit="1" customWidth="1"/>
    <col min="1019" max="1019" width="10.81640625" style="28" bestFit="1" customWidth="1"/>
    <col min="1020" max="1020" width="8.7265625" style="28" bestFit="1" customWidth="1"/>
    <col min="1021" max="1021" width="9.6328125" style="28" bestFit="1" customWidth="1"/>
    <col min="1022" max="1022" width="12" style="28" bestFit="1" customWidth="1"/>
    <col min="1023" max="1034" width="8.7265625" style="28" bestFit="1" customWidth="1"/>
    <col min="1035" max="1035" width="9.6328125" style="28" bestFit="1" customWidth="1"/>
    <col min="1036" max="1036" width="12" style="28" bestFit="1" customWidth="1"/>
    <col min="1037" max="1037" width="11.81640625" style="28" bestFit="1" customWidth="1"/>
    <col min="1038" max="1038" width="13.7265625" style="28" bestFit="1" customWidth="1"/>
    <col min="1039" max="1039" width="14.08984375" style="28" bestFit="1" customWidth="1"/>
    <col min="1040" max="1040" width="9.08984375" style="28"/>
    <col min="1041" max="1041" width="25.26953125" style="28" bestFit="1" customWidth="1"/>
    <col min="1042" max="1042" width="4.7265625" style="28" bestFit="1" customWidth="1"/>
    <col min="1043" max="1043" width="1.36328125" style="28" bestFit="1" customWidth="1"/>
    <col min="1044" max="1044" width="4.26953125" style="28" bestFit="1" customWidth="1"/>
    <col min="1045" max="1045" width="1.36328125" style="28" bestFit="1" customWidth="1"/>
    <col min="1046" max="1046" width="5.6328125" style="28" bestFit="1" customWidth="1"/>
    <col min="1047" max="1047" width="1.36328125" style="28" bestFit="1" customWidth="1"/>
    <col min="1048" max="1048" width="6.81640625" style="28" bestFit="1" customWidth="1"/>
    <col min="1049" max="1049" width="13.08984375" style="28" bestFit="1" customWidth="1"/>
    <col min="1050" max="1265" width="9.08984375" style="28"/>
    <col min="1266" max="1266" width="2.81640625" style="28" bestFit="1" customWidth="1"/>
    <col min="1267" max="1267" width="6.81640625" style="28" bestFit="1" customWidth="1"/>
    <col min="1268" max="1268" width="4.36328125" style="28" bestFit="1" customWidth="1"/>
    <col min="1269" max="1269" width="5.6328125" style="28" bestFit="1" customWidth="1"/>
    <col min="1270" max="1270" width="4" style="28" bestFit="1" customWidth="1"/>
    <col min="1271" max="1271" width="5.6328125" style="28" bestFit="1" customWidth="1"/>
    <col min="1272" max="1272" width="9.26953125" style="28" bestFit="1" customWidth="1"/>
    <col min="1273" max="1273" width="1.81640625" style="28" bestFit="1" customWidth="1"/>
    <col min="1274" max="1274" width="6.81640625" style="28" bestFit="1" customWidth="1"/>
    <col min="1275" max="1275" width="10.81640625" style="28" bestFit="1" customWidth="1"/>
    <col min="1276" max="1276" width="8.7265625" style="28" bestFit="1" customWidth="1"/>
    <col min="1277" max="1277" width="9.6328125" style="28" bestFit="1" customWidth="1"/>
    <col min="1278" max="1278" width="12" style="28" bestFit="1" customWidth="1"/>
    <col min="1279" max="1290" width="8.7265625" style="28" bestFit="1" customWidth="1"/>
    <col min="1291" max="1291" width="9.6328125" style="28" bestFit="1" customWidth="1"/>
    <col min="1292" max="1292" width="12" style="28" bestFit="1" customWidth="1"/>
    <col min="1293" max="1293" width="11.81640625" style="28" bestFit="1" customWidth="1"/>
    <col min="1294" max="1294" width="13.7265625" style="28" bestFit="1" customWidth="1"/>
    <col min="1295" max="1295" width="14.08984375" style="28" bestFit="1" customWidth="1"/>
    <col min="1296" max="1296" width="9.08984375" style="28"/>
    <col min="1297" max="1297" width="25.26953125" style="28" bestFit="1" customWidth="1"/>
    <col min="1298" max="1298" width="4.7265625" style="28" bestFit="1" customWidth="1"/>
    <col min="1299" max="1299" width="1.36328125" style="28" bestFit="1" customWidth="1"/>
    <col min="1300" max="1300" width="4.26953125" style="28" bestFit="1" customWidth="1"/>
    <col min="1301" max="1301" width="1.36328125" style="28" bestFit="1" customWidth="1"/>
    <col min="1302" max="1302" width="5.6328125" style="28" bestFit="1" customWidth="1"/>
    <col min="1303" max="1303" width="1.36328125" style="28" bestFit="1" customWidth="1"/>
    <col min="1304" max="1304" width="6.81640625" style="28" bestFit="1" customWidth="1"/>
    <col min="1305" max="1305" width="13.08984375" style="28" bestFit="1" customWidth="1"/>
    <col min="1306" max="1521" width="9.08984375" style="28"/>
    <col min="1522" max="1522" width="2.81640625" style="28" bestFit="1" customWidth="1"/>
    <col min="1523" max="1523" width="6.81640625" style="28" bestFit="1" customWidth="1"/>
    <col min="1524" max="1524" width="4.36328125" style="28" bestFit="1" customWidth="1"/>
    <col min="1525" max="1525" width="5.6328125" style="28" bestFit="1" customWidth="1"/>
    <col min="1526" max="1526" width="4" style="28" bestFit="1" customWidth="1"/>
    <col min="1527" max="1527" width="5.6328125" style="28" bestFit="1" customWidth="1"/>
    <col min="1528" max="1528" width="9.26953125" style="28" bestFit="1" customWidth="1"/>
    <col min="1529" max="1529" width="1.81640625" style="28" bestFit="1" customWidth="1"/>
    <col min="1530" max="1530" width="6.81640625" style="28" bestFit="1" customWidth="1"/>
    <col min="1531" max="1531" width="10.81640625" style="28" bestFit="1" customWidth="1"/>
    <col min="1532" max="1532" width="8.7265625" style="28" bestFit="1" customWidth="1"/>
    <col min="1533" max="1533" width="9.6328125" style="28" bestFit="1" customWidth="1"/>
    <col min="1534" max="1534" width="12" style="28" bestFit="1" customWidth="1"/>
    <col min="1535" max="1546" width="8.7265625" style="28" bestFit="1" customWidth="1"/>
    <col min="1547" max="1547" width="9.6328125" style="28" bestFit="1" customWidth="1"/>
    <col min="1548" max="1548" width="12" style="28" bestFit="1" customWidth="1"/>
    <col min="1549" max="1549" width="11.81640625" style="28" bestFit="1" customWidth="1"/>
    <col min="1550" max="1550" width="13.7265625" style="28" bestFit="1" customWidth="1"/>
    <col min="1551" max="1551" width="14.08984375" style="28" bestFit="1" customWidth="1"/>
    <col min="1552" max="1552" width="9.08984375" style="28"/>
    <col min="1553" max="1553" width="25.26953125" style="28" bestFit="1" customWidth="1"/>
    <col min="1554" max="1554" width="4.7265625" style="28" bestFit="1" customWidth="1"/>
    <col min="1555" max="1555" width="1.36328125" style="28" bestFit="1" customWidth="1"/>
    <col min="1556" max="1556" width="4.26953125" style="28" bestFit="1" customWidth="1"/>
    <col min="1557" max="1557" width="1.36328125" style="28" bestFit="1" customWidth="1"/>
    <col min="1558" max="1558" width="5.6328125" style="28" bestFit="1" customWidth="1"/>
    <col min="1559" max="1559" width="1.36328125" style="28" bestFit="1" customWidth="1"/>
    <col min="1560" max="1560" width="6.81640625" style="28" bestFit="1" customWidth="1"/>
    <col min="1561" max="1561" width="13.08984375" style="28" bestFit="1" customWidth="1"/>
    <col min="1562" max="1777" width="9.08984375" style="28"/>
    <col min="1778" max="1778" width="2.81640625" style="28" bestFit="1" customWidth="1"/>
    <col min="1779" max="1779" width="6.81640625" style="28" bestFit="1" customWidth="1"/>
    <col min="1780" max="1780" width="4.36328125" style="28" bestFit="1" customWidth="1"/>
    <col min="1781" max="1781" width="5.6328125" style="28" bestFit="1" customWidth="1"/>
    <col min="1782" max="1782" width="4" style="28" bestFit="1" customWidth="1"/>
    <col min="1783" max="1783" width="5.6328125" style="28" bestFit="1" customWidth="1"/>
    <col min="1784" max="1784" width="9.26953125" style="28" bestFit="1" customWidth="1"/>
    <col min="1785" max="1785" width="1.81640625" style="28" bestFit="1" customWidth="1"/>
    <col min="1786" max="1786" width="6.81640625" style="28" bestFit="1" customWidth="1"/>
    <col min="1787" max="1787" width="10.81640625" style="28" bestFit="1" customWidth="1"/>
    <col min="1788" max="1788" width="8.7265625" style="28" bestFit="1" customWidth="1"/>
    <col min="1789" max="1789" width="9.6328125" style="28" bestFit="1" customWidth="1"/>
    <col min="1790" max="1790" width="12" style="28" bestFit="1" customWidth="1"/>
    <col min="1791" max="1802" width="8.7265625" style="28" bestFit="1" customWidth="1"/>
    <col min="1803" max="1803" width="9.6328125" style="28" bestFit="1" customWidth="1"/>
    <col min="1804" max="1804" width="12" style="28" bestFit="1" customWidth="1"/>
    <col min="1805" max="1805" width="11.81640625" style="28" bestFit="1" customWidth="1"/>
    <col min="1806" max="1806" width="13.7265625" style="28" bestFit="1" customWidth="1"/>
    <col min="1807" max="1807" width="14.08984375" style="28" bestFit="1" customWidth="1"/>
    <col min="1808" max="1808" width="9.08984375" style="28"/>
    <col min="1809" max="1809" width="25.26953125" style="28" bestFit="1" customWidth="1"/>
    <col min="1810" max="1810" width="4.7265625" style="28" bestFit="1" customWidth="1"/>
    <col min="1811" max="1811" width="1.36328125" style="28" bestFit="1" customWidth="1"/>
    <col min="1812" max="1812" width="4.26953125" style="28" bestFit="1" customWidth="1"/>
    <col min="1813" max="1813" width="1.36328125" style="28" bestFit="1" customWidth="1"/>
    <col min="1814" max="1814" width="5.6328125" style="28" bestFit="1" customWidth="1"/>
    <col min="1815" max="1815" width="1.36328125" style="28" bestFit="1" customWidth="1"/>
    <col min="1816" max="1816" width="6.81640625" style="28" bestFit="1" customWidth="1"/>
    <col min="1817" max="1817" width="13.08984375" style="28" bestFit="1" customWidth="1"/>
    <col min="1818" max="2033" width="9.08984375" style="28"/>
    <col min="2034" max="2034" width="2.81640625" style="28" bestFit="1" customWidth="1"/>
    <col min="2035" max="2035" width="6.81640625" style="28" bestFit="1" customWidth="1"/>
    <col min="2036" max="2036" width="4.36328125" style="28" bestFit="1" customWidth="1"/>
    <col min="2037" max="2037" width="5.6328125" style="28" bestFit="1" customWidth="1"/>
    <col min="2038" max="2038" width="4" style="28" bestFit="1" customWidth="1"/>
    <col min="2039" max="2039" width="5.6328125" style="28" bestFit="1" customWidth="1"/>
    <col min="2040" max="2040" width="9.26953125" style="28" bestFit="1" customWidth="1"/>
    <col min="2041" max="2041" width="1.81640625" style="28" bestFit="1" customWidth="1"/>
    <col min="2042" max="2042" width="6.81640625" style="28" bestFit="1" customWidth="1"/>
    <col min="2043" max="2043" width="10.81640625" style="28" bestFit="1" customWidth="1"/>
    <col min="2044" max="2044" width="8.7265625" style="28" bestFit="1" customWidth="1"/>
    <col min="2045" max="2045" width="9.6328125" style="28" bestFit="1" customWidth="1"/>
    <col min="2046" max="2046" width="12" style="28" bestFit="1" customWidth="1"/>
    <col min="2047" max="2058" width="8.7265625" style="28" bestFit="1" customWidth="1"/>
    <col min="2059" max="2059" width="9.6328125" style="28" bestFit="1" customWidth="1"/>
    <col min="2060" max="2060" width="12" style="28" bestFit="1" customWidth="1"/>
    <col min="2061" max="2061" width="11.81640625" style="28" bestFit="1" customWidth="1"/>
    <col min="2062" max="2062" width="13.7265625" style="28" bestFit="1" customWidth="1"/>
    <col min="2063" max="2063" width="14.08984375" style="28" bestFit="1" customWidth="1"/>
    <col min="2064" max="2064" width="9.08984375" style="28"/>
    <col min="2065" max="2065" width="25.26953125" style="28" bestFit="1" customWidth="1"/>
    <col min="2066" max="2066" width="4.7265625" style="28" bestFit="1" customWidth="1"/>
    <col min="2067" max="2067" width="1.36328125" style="28" bestFit="1" customWidth="1"/>
    <col min="2068" max="2068" width="4.26953125" style="28" bestFit="1" customWidth="1"/>
    <col min="2069" max="2069" width="1.36328125" style="28" bestFit="1" customWidth="1"/>
    <col min="2070" max="2070" width="5.6328125" style="28" bestFit="1" customWidth="1"/>
    <col min="2071" max="2071" width="1.36328125" style="28" bestFit="1" customWidth="1"/>
    <col min="2072" max="2072" width="6.81640625" style="28" bestFit="1" customWidth="1"/>
    <col min="2073" max="2073" width="13.08984375" style="28" bestFit="1" customWidth="1"/>
    <col min="2074" max="2289" width="9.08984375" style="28"/>
    <col min="2290" max="2290" width="2.81640625" style="28" bestFit="1" customWidth="1"/>
    <col min="2291" max="2291" width="6.81640625" style="28" bestFit="1" customWidth="1"/>
    <col min="2292" max="2292" width="4.36328125" style="28" bestFit="1" customWidth="1"/>
    <col min="2293" max="2293" width="5.6328125" style="28" bestFit="1" customWidth="1"/>
    <col min="2294" max="2294" width="4" style="28" bestFit="1" customWidth="1"/>
    <col min="2295" max="2295" width="5.6328125" style="28" bestFit="1" customWidth="1"/>
    <col min="2296" max="2296" width="9.26953125" style="28" bestFit="1" customWidth="1"/>
    <col min="2297" max="2297" width="1.81640625" style="28" bestFit="1" customWidth="1"/>
    <col min="2298" max="2298" width="6.81640625" style="28" bestFit="1" customWidth="1"/>
    <col min="2299" max="2299" width="10.81640625" style="28" bestFit="1" customWidth="1"/>
    <col min="2300" max="2300" width="8.7265625" style="28" bestFit="1" customWidth="1"/>
    <col min="2301" max="2301" width="9.6328125" style="28" bestFit="1" customWidth="1"/>
    <col min="2302" max="2302" width="12" style="28" bestFit="1" customWidth="1"/>
    <col min="2303" max="2314" width="8.7265625" style="28" bestFit="1" customWidth="1"/>
    <col min="2315" max="2315" width="9.6328125" style="28" bestFit="1" customWidth="1"/>
    <col min="2316" max="2316" width="12" style="28" bestFit="1" customWidth="1"/>
    <col min="2317" max="2317" width="11.81640625" style="28" bestFit="1" customWidth="1"/>
    <col min="2318" max="2318" width="13.7265625" style="28" bestFit="1" customWidth="1"/>
    <col min="2319" max="2319" width="14.08984375" style="28" bestFit="1" customWidth="1"/>
    <col min="2320" max="2320" width="9.08984375" style="28"/>
    <col min="2321" max="2321" width="25.26953125" style="28" bestFit="1" customWidth="1"/>
    <col min="2322" max="2322" width="4.7265625" style="28" bestFit="1" customWidth="1"/>
    <col min="2323" max="2323" width="1.36328125" style="28" bestFit="1" customWidth="1"/>
    <col min="2324" max="2324" width="4.26953125" style="28" bestFit="1" customWidth="1"/>
    <col min="2325" max="2325" width="1.36328125" style="28" bestFit="1" customWidth="1"/>
    <col min="2326" max="2326" width="5.6328125" style="28" bestFit="1" customWidth="1"/>
    <col min="2327" max="2327" width="1.36328125" style="28" bestFit="1" customWidth="1"/>
    <col min="2328" max="2328" width="6.81640625" style="28" bestFit="1" customWidth="1"/>
    <col min="2329" max="2329" width="13.08984375" style="28" bestFit="1" customWidth="1"/>
    <col min="2330" max="2545" width="9.08984375" style="28"/>
    <col min="2546" max="2546" width="2.81640625" style="28" bestFit="1" customWidth="1"/>
    <col min="2547" max="2547" width="6.81640625" style="28" bestFit="1" customWidth="1"/>
    <col min="2548" max="2548" width="4.36328125" style="28" bestFit="1" customWidth="1"/>
    <col min="2549" max="2549" width="5.6328125" style="28" bestFit="1" customWidth="1"/>
    <col min="2550" max="2550" width="4" style="28" bestFit="1" customWidth="1"/>
    <col min="2551" max="2551" width="5.6328125" style="28" bestFit="1" customWidth="1"/>
    <col min="2552" max="2552" width="9.26953125" style="28" bestFit="1" customWidth="1"/>
    <col min="2553" max="2553" width="1.81640625" style="28" bestFit="1" customWidth="1"/>
    <col min="2554" max="2554" width="6.81640625" style="28" bestFit="1" customWidth="1"/>
    <col min="2555" max="2555" width="10.81640625" style="28" bestFit="1" customWidth="1"/>
    <col min="2556" max="2556" width="8.7265625" style="28" bestFit="1" customWidth="1"/>
    <col min="2557" max="2557" width="9.6328125" style="28" bestFit="1" customWidth="1"/>
    <col min="2558" max="2558" width="12" style="28" bestFit="1" customWidth="1"/>
    <col min="2559" max="2570" width="8.7265625" style="28" bestFit="1" customWidth="1"/>
    <col min="2571" max="2571" width="9.6328125" style="28" bestFit="1" customWidth="1"/>
    <col min="2572" max="2572" width="12" style="28" bestFit="1" customWidth="1"/>
    <col min="2573" max="2573" width="11.81640625" style="28" bestFit="1" customWidth="1"/>
    <col min="2574" max="2574" width="13.7265625" style="28" bestFit="1" customWidth="1"/>
    <col min="2575" max="2575" width="14.08984375" style="28" bestFit="1" customWidth="1"/>
    <col min="2576" max="2576" width="9.08984375" style="28"/>
    <col min="2577" max="2577" width="25.26953125" style="28" bestFit="1" customWidth="1"/>
    <col min="2578" max="2578" width="4.7265625" style="28" bestFit="1" customWidth="1"/>
    <col min="2579" max="2579" width="1.36328125" style="28" bestFit="1" customWidth="1"/>
    <col min="2580" max="2580" width="4.26953125" style="28" bestFit="1" customWidth="1"/>
    <col min="2581" max="2581" width="1.36328125" style="28" bestFit="1" customWidth="1"/>
    <col min="2582" max="2582" width="5.6328125" style="28" bestFit="1" customWidth="1"/>
    <col min="2583" max="2583" width="1.36328125" style="28" bestFit="1" customWidth="1"/>
    <col min="2584" max="2584" width="6.81640625" style="28" bestFit="1" customWidth="1"/>
    <col min="2585" max="2585" width="13.08984375" style="28" bestFit="1" customWidth="1"/>
    <col min="2586" max="2801" width="9.08984375" style="28"/>
    <col min="2802" max="2802" width="2.81640625" style="28" bestFit="1" customWidth="1"/>
    <col min="2803" max="2803" width="6.81640625" style="28" bestFit="1" customWidth="1"/>
    <col min="2804" max="2804" width="4.36328125" style="28" bestFit="1" customWidth="1"/>
    <col min="2805" max="2805" width="5.6328125" style="28" bestFit="1" customWidth="1"/>
    <col min="2806" max="2806" width="4" style="28" bestFit="1" customWidth="1"/>
    <col min="2807" max="2807" width="5.6328125" style="28" bestFit="1" customWidth="1"/>
    <col min="2808" max="2808" width="9.26953125" style="28" bestFit="1" customWidth="1"/>
    <col min="2809" max="2809" width="1.81640625" style="28" bestFit="1" customWidth="1"/>
    <col min="2810" max="2810" width="6.81640625" style="28" bestFit="1" customWidth="1"/>
    <col min="2811" max="2811" width="10.81640625" style="28" bestFit="1" customWidth="1"/>
    <col min="2812" max="2812" width="8.7265625" style="28" bestFit="1" customWidth="1"/>
    <col min="2813" max="2813" width="9.6328125" style="28" bestFit="1" customWidth="1"/>
    <col min="2814" max="2814" width="12" style="28" bestFit="1" customWidth="1"/>
    <col min="2815" max="2826" width="8.7265625" style="28" bestFit="1" customWidth="1"/>
    <col min="2827" max="2827" width="9.6328125" style="28" bestFit="1" customWidth="1"/>
    <col min="2828" max="2828" width="12" style="28" bestFit="1" customWidth="1"/>
    <col min="2829" max="2829" width="11.81640625" style="28" bestFit="1" customWidth="1"/>
    <col min="2830" max="2830" width="13.7265625" style="28" bestFit="1" customWidth="1"/>
    <col min="2831" max="2831" width="14.08984375" style="28" bestFit="1" customWidth="1"/>
    <col min="2832" max="2832" width="9.08984375" style="28"/>
    <col min="2833" max="2833" width="25.26953125" style="28" bestFit="1" customWidth="1"/>
    <col min="2834" max="2834" width="4.7265625" style="28" bestFit="1" customWidth="1"/>
    <col min="2835" max="2835" width="1.36328125" style="28" bestFit="1" customWidth="1"/>
    <col min="2836" max="2836" width="4.26953125" style="28" bestFit="1" customWidth="1"/>
    <col min="2837" max="2837" width="1.36328125" style="28" bestFit="1" customWidth="1"/>
    <col min="2838" max="2838" width="5.6328125" style="28" bestFit="1" customWidth="1"/>
    <col min="2839" max="2839" width="1.36328125" style="28" bestFit="1" customWidth="1"/>
    <col min="2840" max="2840" width="6.81640625" style="28" bestFit="1" customWidth="1"/>
    <col min="2841" max="2841" width="13.08984375" style="28" bestFit="1" customWidth="1"/>
    <col min="2842" max="3057" width="9.08984375" style="28"/>
    <col min="3058" max="3058" width="2.81640625" style="28" bestFit="1" customWidth="1"/>
    <col min="3059" max="3059" width="6.81640625" style="28" bestFit="1" customWidth="1"/>
    <col min="3060" max="3060" width="4.36328125" style="28" bestFit="1" customWidth="1"/>
    <col min="3061" max="3061" width="5.6328125" style="28" bestFit="1" customWidth="1"/>
    <col min="3062" max="3062" width="4" style="28" bestFit="1" customWidth="1"/>
    <col min="3063" max="3063" width="5.6328125" style="28" bestFit="1" customWidth="1"/>
    <col min="3064" max="3064" width="9.26953125" style="28" bestFit="1" customWidth="1"/>
    <col min="3065" max="3065" width="1.81640625" style="28" bestFit="1" customWidth="1"/>
    <col min="3066" max="3066" width="6.81640625" style="28" bestFit="1" customWidth="1"/>
    <col min="3067" max="3067" width="10.81640625" style="28" bestFit="1" customWidth="1"/>
    <col min="3068" max="3068" width="8.7265625" style="28" bestFit="1" customWidth="1"/>
    <col min="3069" max="3069" width="9.6328125" style="28" bestFit="1" customWidth="1"/>
    <col min="3070" max="3070" width="12" style="28" bestFit="1" customWidth="1"/>
    <col min="3071" max="3082" width="8.7265625" style="28" bestFit="1" customWidth="1"/>
    <col min="3083" max="3083" width="9.6328125" style="28" bestFit="1" customWidth="1"/>
    <col min="3084" max="3084" width="12" style="28" bestFit="1" customWidth="1"/>
    <col min="3085" max="3085" width="11.81640625" style="28" bestFit="1" customWidth="1"/>
    <col min="3086" max="3086" width="13.7265625" style="28" bestFit="1" customWidth="1"/>
    <col min="3087" max="3087" width="14.08984375" style="28" bestFit="1" customWidth="1"/>
    <col min="3088" max="3088" width="9.08984375" style="28"/>
    <col min="3089" max="3089" width="25.26953125" style="28" bestFit="1" customWidth="1"/>
    <col min="3090" max="3090" width="4.7265625" style="28" bestFit="1" customWidth="1"/>
    <col min="3091" max="3091" width="1.36328125" style="28" bestFit="1" customWidth="1"/>
    <col min="3092" max="3092" width="4.26953125" style="28" bestFit="1" customWidth="1"/>
    <col min="3093" max="3093" width="1.36328125" style="28" bestFit="1" customWidth="1"/>
    <col min="3094" max="3094" width="5.6328125" style="28" bestFit="1" customWidth="1"/>
    <col min="3095" max="3095" width="1.36328125" style="28" bestFit="1" customWidth="1"/>
    <col min="3096" max="3096" width="6.81640625" style="28" bestFit="1" customWidth="1"/>
    <col min="3097" max="3097" width="13.08984375" style="28" bestFit="1" customWidth="1"/>
    <col min="3098" max="3313" width="9.08984375" style="28"/>
    <col min="3314" max="3314" width="2.81640625" style="28" bestFit="1" customWidth="1"/>
    <col min="3315" max="3315" width="6.81640625" style="28" bestFit="1" customWidth="1"/>
    <col min="3316" max="3316" width="4.36328125" style="28" bestFit="1" customWidth="1"/>
    <col min="3317" max="3317" width="5.6328125" style="28" bestFit="1" customWidth="1"/>
    <col min="3318" max="3318" width="4" style="28" bestFit="1" customWidth="1"/>
    <col min="3319" max="3319" width="5.6328125" style="28" bestFit="1" customWidth="1"/>
    <col min="3320" max="3320" width="9.26953125" style="28" bestFit="1" customWidth="1"/>
    <col min="3321" max="3321" width="1.81640625" style="28" bestFit="1" customWidth="1"/>
    <col min="3322" max="3322" width="6.81640625" style="28" bestFit="1" customWidth="1"/>
    <col min="3323" max="3323" width="10.81640625" style="28" bestFit="1" customWidth="1"/>
    <col min="3324" max="3324" width="8.7265625" style="28" bestFit="1" customWidth="1"/>
    <col min="3325" max="3325" width="9.6328125" style="28" bestFit="1" customWidth="1"/>
    <col min="3326" max="3326" width="12" style="28" bestFit="1" customWidth="1"/>
    <col min="3327" max="3338" width="8.7265625" style="28" bestFit="1" customWidth="1"/>
    <col min="3339" max="3339" width="9.6328125" style="28" bestFit="1" customWidth="1"/>
    <col min="3340" max="3340" width="12" style="28" bestFit="1" customWidth="1"/>
    <col min="3341" max="3341" width="11.81640625" style="28" bestFit="1" customWidth="1"/>
    <col min="3342" max="3342" width="13.7265625" style="28" bestFit="1" customWidth="1"/>
    <col min="3343" max="3343" width="14.08984375" style="28" bestFit="1" customWidth="1"/>
    <col min="3344" max="3344" width="9.08984375" style="28"/>
    <col min="3345" max="3345" width="25.26953125" style="28" bestFit="1" customWidth="1"/>
    <col min="3346" max="3346" width="4.7265625" style="28" bestFit="1" customWidth="1"/>
    <col min="3347" max="3347" width="1.36328125" style="28" bestFit="1" customWidth="1"/>
    <col min="3348" max="3348" width="4.26953125" style="28" bestFit="1" customWidth="1"/>
    <col min="3349" max="3349" width="1.36328125" style="28" bestFit="1" customWidth="1"/>
    <col min="3350" max="3350" width="5.6328125" style="28" bestFit="1" customWidth="1"/>
    <col min="3351" max="3351" width="1.36328125" style="28" bestFit="1" customWidth="1"/>
    <col min="3352" max="3352" width="6.81640625" style="28" bestFit="1" customWidth="1"/>
    <col min="3353" max="3353" width="13.08984375" style="28" bestFit="1" customWidth="1"/>
    <col min="3354" max="3569" width="9.08984375" style="28"/>
    <col min="3570" max="3570" width="2.81640625" style="28" bestFit="1" customWidth="1"/>
    <col min="3571" max="3571" width="6.81640625" style="28" bestFit="1" customWidth="1"/>
    <col min="3572" max="3572" width="4.36328125" style="28" bestFit="1" customWidth="1"/>
    <col min="3573" max="3573" width="5.6328125" style="28" bestFit="1" customWidth="1"/>
    <col min="3574" max="3574" width="4" style="28" bestFit="1" customWidth="1"/>
    <col min="3575" max="3575" width="5.6328125" style="28" bestFit="1" customWidth="1"/>
    <col min="3576" max="3576" width="9.26953125" style="28" bestFit="1" customWidth="1"/>
    <col min="3577" max="3577" width="1.81640625" style="28" bestFit="1" customWidth="1"/>
    <col min="3578" max="3578" width="6.81640625" style="28" bestFit="1" customWidth="1"/>
    <col min="3579" max="3579" width="10.81640625" style="28" bestFit="1" customWidth="1"/>
    <col min="3580" max="3580" width="8.7265625" style="28" bestFit="1" customWidth="1"/>
    <col min="3581" max="3581" width="9.6328125" style="28" bestFit="1" customWidth="1"/>
    <col min="3582" max="3582" width="12" style="28" bestFit="1" customWidth="1"/>
    <col min="3583" max="3594" width="8.7265625" style="28" bestFit="1" customWidth="1"/>
    <col min="3595" max="3595" width="9.6328125" style="28" bestFit="1" customWidth="1"/>
    <col min="3596" max="3596" width="12" style="28" bestFit="1" customWidth="1"/>
    <col min="3597" max="3597" width="11.81640625" style="28" bestFit="1" customWidth="1"/>
    <col min="3598" max="3598" width="13.7265625" style="28" bestFit="1" customWidth="1"/>
    <col min="3599" max="3599" width="14.08984375" style="28" bestFit="1" customWidth="1"/>
    <col min="3600" max="3600" width="9.08984375" style="28"/>
    <col min="3601" max="3601" width="25.26953125" style="28" bestFit="1" customWidth="1"/>
    <col min="3602" max="3602" width="4.7265625" style="28" bestFit="1" customWidth="1"/>
    <col min="3603" max="3603" width="1.36328125" style="28" bestFit="1" customWidth="1"/>
    <col min="3604" max="3604" width="4.26953125" style="28" bestFit="1" customWidth="1"/>
    <col min="3605" max="3605" width="1.36328125" style="28" bestFit="1" customWidth="1"/>
    <col min="3606" max="3606" width="5.6328125" style="28" bestFit="1" customWidth="1"/>
    <col min="3607" max="3607" width="1.36328125" style="28" bestFit="1" customWidth="1"/>
    <col min="3608" max="3608" width="6.81640625" style="28" bestFit="1" customWidth="1"/>
    <col min="3609" max="3609" width="13.08984375" style="28" bestFit="1" customWidth="1"/>
    <col min="3610" max="3825" width="9.08984375" style="28"/>
    <col min="3826" max="3826" width="2.81640625" style="28" bestFit="1" customWidth="1"/>
    <col min="3827" max="3827" width="6.81640625" style="28" bestFit="1" customWidth="1"/>
    <col min="3828" max="3828" width="4.36328125" style="28" bestFit="1" customWidth="1"/>
    <col min="3829" max="3829" width="5.6328125" style="28" bestFit="1" customWidth="1"/>
    <col min="3830" max="3830" width="4" style="28" bestFit="1" customWidth="1"/>
    <col min="3831" max="3831" width="5.6328125" style="28" bestFit="1" customWidth="1"/>
    <col min="3832" max="3832" width="9.26953125" style="28" bestFit="1" customWidth="1"/>
    <col min="3833" max="3833" width="1.81640625" style="28" bestFit="1" customWidth="1"/>
    <col min="3834" max="3834" width="6.81640625" style="28" bestFit="1" customWidth="1"/>
    <col min="3835" max="3835" width="10.81640625" style="28" bestFit="1" customWidth="1"/>
    <col min="3836" max="3836" width="8.7265625" style="28" bestFit="1" customWidth="1"/>
    <col min="3837" max="3837" width="9.6328125" style="28" bestFit="1" customWidth="1"/>
    <col min="3838" max="3838" width="12" style="28" bestFit="1" customWidth="1"/>
    <col min="3839" max="3850" width="8.7265625" style="28" bestFit="1" customWidth="1"/>
    <col min="3851" max="3851" width="9.6328125" style="28" bestFit="1" customWidth="1"/>
    <col min="3852" max="3852" width="12" style="28" bestFit="1" customWidth="1"/>
    <col min="3853" max="3853" width="11.81640625" style="28" bestFit="1" customWidth="1"/>
    <col min="3854" max="3854" width="13.7265625" style="28" bestFit="1" customWidth="1"/>
    <col min="3855" max="3855" width="14.08984375" style="28" bestFit="1" customWidth="1"/>
    <col min="3856" max="3856" width="9.08984375" style="28"/>
    <col min="3857" max="3857" width="25.26953125" style="28" bestFit="1" customWidth="1"/>
    <col min="3858" max="3858" width="4.7265625" style="28" bestFit="1" customWidth="1"/>
    <col min="3859" max="3859" width="1.36328125" style="28" bestFit="1" customWidth="1"/>
    <col min="3860" max="3860" width="4.26953125" style="28" bestFit="1" customWidth="1"/>
    <col min="3861" max="3861" width="1.36328125" style="28" bestFit="1" customWidth="1"/>
    <col min="3862" max="3862" width="5.6328125" style="28" bestFit="1" customWidth="1"/>
    <col min="3863" max="3863" width="1.36328125" style="28" bestFit="1" customWidth="1"/>
    <col min="3864" max="3864" width="6.81640625" style="28" bestFit="1" customWidth="1"/>
    <col min="3865" max="3865" width="13.08984375" style="28" bestFit="1" customWidth="1"/>
    <col min="3866" max="4081" width="9.08984375" style="28"/>
    <col min="4082" max="4082" width="2.81640625" style="28" bestFit="1" customWidth="1"/>
    <col min="4083" max="4083" width="6.81640625" style="28" bestFit="1" customWidth="1"/>
    <col min="4084" max="4084" width="4.36328125" style="28" bestFit="1" customWidth="1"/>
    <col min="4085" max="4085" width="5.6328125" style="28" bestFit="1" customWidth="1"/>
    <col min="4086" max="4086" width="4" style="28" bestFit="1" customWidth="1"/>
    <col min="4087" max="4087" width="5.6328125" style="28" bestFit="1" customWidth="1"/>
    <col min="4088" max="4088" width="9.26953125" style="28" bestFit="1" customWidth="1"/>
    <col min="4089" max="4089" width="1.81640625" style="28" bestFit="1" customWidth="1"/>
    <col min="4090" max="4090" width="6.81640625" style="28" bestFit="1" customWidth="1"/>
    <col min="4091" max="4091" width="10.81640625" style="28" bestFit="1" customWidth="1"/>
    <col min="4092" max="4092" width="8.7265625" style="28" bestFit="1" customWidth="1"/>
    <col min="4093" max="4093" width="9.6328125" style="28" bestFit="1" customWidth="1"/>
    <col min="4094" max="4094" width="12" style="28" bestFit="1" customWidth="1"/>
    <col min="4095" max="4106" width="8.7265625" style="28" bestFit="1" customWidth="1"/>
    <col min="4107" max="4107" width="9.6328125" style="28" bestFit="1" customWidth="1"/>
    <col min="4108" max="4108" width="12" style="28" bestFit="1" customWidth="1"/>
    <col min="4109" max="4109" width="11.81640625" style="28" bestFit="1" customWidth="1"/>
    <col min="4110" max="4110" width="13.7265625" style="28" bestFit="1" customWidth="1"/>
    <col min="4111" max="4111" width="14.08984375" style="28" bestFit="1" customWidth="1"/>
    <col min="4112" max="4112" width="9.08984375" style="28"/>
    <col min="4113" max="4113" width="25.26953125" style="28" bestFit="1" customWidth="1"/>
    <col min="4114" max="4114" width="4.7265625" style="28" bestFit="1" customWidth="1"/>
    <col min="4115" max="4115" width="1.36328125" style="28" bestFit="1" customWidth="1"/>
    <col min="4116" max="4116" width="4.26953125" style="28" bestFit="1" customWidth="1"/>
    <col min="4117" max="4117" width="1.36328125" style="28" bestFit="1" customWidth="1"/>
    <col min="4118" max="4118" width="5.6328125" style="28" bestFit="1" customWidth="1"/>
    <col min="4119" max="4119" width="1.36328125" style="28" bestFit="1" customWidth="1"/>
    <col min="4120" max="4120" width="6.81640625" style="28" bestFit="1" customWidth="1"/>
    <col min="4121" max="4121" width="13.08984375" style="28" bestFit="1" customWidth="1"/>
    <col min="4122" max="4337" width="9.08984375" style="28"/>
    <col min="4338" max="4338" width="2.81640625" style="28" bestFit="1" customWidth="1"/>
    <col min="4339" max="4339" width="6.81640625" style="28" bestFit="1" customWidth="1"/>
    <col min="4340" max="4340" width="4.36328125" style="28" bestFit="1" customWidth="1"/>
    <col min="4341" max="4341" width="5.6328125" style="28" bestFit="1" customWidth="1"/>
    <col min="4342" max="4342" width="4" style="28" bestFit="1" customWidth="1"/>
    <col min="4343" max="4343" width="5.6328125" style="28" bestFit="1" customWidth="1"/>
    <col min="4344" max="4344" width="9.26953125" style="28" bestFit="1" customWidth="1"/>
    <col min="4345" max="4345" width="1.81640625" style="28" bestFit="1" customWidth="1"/>
    <col min="4346" max="4346" width="6.81640625" style="28" bestFit="1" customWidth="1"/>
    <col min="4347" max="4347" width="10.81640625" style="28" bestFit="1" customWidth="1"/>
    <col min="4348" max="4348" width="8.7265625" style="28" bestFit="1" customWidth="1"/>
    <col min="4349" max="4349" width="9.6328125" style="28" bestFit="1" customWidth="1"/>
    <col min="4350" max="4350" width="12" style="28" bestFit="1" customWidth="1"/>
    <col min="4351" max="4362" width="8.7265625" style="28" bestFit="1" customWidth="1"/>
    <col min="4363" max="4363" width="9.6328125" style="28" bestFit="1" customWidth="1"/>
    <col min="4364" max="4364" width="12" style="28" bestFit="1" customWidth="1"/>
    <col min="4365" max="4365" width="11.81640625" style="28" bestFit="1" customWidth="1"/>
    <col min="4366" max="4366" width="13.7265625" style="28" bestFit="1" customWidth="1"/>
    <col min="4367" max="4367" width="14.08984375" style="28" bestFit="1" customWidth="1"/>
    <col min="4368" max="4368" width="9.08984375" style="28"/>
    <col min="4369" max="4369" width="25.26953125" style="28" bestFit="1" customWidth="1"/>
    <col min="4370" max="4370" width="4.7265625" style="28" bestFit="1" customWidth="1"/>
    <col min="4371" max="4371" width="1.36328125" style="28" bestFit="1" customWidth="1"/>
    <col min="4372" max="4372" width="4.26953125" style="28" bestFit="1" customWidth="1"/>
    <col min="4373" max="4373" width="1.36328125" style="28" bestFit="1" customWidth="1"/>
    <col min="4374" max="4374" width="5.6328125" style="28" bestFit="1" customWidth="1"/>
    <col min="4375" max="4375" width="1.36328125" style="28" bestFit="1" customWidth="1"/>
    <col min="4376" max="4376" width="6.81640625" style="28" bestFit="1" customWidth="1"/>
    <col min="4377" max="4377" width="13.08984375" style="28" bestFit="1" customWidth="1"/>
    <col min="4378" max="4593" width="9.08984375" style="28"/>
    <col min="4594" max="4594" width="2.81640625" style="28" bestFit="1" customWidth="1"/>
    <col min="4595" max="4595" width="6.81640625" style="28" bestFit="1" customWidth="1"/>
    <col min="4596" max="4596" width="4.36328125" style="28" bestFit="1" customWidth="1"/>
    <col min="4597" max="4597" width="5.6328125" style="28" bestFit="1" customWidth="1"/>
    <col min="4598" max="4598" width="4" style="28" bestFit="1" customWidth="1"/>
    <col min="4599" max="4599" width="5.6328125" style="28" bestFit="1" customWidth="1"/>
    <col min="4600" max="4600" width="9.26953125" style="28" bestFit="1" customWidth="1"/>
    <col min="4601" max="4601" width="1.81640625" style="28" bestFit="1" customWidth="1"/>
    <col min="4602" max="4602" width="6.81640625" style="28" bestFit="1" customWidth="1"/>
    <col min="4603" max="4603" width="10.81640625" style="28" bestFit="1" customWidth="1"/>
    <col min="4604" max="4604" width="8.7265625" style="28" bestFit="1" customWidth="1"/>
    <col min="4605" max="4605" width="9.6328125" style="28" bestFit="1" customWidth="1"/>
    <col min="4606" max="4606" width="12" style="28" bestFit="1" customWidth="1"/>
    <col min="4607" max="4618" width="8.7265625" style="28" bestFit="1" customWidth="1"/>
    <col min="4619" max="4619" width="9.6328125" style="28" bestFit="1" customWidth="1"/>
    <col min="4620" max="4620" width="12" style="28" bestFit="1" customWidth="1"/>
    <col min="4621" max="4621" width="11.81640625" style="28" bestFit="1" customWidth="1"/>
    <col min="4622" max="4622" width="13.7265625" style="28" bestFit="1" customWidth="1"/>
    <col min="4623" max="4623" width="14.08984375" style="28" bestFit="1" customWidth="1"/>
    <col min="4624" max="4624" width="9.08984375" style="28"/>
    <col min="4625" max="4625" width="25.26953125" style="28" bestFit="1" customWidth="1"/>
    <col min="4626" max="4626" width="4.7265625" style="28" bestFit="1" customWidth="1"/>
    <col min="4627" max="4627" width="1.36328125" style="28" bestFit="1" customWidth="1"/>
    <col min="4628" max="4628" width="4.26953125" style="28" bestFit="1" customWidth="1"/>
    <col min="4629" max="4629" width="1.36328125" style="28" bestFit="1" customWidth="1"/>
    <col min="4630" max="4630" width="5.6328125" style="28" bestFit="1" customWidth="1"/>
    <col min="4631" max="4631" width="1.36328125" style="28" bestFit="1" customWidth="1"/>
    <col min="4632" max="4632" width="6.81640625" style="28" bestFit="1" customWidth="1"/>
    <col min="4633" max="4633" width="13.08984375" style="28" bestFit="1" customWidth="1"/>
    <col min="4634" max="4849" width="9.08984375" style="28"/>
    <col min="4850" max="4850" width="2.81640625" style="28" bestFit="1" customWidth="1"/>
    <col min="4851" max="4851" width="6.81640625" style="28" bestFit="1" customWidth="1"/>
    <col min="4852" max="4852" width="4.36328125" style="28" bestFit="1" customWidth="1"/>
    <col min="4853" max="4853" width="5.6328125" style="28" bestFit="1" customWidth="1"/>
    <col min="4854" max="4854" width="4" style="28" bestFit="1" customWidth="1"/>
    <col min="4855" max="4855" width="5.6328125" style="28" bestFit="1" customWidth="1"/>
    <col min="4856" max="4856" width="9.26953125" style="28" bestFit="1" customWidth="1"/>
    <col min="4857" max="4857" width="1.81640625" style="28" bestFit="1" customWidth="1"/>
    <col min="4858" max="4858" width="6.81640625" style="28" bestFit="1" customWidth="1"/>
    <col min="4859" max="4859" width="10.81640625" style="28" bestFit="1" customWidth="1"/>
    <col min="4860" max="4860" width="8.7265625" style="28" bestFit="1" customWidth="1"/>
    <col min="4861" max="4861" width="9.6328125" style="28" bestFit="1" customWidth="1"/>
    <col min="4862" max="4862" width="12" style="28" bestFit="1" customWidth="1"/>
    <col min="4863" max="4874" width="8.7265625" style="28" bestFit="1" customWidth="1"/>
    <col min="4875" max="4875" width="9.6328125" style="28" bestFit="1" customWidth="1"/>
    <col min="4876" max="4876" width="12" style="28" bestFit="1" customWidth="1"/>
    <col min="4877" max="4877" width="11.81640625" style="28" bestFit="1" customWidth="1"/>
    <col min="4878" max="4878" width="13.7265625" style="28" bestFit="1" customWidth="1"/>
    <col min="4879" max="4879" width="14.08984375" style="28" bestFit="1" customWidth="1"/>
    <col min="4880" max="4880" width="9.08984375" style="28"/>
    <col min="4881" max="4881" width="25.26953125" style="28" bestFit="1" customWidth="1"/>
    <col min="4882" max="4882" width="4.7265625" style="28" bestFit="1" customWidth="1"/>
    <col min="4883" max="4883" width="1.36328125" style="28" bestFit="1" customWidth="1"/>
    <col min="4884" max="4884" width="4.26953125" style="28" bestFit="1" customWidth="1"/>
    <col min="4885" max="4885" width="1.36328125" style="28" bestFit="1" customWidth="1"/>
    <col min="4886" max="4886" width="5.6328125" style="28" bestFit="1" customWidth="1"/>
    <col min="4887" max="4887" width="1.36328125" style="28" bestFit="1" customWidth="1"/>
    <col min="4888" max="4888" width="6.81640625" style="28" bestFit="1" customWidth="1"/>
    <col min="4889" max="4889" width="13.08984375" style="28" bestFit="1" customWidth="1"/>
    <col min="4890" max="5105" width="9.08984375" style="28"/>
    <col min="5106" max="5106" width="2.81640625" style="28" bestFit="1" customWidth="1"/>
    <col min="5107" max="5107" width="6.81640625" style="28" bestFit="1" customWidth="1"/>
    <col min="5108" max="5108" width="4.36328125" style="28" bestFit="1" customWidth="1"/>
    <col min="5109" max="5109" width="5.6328125" style="28" bestFit="1" customWidth="1"/>
    <col min="5110" max="5110" width="4" style="28" bestFit="1" customWidth="1"/>
    <col min="5111" max="5111" width="5.6328125" style="28" bestFit="1" customWidth="1"/>
    <col min="5112" max="5112" width="9.26953125" style="28" bestFit="1" customWidth="1"/>
    <col min="5113" max="5113" width="1.81640625" style="28" bestFit="1" customWidth="1"/>
    <col min="5114" max="5114" width="6.81640625" style="28" bestFit="1" customWidth="1"/>
    <col min="5115" max="5115" width="10.81640625" style="28" bestFit="1" customWidth="1"/>
    <col min="5116" max="5116" width="8.7265625" style="28" bestFit="1" customWidth="1"/>
    <col min="5117" max="5117" width="9.6328125" style="28" bestFit="1" customWidth="1"/>
    <col min="5118" max="5118" width="12" style="28" bestFit="1" customWidth="1"/>
    <col min="5119" max="5130" width="8.7265625" style="28" bestFit="1" customWidth="1"/>
    <col min="5131" max="5131" width="9.6328125" style="28" bestFit="1" customWidth="1"/>
    <col min="5132" max="5132" width="12" style="28" bestFit="1" customWidth="1"/>
    <col min="5133" max="5133" width="11.81640625" style="28" bestFit="1" customWidth="1"/>
    <col min="5134" max="5134" width="13.7265625" style="28" bestFit="1" customWidth="1"/>
    <col min="5135" max="5135" width="14.08984375" style="28" bestFit="1" customWidth="1"/>
    <col min="5136" max="5136" width="9.08984375" style="28"/>
    <col min="5137" max="5137" width="25.26953125" style="28" bestFit="1" customWidth="1"/>
    <col min="5138" max="5138" width="4.7265625" style="28" bestFit="1" customWidth="1"/>
    <col min="5139" max="5139" width="1.36328125" style="28" bestFit="1" customWidth="1"/>
    <col min="5140" max="5140" width="4.26953125" style="28" bestFit="1" customWidth="1"/>
    <col min="5141" max="5141" width="1.36328125" style="28" bestFit="1" customWidth="1"/>
    <col min="5142" max="5142" width="5.6328125" style="28" bestFit="1" customWidth="1"/>
    <col min="5143" max="5143" width="1.36328125" style="28" bestFit="1" customWidth="1"/>
    <col min="5144" max="5144" width="6.81640625" style="28" bestFit="1" customWidth="1"/>
    <col min="5145" max="5145" width="13.08984375" style="28" bestFit="1" customWidth="1"/>
    <col min="5146" max="5361" width="9.08984375" style="28"/>
    <col min="5362" max="5362" width="2.81640625" style="28" bestFit="1" customWidth="1"/>
    <col min="5363" max="5363" width="6.81640625" style="28" bestFit="1" customWidth="1"/>
    <col min="5364" max="5364" width="4.36328125" style="28" bestFit="1" customWidth="1"/>
    <col min="5365" max="5365" width="5.6328125" style="28" bestFit="1" customWidth="1"/>
    <col min="5366" max="5366" width="4" style="28" bestFit="1" customWidth="1"/>
    <col min="5367" max="5367" width="5.6328125" style="28" bestFit="1" customWidth="1"/>
    <col min="5368" max="5368" width="9.26953125" style="28" bestFit="1" customWidth="1"/>
    <col min="5369" max="5369" width="1.81640625" style="28" bestFit="1" customWidth="1"/>
    <col min="5370" max="5370" width="6.81640625" style="28" bestFit="1" customWidth="1"/>
    <col min="5371" max="5371" width="10.81640625" style="28" bestFit="1" customWidth="1"/>
    <col min="5372" max="5372" width="8.7265625" style="28" bestFit="1" customWidth="1"/>
    <col min="5373" max="5373" width="9.6328125" style="28" bestFit="1" customWidth="1"/>
    <col min="5374" max="5374" width="12" style="28" bestFit="1" customWidth="1"/>
    <col min="5375" max="5386" width="8.7265625" style="28" bestFit="1" customWidth="1"/>
    <col min="5387" max="5387" width="9.6328125" style="28" bestFit="1" customWidth="1"/>
    <col min="5388" max="5388" width="12" style="28" bestFit="1" customWidth="1"/>
    <col min="5389" max="5389" width="11.81640625" style="28" bestFit="1" customWidth="1"/>
    <col min="5390" max="5390" width="13.7265625" style="28" bestFit="1" customWidth="1"/>
    <col min="5391" max="5391" width="14.08984375" style="28" bestFit="1" customWidth="1"/>
    <col min="5392" max="5392" width="9.08984375" style="28"/>
    <col min="5393" max="5393" width="25.26953125" style="28" bestFit="1" customWidth="1"/>
    <col min="5394" max="5394" width="4.7265625" style="28" bestFit="1" customWidth="1"/>
    <col min="5395" max="5395" width="1.36328125" style="28" bestFit="1" customWidth="1"/>
    <col min="5396" max="5396" width="4.26953125" style="28" bestFit="1" customWidth="1"/>
    <col min="5397" max="5397" width="1.36328125" style="28" bestFit="1" customWidth="1"/>
    <col min="5398" max="5398" width="5.6328125" style="28" bestFit="1" customWidth="1"/>
    <col min="5399" max="5399" width="1.36328125" style="28" bestFit="1" customWidth="1"/>
    <col min="5400" max="5400" width="6.81640625" style="28" bestFit="1" customWidth="1"/>
    <col min="5401" max="5401" width="13.08984375" style="28" bestFit="1" customWidth="1"/>
    <col min="5402" max="5617" width="9.08984375" style="28"/>
    <col min="5618" max="5618" width="2.81640625" style="28" bestFit="1" customWidth="1"/>
    <col min="5619" max="5619" width="6.81640625" style="28" bestFit="1" customWidth="1"/>
    <col min="5620" max="5620" width="4.36328125" style="28" bestFit="1" customWidth="1"/>
    <col min="5621" max="5621" width="5.6328125" style="28" bestFit="1" customWidth="1"/>
    <col min="5622" max="5622" width="4" style="28" bestFit="1" customWidth="1"/>
    <col min="5623" max="5623" width="5.6328125" style="28" bestFit="1" customWidth="1"/>
    <col min="5624" max="5624" width="9.26953125" style="28" bestFit="1" customWidth="1"/>
    <col min="5625" max="5625" width="1.81640625" style="28" bestFit="1" customWidth="1"/>
    <col min="5626" max="5626" width="6.81640625" style="28" bestFit="1" customWidth="1"/>
    <col min="5627" max="5627" width="10.81640625" style="28" bestFit="1" customWidth="1"/>
    <col min="5628" max="5628" width="8.7265625" style="28" bestFit="1" customWidth="1"/>
    <col min="5629" max="5629" width="9.6328125" style="28" bestFit="1" customWidth="1"/>
    <col min="5630" max="5630" width="12" style="28" bestFit="1" customWidth="1"/>
    <col min="5631" max="5642" width="8.7265625" style="28" bestFit="1" customWidth="1"/>
    <col min="5643" max="5643" width="9.6328125" style="28" bestFit="1" customWidth="1"/>
    <col min="5644" max="5644" width="12" style="28" bestFit="1" customWidth="1"/>
    <col min="5645" max="5645" width="11.81640625" style="28" bestFit="1" customWidth="1"/>
    <col min="5646" max="5646" width="13.7265625" style="28" bestFit="1" customWidth="1"/>
    <col min="5647" max="5647" width="14.08984375" style="28" bestFit="1" customWidth="1"/>
    <col min="5648" max="5648" width="9.08984375" style="28"/>
    <col min="5649" max="5649" width="25.26953125" style="28" bestFit="1" customWidth="1"/>
    <col min="5650" max="5650" width="4.7265625" style="28" bestFit="1" customWidth="1"/>
    <col min="5651" max="5651" width="1.36328125" style="28" bestFit="1" customWidth="1"/>
    <col min="5652" max="5652" width="4.26953125" style="28" bestFit="1" customWidth="1"/>
    <col min="5653" max="5653" width="1.36328125" style="28" bestFit="1" customWidth="1"/>
    <col min="5654" max="5654" width="5.6328125" style="28" bestFit="1" customWidth="1"/>
    <col min="5655" max="5655" width="1.36328125" style="28" bestFit="1" customWidth="1"/>
    <col min="5656" max="5656" width="6.81640625" style="28" bestFit="1" customWidth="1"/>
    <col min="5657" max="5657" width="13.08984375" style="28" bestFit="1" customWidth="1"/>
    <col min="5658" max="5873" width="9.08984375" style="28"/>
    <col min="5874" max="5874" width="2.81640625" style="28" bestFit="1" customWidth="1"/>
    <col min="5875" max="5875" width="6.81640625" style="28" bestFit="1" customWidth="1"/>
    <col min="5876" max="5876" width="4.36328125" style="28" bestFit="1" customWidth="1"/>
    <col min="5877" max="5877" width="5.6328125" style="28" bestFit="1" customWidth="1"/>
    <col min="5878" max="5878" width="4" style="28" bestFit="1" customWidth="1"/>
    <col min="5879" max="5879" width="5.6328125" style="28" bestFit="1" customWidth="1"/>
    <col min="5880" max="5880" width="9.26953125" style="28" bestFit="1" customWidth="1"/>
    <col min="5881" max="5881" width="1.81640625" style="28" bestFit="1" customWidth="1"/>
    <col min="5882" max="5882" width="6.81640625" style="28" bestFit="1" customWidth="1"/>
    <col min="5883" max="5883" width="10.81640625" style="28" bestFit="1" customWidth="1"/>
    <col min="5884" max="5884" width="8.7265625" style="28" bestFit="1" customWidth="1"/>
    <col min="5885" max="5885" width="9.6328125" style="28" bestFit="1" customWidth="1"/>
    <col min="5886" max="5886" width="12" style="28" bestFit="1" customWidth="1"/>
    <col min="5887" max="5898" width="8.7265625" style="28" bestFit="1" customWidth="1"/>
    <col min="5899" max="5899" width="9.6328125" style="28" bestFit="1" customWidth="1"/>
    <col min="5900" max="5900" width="12" style="28" bestFit="1" customWidth="1"/>
    <col min="5901" max="5901" width="11.81640625" style="28" bestFit="1" customWidth="1"/>
    <col min="5902" max="5902" width="13.7265625" style="28" bestFit="1" customWidth="1"/>
    <col min="5903" max="5903" width="14.08984375" style="28" bestFit="1" customWidth="1"/>
    <col min="5904" max="5904" width="9.08984375" style="28"/>
    <col min="5905" max="5905" width="25.26953125" style="28" bestFit="1" customWidth="1"/>
    <col min="5906" max="5906" width="4.7265625" style="28" bestFit="1" customWidth="1"/>
    <col min="5907" max="5907" width="1.36328125" style="28" bestFit="1" customWidth="1"/>
    <col min="5908" max="5908" width="4.26953125" style="28" bestFit="1" customWidth="1"/>
    <col min="5909" max="5909" width="1.36328125" style="28" bestFit="1" customWidth="1"/>
    <col min="5910" max="5910" width="5.6328125" style="28" bestFit="1" customWidth="1"/>
    <col min="5911" max="5911" width="1.36328125" style="28" bestFit="1" customWidth="1"/>
    <col min="5912" max="5912" width="6.81640625" style="28" bestFit="1" customWidth="1"/>
    <col min="5913" max="5913" width="13.08984375" style="28" bestFit="1" customWidth="1"/>
    <col min="5914" max="6129" width="9.08984375" style="28"/>
    <col min="6130" max="6130" width="2.81640625" style="28" bestFit="1" customWidth="1"/>
    <col min="6131" max="6131" width="6.81640625" style="28" bestFit="1" customWidth="1"/>
    <col min="6132" max="6132" width="4.36328125" style="28" bestFit="1" customWidth="1"/>
    <col min="6133" max="6133" width="5.6328125" style="28" bestFit="1" customWidth="1"/>
    <col min="6134" max="6134" width="4" style="28" bestFit="1" customWidth="1"/>
    <col min="6135" max="6135" width="5.6328125" style="28" bestFit="1" customWidth="1"/>
    <col min="6136" max="6136" width="9.26953125" style="28" bestFit="1" customWidth="1"/>
    <col min="6137" max="6137" width="1.81640625" style="28" bestFit="1" customWidth="1"/>
    <col min="6138" max="6138" width="6.81640625" style="28" bestFit="1" customWidth="1"/>
    <col min="6139" max="6139" width="10.81640625" style="28" bestFit="1" customWidth="1"/>
    <col min="6140" max="6140" width="8.7265625" style="28" bestFit="1" customWidth="1"/>
    <col min="6141" max="6141" width="9.6328125" style="28" bestFit="1" customWidth="1"/>
    <col min="6142" max="6142" width="12" style="28" bestFit="1" customWidth="1"/>
    <col min="6143" max="6154" width="8.7265625" style="28" bestFit="1" customWidth="1"/>
    <col min="6155" max="6155" width="9.6328125" style="28" bestFit="1" customWidth="1"/>
    <col min="6156" max="6156" width="12" style="28" bestFit="1" customWidth="1"/>
    <col min="6157" max="6157" width="11.81640625" style="28" bestFit="1" customWidth="1"/>
    <col min="6158" max="6158" width="13.7265625" style="28" bestFit="1" customWidth="1"/>
    <col min="6159" max="6159" width="14.08984375" style="28" bestFit="1" customWidth="1"/>
    <col min="6160" max="6160" width="9.08984375" style="28"/>
    <col min="6161" max="6161" width="25.26953125" style="28" bestFit="1" customWidth="1"/>
    <col min="6162" max="6162" width="4.7265625" style="28" bestFit="1" customWidth="1"/>
    <col min="6163" max="6163" width="1.36328125" style="28" bestFit="1" customWidth="1"/>
    <col min="6164" max="6164" width="4.26953125" style="28" bestFit="1" customWidth="1"/>
    <col min="6165" max="6165" width="1.36328125" style="28" bestFit="1" customWidth="1"/>
    <col min="6166" max="6166" width="5.6328125" style="28" bestFit="1" customWidth="1"/>
    <col min="6167" max="6167" width="1.36328125" style="28" bestFit="1" customWidth="1"/>
    <col min="6168" max="6168" width="6.81640625" style="28" bestFit="1" customWidth="1"/>
    <col min="6169" max="6169" width="13.08984375" style="28" bestFit="1" customWidth="1"/>
    <col min="6170" max="6385" width="9.08984375" style="28"/>
    <col min="6386" max="6386" width="2.81640625" style="28" bestFit="1" customWidth="1"/>
    <col min="6387" max="6387" width="6.81640625" style="28" bestFit="1" customWidth="1"/>
    <col min="6388" max="6388" width="4.36328125" style="28" bestFit="1" customWidth="1"/>
    <col min="6389" max="6389" width="5.6328125" style="28" bestFit="1" customWidth="1"/>
    <col min="6390" max="6390" width="4" style="28" bestFit="1" customWidth="1"/>
    <col min="6391" max="6391" width="5.6328125" style="28" bestFit="1" customWidth="1"/>
    <col min="6392" max="6392" width="9.26953125" style="28" bestFit="1" customWidth="1"/>
    <col min="6393" max="6393" width="1.81640625" style="28" bestFit="1" customWidth="1"/>
    <col min="6394" max="6394" width="6.81640625" style="28" bestFit="1" customWidth="1"/>
    <col min="6395" max="6395" width="10.81640625" style="28" bestFit="1" customWidth="1"/>
    <col min="6396" max="6396" width="8.7265625" style="28" bestFit="1" customWidth="1"/>
    <col min="6397" max="6397" width="9.6328125" style="28" bestFit="1" customWidth="1"/>
    <col min="6398" max="6398" width="12" style="28" bestFit="1" customWidth="1"/>
    <col min="6399" max="6410" width="8.7265625" style="28" bestFit="1" customWidth="1"/>
    <col min="6411" max="6411" width="9.6328125" style="28" bestFit="1" customWidth="1"/>
    <col min="6412" max="6412" width="12" style="28" bestFit="1" customWidth="1"/>
    <col min="6413" max="6413" width="11.81640625" style="28" bestFit="1" customWidth="1"/>
    <col min="6414" max="6414" width="13.7265625" style="28" bestFit="1" customWidth="1"/>
    <col min="6415" max="6415" width="14.08984375" style="28" bestFit="1" customWidth="1"/>
    <col min="6416" max="6416" width="9.08984375" style="28"/>
    <col min="6417" max="6417" width="25.26953125" style="28" bestFit="1" customWidth="1"/>
    <col min="6418" max="6418" width="4.7265625" style="28" bestFit="1" customWidth="1"/>
    <col min="6419" max="6419" width="1.36328125" style="28" bestFit="1" customWidth="1"/>
    <col min="6420" max="6420" width="4.26953125" style="28" bestFit="1" customWidth="1"/>
    <col min="6421" max="6421" width="1.36328125" style="28" bestFit="1" customWidth="1"/>
    <col min="6422" max="6422" width="5.6328125" style="28" bestFit="1" customWidth="1"/>
    <col min="6423" max="6423" width="1.36328125" style="28" bestFit="1" customWidth="1"/>
    <col min="6424" max="6424" width="6.81640625" style="28" bestFit="1" customWidth="1"/>
    <col min="6425" max="6425" width="13.08984375" style="28" bestFit="1" customWidth="1"/>
    <col min="6426" max="6641" width="9.08984375" style="28"/>
    <col min="6642" max="6642" width="2.81640625" style="28" bestFit="1" customWidth="1"/>
    <col min="6643" max="6643" width="6.81640625" style="28" bestFit="1" customWidth="1"/>
    <col min="6644" max="6644" width="4.36328125" style="28" bestFit="1" customWidth="1"/>
    <col min="6645" max="6645" width="5.6328125" style="28" bestFit="1" customWidth="1"/>
    <col min="6646" max="6646" width="4" style="28" bestFit="1" customWidth="1"/>
    <col min="6647" max="6647" width="5.6328125" style="28" bestFit="1" customWidth="1"/>
    <col min="6648" max="6648" width="9.26953125" style="28" bestFit="1" customWidth="1"/>
    <col min="6649" max="6649" width="1.81640625" style="28" bestFit="1" customWidth="1"/>
    <col min="6650" max="6650" width="6.81640625" style="28" bestFit="1" customWidth="1"/>
    <col min="6651" max="6651" width="10.81640625" style="28" bestFit="1" customWidth="1"/>
    <col min="6652" max="6652" width="8.7265625" style="28" bestFit="1" customWidth="1"/>
    <col min="6653" max="6653" width="9.6328125" style="28" bestFit="1" customWidth="1"/>
    <col min="6654" max="6654" width="12" style="28" bestFit="1" customWidth="1"/>
    <col min="6655" max="6666" width="8.7265625" style="28" bestFit="1" customWidth="1"/>
    <col min="6667" max="6667" width="9.6328125" style="28" bestFit="1" customWidth="1"/>
    <col min="6668" max="6668" width="12" style="28" bestFit="1" customWidth="1"/>
    <col min="6669" max="6669" width="11.81640625" style="28" bestFit="1" customWidth="1"/>
    <col min="6670" max="6670" width="13.7265625" style="28" bestFit="1" customWidth="1"/>
    <col min="6671" max="6671" width="14.08984375" style="28" bestFit="1" customWidth="1"/>
    <col min="6672" max="6672" width="9.08984375" style="28"/>
    <col min="6673" max="6673" width="25.26953125" style="28" bestFit="1" customWidth="1"/>
    <col min="6674" max="6674" width="4.7265625" style="28" bestFit="1" customWidth="1"/>
    <col min="6675" max="6675" width="1.36328125" style="28" bestFit="1" customWidth="1"/>
    <col min="6676" max="6676" width="4.26953125" style="28" bestFit="1" customWidth="1"/>
    <col min="6677" max="6677" width="1.36328125" style="28" bestFit="1" customWidth="1"/>
    <col min="6678" max="6678" width="5.6328125" style="28" bestFit="1" customWidth="1"/>
    <col min="6679" max="6679" width="1.36328125" style="28" bestFit="1" customWidth="1"/>
    <col min="6680" max="6680" width="6.81640625" style="28" bestFit="1" customWidth="1"/>
    <col min="6681" max="6681" width="13.08984375" style="28" bestFit="1" customWidth="1"/>
    <col min="6682" max="6897" width="9.08984375" style="28"/>
    <col min="6898" max="6898" width="2.81640625" style="28" bestFit="1" customWidth="1"/>
    <col min="6899" max="6899" width="6.81640625" style="28" bestFit="1" customWidth="1"/>
    <col min="6900" max="6900" width="4.36328125" style="28" bestFit="1" customWidth="1"/>
    <col min="6901" max="6901" width="5.6328125" style="28" bestFit="1" customWidth="1"/>
    <col min="6902" max="6902" width="4" style="28" bestFit="1" customWidth="1"/>
    <col min="6903" max="6903" width="5.6328125" style="28" bestFit="1" customWidth="1"/>
    <col min="6904" max="6904" width="9.26953125" style="28" bestFit="1" customWidth="1"/>
    <col min="6905" max="6905" width="1.81640625" style="28" bestFit="1" customWidth="1"/>
    <col min="6906" max="6906" width="6.81640625" style="28" bestFit="1" customWidth="1"/>
    <col min="6907" max="6907" width="10.81640625" style="28" bestFit="1" customWidth="1"/>
    <col min="6908" max="6908" width="8.7265625" style="28" bestFit="1" customWidth="1"/>
    <col min="6909" max="6909" width="9.6328125" style="28" bestFit="1" customWidth="1"/>
    <col min="6910" max="6910" width="12" style="28" bestFit="1" customWidth="1"/>
    <col min="6911" max="6922" width="8.7265625" style="28" bestFit="1" customWidth="1"/>
    <col min="6923" max="6923" width="9.6328125" style="28" bestFit="1" customWidth="1"/>
    <col min="6924" max="6924" width="12" style="28" bestFit="1" customWidth="1"/>
    <col min="6925" max="6925" width="11.81640625" style="28" bestFit="1" customWidth="1"/>
    <col min="6926" max="6926" width="13.7265625" style="28" bestFit="1" customWidth="1"/>
    <col min="6927" max="6927" width="14.08984375" style="28" bestFit="1" customWidth="1"/>
    <col min="6928" max="6928" width="9.08984375" style="28"/>
    <col min="6929" max="6929" width="25.26953125" style="28" bestFit="1" customWidth="1"/>
    <col min="6930" max="6930" width="4.7265625" style="28" bestFit="1" customWidth="1"/>
    <col min="6931" max="6931" width="1.36328125" style="28" bestFit="1" customWidth="1"/>
    <col min="6932" max="6932" width="4.26953125" style="28" bestFit="1" customWidth="1"/>
    <col min="6933" max="6933" width="1.36328125" style="28" bestFit="1" customWidth="1"/>
    <col min="6934" max="6934" width="5.6328125" style="28" bestFit="1" customWidth="1"/>
    <col min="6935" max="6935" width="1.36328125" style="28" bestFit="1" customWidth="1"/>
    <col min="6936" max="6936" width="6.81640625" style="28" bestFit="1" customWidth="1"/>
    <col min="6937" max="6937" width="13.08984375" style="28" bestFit="1" customWidth="1"/>
    <col min="6938" max="7153" width="9.08984375" style="28"/>
    <col min="7154" max="7154" width="2.81640625" style="28" bestFit="1" customWidth="1"/>
    <col min="7155" max="7155" width="6.81640625" style="28" bestFit="1" customWidth="1"/>
    <col min="7156" max="7156" width="4.36328125" style="28" bestFit="1" customWidth="1"/>
    <col min="7157" max="7157" width="5.6328125" style="28" bestFit="1" customWidth="1"/>
    <col min="7158" max="7158" width="4" style="28" bestFit="1" customWidth="1"/>
    <col min="7159" max="7159" width="5.6328125" style="28" bestFit="1" customWidth="1"/>
    <col min="7160" max="7160" width="9.26953125" style="28" bestFit="1" customWidth="1"/>
    <col min="7161" max="7161" width="1.81640625" style="28" bestFit="1" customWidth="1"/>
    <col min="7162" max="7162" width="6.81640625" style="28" bestFit="1" customWidth="1"/>
    <col min="7163" max="7163" width="10.81640625" style="28" bestFit="1" customWidth="1"/>
    <col min="7164" max="7164" width="8.7265625" style="28" bestFit="1" customWidth="1"/>
    <col min="7165" max="7165" width="9.6328125" style="28" bestFit="1" customWidth="1"/>
    <col min="7166" max="7166" width="12" style="28" bestFit="1" customWidth="1"/>
    <col min="7167" max="7178" width="8.7265625" style="28" bestFit="1" customWidth="1"/>
    <col min="7179" max="7179" width="9.6328125" style="28" bestFit="1" customWidth="1"/>
    <col min="7180" max="7180" width="12" style="28" bestFit="1" customWidth="1"/>
    <col min="7181" max="7181" width="11.81640625" style="28" bestFit="1" customWidth="1"/>
    <col min="7182" max="7182" width="13.7265625" style="28" bestFit="1" customWidth="1"/>
    <col min="7183" max="7183" width="14.08984375" style="28" bestFit="1" customWidth="1"/>
    <col min="7184" max="7184" width="9.08984375" style="28"/>
    <col min="7185" max="7185" width="25.26953125" style="28" bestFit="1" customWidth="1"/>
    <col min="7186" max="7186" width="4.7265625" style="28" bestFit="1" customWidth="1"/>
    <col min="7187" max="7187" width="1.36328125" style="28" bestFit="1" customWidth="1"/>
    <col min="7188" max="7188" width="4.26953125" style="28" bestFit="1" customWidth="1"/>
    <col min="7189" max="7189" width="1.36328125" style="28" bestFit="1" customWidth="1"/>
    <col min="7190" max="7190" width="5.6328125" style="28" bestFit="1" customWidth="1"/>
    <col min="7191" max="7191" width="1.36328125" style="28" bestFit="1" customWidth="1"/>
    <col min="7192" max="7192" width="6.81640625" style="28" bestFit="1" customWidth="1"/>
    <col min="7193" max="7193" width="13.08984375" style="28" bestFit="1" customWidth="1"/>
    <col min="7194" max="7409" width="9.08984375" style="28"/>
    <col min="7410" max="7410" width="2.81640625" style="28" bestFit="1" customWidth="1"/>
    <col min="7411" max="7411" width="6.81640625" style="28" bestFit="1" customWidth="1"/>
    <col min="7412" max="7412" width="4.36328125" style="28" bestFit="1" customWidth="1"/>
    <col min="7413" max="7413" width="5.6328125" style="28" bestFit="1" customWidth="1"/>
    <col min="7414" max="7414" width="4" style="28" bestFit="1" customWidth="1"/>
    <col min="7415" max="7415" width="5.6328125" style="28" bestFit="1" customWidth="1"/>
    <col min="7416" max="7416" width="9.26953125" style="28" bestFit="1" customWidth="1"/>
    <col min="7417" max="7417" width="1.81640625" style="28" bestFit="1" customWidth="1"/>
    <col min="7418" max="7418" width="6.81640625" style="28" bestFit="1" customWidth="1"/>
    <col min="7419" max="7419" width="10.81640625" style="28" bestFit="1" customWidth="1"/>
    <col min="7420" max="7420" width="8.7265625" style="28" bestFit="1" customWidth="1"/>
    <col min="7421" max="7421" width="9.6328125" style="28" bestFit="1" customWidth="1"/>
    <col min="7422" max="7422" width="12" style="28" bestFit="1" customWidth="1"/>
    <col min="7423" max="7434" width="8.7265625" style="28" bestFit="1" customWidth="1"/>
    <col min="7435" max="7435" width="9.6328125" style="28" bestFit="1" customWidth="1"/>
    <col min="7436" max="7436" width="12" style="28" bestFit="1" customWidth="1"/>
    <col min="7437" max="7437" width="11.81640625" style="28" bestFit="1" customWidth="1"/>
    <col min="7438" max="7438" width="13.7265625" style="28" bestFit="1" customWidth="1"/>
    <col min="7439" max="7439" width="14.08984375" style="28" bestFit="1" customWidth="1"/>
    <col min="7440" max="7440" width="9.08984375" style="28"/>
    <col min="7441" max="7441" width="25.26953125" style="28" bestFit="1" customWidth="1"/>
    <col min="7442" max="7442" width="4.7265625" style="28" bestFit="1" customWidth="1"/>
    <col min="7443" max="7443" width="1.36328125" style="28" bestFit="1" customWidth="1"/>
    <col min="7444" max="7444" width="4.26953125" style="28" bestFit="1" customWidth="1"/>
    <col min="7445" max="7445" width="1.36328125" style="28" bestFit="1" customWidth="1"/>
    <col min="7446" max="7446" width="5.6328125" style="28" bestFit="1" customWidth="1"/>
    <col min="7447" max="7447" width="1.36328125" style="28" bestFit="1" customWidth="1"/>
    <col min="7448" max="7448" width="6.81640625" style="28" bestFit="1" customWidth="1"/>
    <col min="7449" max="7449" width="13.08984375" style="28" bestFit="1" customWidth="1"/>
    <col min="7450" max="7665" width="9.08984375" style="28"/>
    <col min="7666" max="7666" width="2.81640625" style="28" bestFit="1" customWidth="1"/>
    <col min="7667" max="7667" width="6.81640625" style="28" bestFit="1" customWidth="1"/>
    <col min="7668" max="7668" width="4.36328125" style="28" bestFit="1" customWidth="1"/>
    <col min="7669" max="7669" width="5.6328125" style="28" bestFit="1" customWidth="1"/>
    <col min="7670" max="7670" width="4" style="28" bestFit="1" customWidth="1"/>
    <col min="7671" max="7671" width="5.6328125" style="28" bestFit="1" customWidth="1"/>
    <col min="7672" max="7672" width="9.26953125" style="28" bestFit="1" customWidth="1"/>
    <col min="7673" max="7673" width="1.81640625" style="28" bestFit="1" customWidth="1"/>
    <col min="7674" max="7674" width="6.81640625" style="28" bestFit="1" customWidth="1"/>
    <col min="7675" max="7675" width="10.81640625" style="28" bestFit="1" customWidth="1"/>
    <col min="7676" max="7676" width="8.7265625" style="28" bestFit="1" customWidth="1"/>
    <col min="7677" max="7677" width="9.6328125" style="28" bestFit="1" customWidth="1"/>
    <col min="7678" max="7678" width="12" style="28" bestFit="1" customWidth="1"/>
    <col min="7679" max="7690" width="8.7265625" style="28" bestFit="1" customWidth="1"/>
    <col min="7691" max="7691" width="9.6328125" style="28" bestFit="1" customWidth="1"/>
    <col min="7692" max="7692" width="12" style="28" bestFit="1" customWidth="1"/>
    <col min="7693" max="7693" width="11.81640625" style="28" bestFit="1" customWidth="1"/>
    <col min="7694" max="7694" width="13.7265625" style="28" bestFit="1" customWidth="1"/>
    <col min="7695" max="7695" width="14.08984375" style="28" bestFit="1" customWidth="1"/>
    <col min="7696" max="7696" width="9.08984375" style="28"/>
    <col min="7697" max="7697" width="25.26953125" style="28" bestFit="1" customWidth="1"/>
    <col min="7698" max="7698" width="4.7265625" style="28" bestFit="1" customWidth="1"/>
    <col min="7699" max="7699" width="1.36328125" style="28" bestFit="1" customWidth="1"/>
    <col min="7700" max="7700" width="4.26953125" style="28" bestFit="1" customWidth="1"/>
    <col min="7701" max="7701" width="1.36328125" style="28" bestFit="1" customWidth="1"/>
    <col min="7702" max="7702" width="5.6328125" style="28" bestFit="1" customWidth="1"/>
    <col min="7703" max="7703" width="1.36328125" style="28" bestFit="1" customWidth="1"/>
    <col min="7704" max="7704" width="6.81640625" style="28" bestFit="1" customWidth="1"/>
    <col min="7705" max="7705" width="13.08984375" style="28" bestFit="1" customWidth="1"/>
    <col min="7706" max="7921" width="9.08984375" style="28"/>
    <col min="7922" max="7922" width="2.81640625" style="28" bestFit="1" customWidth="1"/>
    <col min="7923" max="7923" width="6.81640625" style="28" bestFit="1" customWidth="1"/>
    <col min="7924" max="7924" width="4.36328125" style="28" bestFit="1" customWidth="1"/>
    <col min="7925" max="7925" width="5.6328125" style="28" bestFit="1" customWidth="1"/>
    <col min="7926" max="7926" width="4" style="28" bestFit="1" customWidth="1"/>
    <col min="7927" max="7927" width="5.6328125" style="28" bestFit="1" customWidth="1"/>
    <col min="7928" max="7928" width="9.26953125" style="28" bestFit="1" customWidth="1"/>
    <col min="7929" max="7929" width="1.81640625" style="28" bestFit="1" customWidth="1"/>
    <col min="7930" max="7930" width="6.81640625" style="28" bestFit="1" customWidth="1"/>
    <col min="7931" max="7931" width="10.81640625" style="28" bestFit="1" customWidth="1"/>
    <col min="7932" max="7932" width="8.7265625" style="28" bestFit="1" customWidth="1"/>
    <col min="7933" max="7933" width="9.6328125" style="28" bestFit="1" customWidth="1"/>
    <col min="7934" max="7934" width="12" style="28" bestFit="1" customWidth="1"/>
    <col min="7935" max="7946" width="8.7265625" style="28" bestFit="1" customWidth="1"/>
    <col min="7947" max="7947" width="9.6328125" style="28" bestFit="1" customWidth="1"/>
    <col min="7948" max="7948" width="12" style="28" bestFit="1" customWidth="1"/>
    <col min="7949" max="7949" width="11.81640625" style="28" bestFit="1" customWidth="1"/>
    <col min="7950" max="7950" width="13.7265625" style="28" bestFit="1" customWidth="1"/>
    <col min="7951" max="7951" width="14.08984375" style="28" bestFit="1" customWidth="1"/>
    <col min="7952" max="7952" width="9.08984375" style="28"/>
    <col min="7953" max="7953" width="25.26953125" style="28" bestFit="1" customWidth="1"/>
    <col min="7954" max="7954" width="4.7265625" style="28" bestFit="1" customWidth="1"/>
    <col min="7955" max="7955" width="1.36328125" style="28" bestFit="1" customWidth="1"/>
    <col min="7956" max="7956" width="4.26953125" style="28" bestFit="1" customWidth="1"/>
    <col min="7957" max="7957" width="1.36328125" style="28" bestFit="1" customWidth="1"/>
    <col min="7958" max="7958" width="5.6328125" style="28" bestFit="1" customWidth="1"/>
    <col min="7959" max="7959" width="1.36328125" style="28" bestFit="1" customWidth="1"/>
    <col min="7960" max="7960" width="6.81640625" style="28" bestFit="1" customWidth="1"/>
    <col min="7961" max="7961" width="13.08984375" style="28" bestFit="1" customWidth="1"/>
    <col min="7962" max="8177" width="9.08984375" style="28"/>
    <col min="8178" max="8178" width="2.81640625" style="28" bestFit="1" customWidth="1"/>
    <col min="8179" max="8179" width="6.81640625" style="28" bestFit="1" customWidth="1"/>
    <col min="8180" max="8180" width="4.36328125" style="28" bestFit="1" customWidth="1"/>
    <col min="8181" max="8181" width="5.6328125" style="28" bestFit="1" customWidth="1"/>
    <col min="8182" max="8182" width="4" style="28" bestFit="1" customWidth="1"/>
    <col min="8183" max="8183" width="5.6328125" style="28" bestFit="1" customWidth="1"/>
    <col min="8184" max="8184" width="9.26953125" style="28" bestFit="1" customWidth="1"/>
    <col min="8185" max="8185" width="1.81640625" style="28" bestFit="1" customWidth="1"/>
    <col min="8186" max="8186" width="6.81640625" style="28" bestFit="1" customWidth="1"/>
    <col min="8187" max="8187" width="10.81640625" style="28" bestFit="1" customWidth="1"/>
    <col min="8188" max="8188" width="8.7265625" style="28" bestFit="1" customWidth="1"/>
    <col min="8189" max="8189" width="9.6328125" style="28" bestFit="1" customWidth="1"/>
    <col min="8190" max="8190" width="12" style="28" bestFit="1" customWidth="1"/>
    <col min="8191" max="8202" width="8.7265625" style="28" bestFit="1" customWidth="1"/>
    <col min="8203" max="8203" width="9.6328125" style="28" bestFit="1" customWidth="1"/>
    <col min="8204" max="8204" width="12" style="28" bestFit="1" customWidth="1"/>
    <col min="8205" max="8205" width="11.81640625" style="28" bestFit="1" customWidth="1"/>
    <col min="8206" max="8206" width="13.7265625" style="28" bestFit="1" customWidth="1"/>
    <col min="8207" max="8207" width="14.08984375" style="28" bestFit="1" customWidth="1"/>
    <col min="8208" max="8208" width="9.08984375" style="28"/>
    <col min="8209" max="8209" width="25.26953125" style="28" bestFit="1" customWidth="1"/>
    <col min="8210" max="8210" width="4.7265625" style="28" bestFit="1" customWidth="1"/>
    <col min="8211" max="8211" width="1.36328125" style="28" bestFit="1" customWidth="1"/>
    <col min="8212" max="8212" width="4.26953125" style="28" bestFit="1" customWidth="1"/>
    <col min="8213" max="8213" width="1.36328125" style="28" bestFit="1" customWidth="1"/>
    <col min="8214" max="8214" width="5.6328125" style="28" bestFit="1" customWidth="1"/>
    <col min="8215" max="8215" width="1.36328125" style="28" bestFit="1" customWidth="1"/>
    <col min="8216" max="8216" width="6.81640625" style="28" bestFit="1" customWidth="1"/>
    <col min="8217" max="8217" width="13.08984375" style="28" bestFit="1" customWidth="1"/>
    <col min="8218" max="8433" width="9.08984375" style="28"/>
    <col min="8434" max="8434" width="2.81640625" style="28" bestFit="1" customWidth="1"/>
    <col min="8435" max="8435" width="6.81640625" style="28" bestFit="1" customWidth="1"/>
    <col min="8436" max="8436" width="4.36328125" style="28" bestFit="1" customWidth="1"/>
    <col min="8437" max="8437" width="5.6328125" style="28" bestFit="1" customWidth="1"/>
    <col min="8438" max="8438" width="4" style="28" bestFit="1" customWidth="1"/>
    <col min="8439" max="8439" width="5.6328125" style="28" bestFit="1" customWidth="1"/>
    <col min="8440" max="8440" width="9.26953125" style="28" bestFit="1" customWidth="1"/>
    <col min="8441" max="8441" width="1.81640625" style="28" bestFit="1" customWidth="1"/>
    <col min="8442" max="8442" width="6.81640625" style="28" bestFit="1" customWidth="1"/>
    <col min="8443" max="8443" width="10.81640625" style="28" bestFit="1" customWidth="1"/>
    <col min="8444" max="8444" width="8.7265625" style="28" bestFit="1" customWidth="1"/>
    <col min="8445" max="8445" width="9.6328125" style="28" bestFit="1" customWidth="1"/>
    <col min="8446" max="8446" width="12" style="28" bestFit="1" customWidth="1"/>
    <col min="8447" max="8458" width="8.7265625" style="28" bestFit="1" customWidth="1"/>
    <col min="8459" max="8459" width="9.6328125" style="28" bestFit="1" customWidth="1"/>
    <col min="8460" max="8460" width="12" style="28" bestFit="1" customWidth="1"/>
    <col min="8461" max="8461" width="11.81640625" style="28" bestFit="1" customWidth="1"/>
    <col min="8462" max="8462" width="13.7265625" style="28" bestFit="1" customWidth="1"/>
    <col min="8463" max="8463" width="14.08984375" style="28" bestFit="1" customWidth="1"/>
    <col min="8464" max="8464" width="9.08984375" style="28"/>
    <col min="8465" max="8465" width="25.26953125" style="28" bestFit="1" customWidth="1"/>
    <col min="8466" max="8466" width="4.7265625" style="28" bestFit="1" customWidth="1"/>
    <col min="8467" max="8467" width="1.36328125" style="28" bestFit="1" customWidth="1"/>
    <col min="8468" max="8468" width="4.26953125" style="28" bestFit="1" customWidth="1"/>
    <col min="8469" max="8469" width="1.36328125" style="28" bestFit="1" customWidth="1"/>
    <col min="8470" max="8470" width="5.6328125" style="28" bestFit="1" customWidth="1"/>
    <col min="8471" max="8471" width="1.36328125" style="28" bestFit="1" customWidth="1"/>
    <col min="8472" max="8472" width="6.81640625" style="28" bestFit="1" customWidth="1"/>
    <col min="8473" max="8473" width="13.08984375" style="28" bestFit="1" customWidth="1"/>
    <col min="8474" max="8689" width="9.08984375" style="28"/>
    <col min="8690" max="8690" width="2.81640625" style="28" bestFit="1" customWidth="1"/>
    <col min="8691" max="8691" width="6.81640625" style="28" bestFit="1" customWidth="1"/>
    <col min="8692" max="8692" width="4.36328125" style="28" bestFit="1" customWidth="1"/>
    <col min="8693" max="8693" width="5.6328125" style="28" bestFit="1" customWidth="1"/>
    <col min="8694" max="8694" width="4" style="28" bestFit="1" customWidth="1"/>
    <col min="8695" max="8695" width="5.6328125" style="28" bestFit="1" customWidth="1"/>
    <col min="8696" max="8696" width="9.26953125" style="28" bestFit="1" customWidth="1"/>
    <col min="8697" max="8697" width="1.81640625" style="28" bestFit="1" customWidth="1"/>
    <col min="8698" max="8698" width="6.81640625" style="28" bestFit="1" customWidth="1"/>
    <col min="8699" max="8699" width="10.81640625" style="28" bestFit="1" customWidth="1"/>
    <col min="8700" max="8700" width="8.7265625" style="28" bestFit="1" customWidth="1"/>
    <col min="8701" max="8701" width="9.6328125" style="28" bestFit="1" customWidth="1"/>
    <col min="8702" max="8702" width="12" style="28" bestFit="1" customWidth="1"/>
    <col min="8703" max="8714" width="8.7265625" style="28" bestFit="1" customWidth="1"/>
    <col min="8715" max="8715" width="9.6328125" style="28" bestFit="1" customWidth="1"/>
    <col min="8716" max="8716" width="12" style="28" bestFit="1" customWidth="1"/>
    <col min="8717" max="8717" width="11.81640625" style="28" bestFit="1" customWidth="1"/>
    <col min="8718" max="8718" width="13.7265625" style="28" bestFit="1" customWidth="1"/>
    <col min="8719" max="8719" width="14.08984375" style="28" bestFit="1" customWidth="1"/>
    <col min="8720" max="8720" width="9.08984375" style="28"/>
    <col min="8721" max="8721" width="25.26953125" style="28" bestFit="1" customWidth="1"/>
    <col min="8722" max="8722" width="4.7265625" style="28" bestFit="1" customWidth="1"/>
    <col min="8723" max="8723" width="1.36328125" style="28" bestFit="1" customWidth="1"/>
    <col min="8724" max="8724" width="4.26953125" style="28" bestFit="1" customWidth="1"/>
    <col min="8725" max="8725" width="1.36328125" style="28" bestFit="1" customWidth="1"/>
    <col min="8726" max="8726" width="5.6328125" style="28" bestFit="1" customWidth="1"/>
    <col min="8727" max="8727" width="1.36328125" style="28" bestFit="1" customWidth="1"/>
    <col min="8728" max="8728" width="6.81640625" style="28" bestFit="1" customWidth="1"/>
    <col min="8729" max="8729" width="13.08984375" style="28" bestFit="1" customWidth="1"/>
    <col min="8730" max="8945" width="9.08984375" style="28"/>
    <col min="8946" max="8946" width="2.81640625" style="28" bestFit="1" customWidth="1"/>
    <col min="8947" max="8947" width="6.81640625" style="28" bestFit="1" customWidth="1"/>
    <col min="8948" max="8948" width="4.36328125" style="28" bestFit="1" customWidth="1"/>
    <col min="8949" max="8949" width="5.6328125" style="28" bestFit="1" customWidth="1"/>
    <col min="8950" max="8950" width="4" style="28" bestFit="1" customWidth="1"/>
    <col min="8951" max="8951" width="5.6328125" style="28" bestFit="1" customWidth="1"/>
    <col min="8952" max="8952" width="9.26953125" style="28" bestFit="1" customWidth="1"/>
    <col min="8953" max="8953" width="1.81640625" style="28" bestFit="1" customWidth="1"/>
    <col min="8954" max="8954" width="6.81640625" style="28" bestFit="1" customWidth="1"/>
    <col min="8955" max="8955" width="10.81640625" style="28" bestFit="1" customWidth="1"/>
    <col min="8956" max="8956" width="8.7265625" style="28" bestFit="1" customWidth="1"/>
    <col min="8957" max="8957" width="9.6328125" style="28" bestFit="1" customWidth="1"/>
    <col min="8958" max="8958" width="12" style="28" bestFit="1" customWidth="1"/>
    <col min="8959" max="8970" width="8.7265625" style="28" bestFit="1" customWidth="1"/>
    <col min="8971" max="8971" width="9.6328125" style="28" bestFit="1" customWidth="1"/>
    <col min="8972" max="8972" width="12" style="28" bestFit="1" customWidth="1"/>
    <col min="8973" max="8973" width="11.81640625" style="28" bestFit="1" customWidth="1"/>
    <col min="8974" max="8974" width="13.7265625" style="28" bestFit="1" customWidth="1"/>
    <col min="8975" max="8975" width="14.08984375" style="28" bestFit="1" customWidth="1"/>
    <col min="8976" max="8976" width="9.08984375" style="28"/>
    <col min="8977" max="8977" width="25.26953125" style="28" bestFit="1" customWidth="1"/>
    <col min="8978" max="8978" width="4.7265625" style="28" bestFit="1" customWidth="1"/>
    <col min="8979" max="8979" width="1.36328125" style="28" bestFit="1" customWidth="1"/>
    <col min="8980" max="8980" width="4.26953125" style="28" bestFit="1" customWidth="1"/>
    <col min="8981" max="8981" width="1.36328125" style="28" bestFit="1" customWidth="1"/>
    <col min="8982" max="8982" width="5.6328125" style="28" bestFit="1" customWidth="1"/>
    <col min="8983" max="8983" width="1.36328125" style="28" bestFit="1" customWidth="1"/>
    <col min="8984" max="8984" width="6.81640625" style="28" bestFit="1" customWidth="1"/>
    <col min="8985" max="8985" width="13.08984375" style="28" bestFit="1" customWidth="1"/>
    <col min="8986" max="9201" width="9.08984375" style="28"/>
    <col min="9202" max="9202" width="2.81640625" style="28" bestFit="1" customWidth="1"/>
    <col min="9203" max="9203" width="6.81640625" style="28" bestFit="1" customWidth="1"/>
    <col min="9204" max="9204" width="4.36328125" style="28" bestFit="1" customWidth="1"/>
    <col min="9205" max="9205" width="5.6328125" style="28" bestFit="1" customWidth="1"/>
    <col min="9206" max="9206" width="4" style="28" bestFit="1" customWidth="1"/>
    <col min="9207" max="9207" width="5.6328125" style="28" bestFit="1" customWidth="1"/>
    <col min="9208" max="9208" width="9.26953125" style="28" bestFit="1" customWidth="1"/>
    <col min="9209" max="9209" width="1.81640625" style="28" bestFit="1" customWidth="1"/>
    <col min="9210" max="9210" width="6.81640625" style="28" bestFit="1" customWidth="1"/>
    <col min="9211" max="9211" width="10.81640625" style="28" bestFit="1" customWidth="1"/>
    <col min="9212" max="9212" width="8.7265625" style="28" bestFit="1" customWidth="1"/>
    <col min="9213" max="9213" width="9.6328125" style="28" bestFit="1" customWidth="1"/>
    <col min="9214" max="9214" width="12" style="28" bestFit="1" customWidth="1"/>
    <col min="9215" max="9226" width="8.7265625" style="28" bestFit="1" customWidth="1"/>
    <col min="9227" max="9227" width="9.6328125" style="28" bestFit="1" customWidth="1"/>
    <col min="9228" max="9228" width="12" style="28" bestFit="1" customWidth="1"/>
    <col min="9229" max="9229" width="11.81640625" style="28" bestFit="1" customWidth="1"/>
    <col min="9230" max="9230" width="13.7265625" style="28" bestFit="1" customWidth="1"/>
    <col min="9231" max="9231" width="14.08984375" style="28" bestFit="1" customWidth="1"/>
    <col min="9232" max="9232" width="9.08984375" style="28"/>
    <col min="9233" max="9233" width="25.26953125" style="28" bestFit="1" customWidth="1"/>
    <col min="9234" max="9234" width="4.7265625" style="28" bestFit="1" customWidth="1"/>
    <col min="9235" max="9235" width="1.36328125" style="28" bestFit="1" customWidth="1"/>
    <col min="9236" max="9236" width="4.26953125" style="28" bestFit="1" customWidth="1"/>
    <col min="9237" max="9237" width="1.36328125" style="28" bestFit="1" customWidth="1"/>
    <col min="9238" max="9238" width="5.6328125" style="28" bestFit="1" customWidth="1"/>
    <col min="9239" max="9239" width="1.36328125" style="28" bestFit="1" customWidth="1"/>
    <col min="9240" max="9240" width="6.81640625" style="28" bestFit="1" customWidth="1"/>
    <col min="9241" max="9241" width="13.08984375" style="28" bestFit="1" customWidth="1"/>
    <col min="9242" max="9457" width="9.08984375" style="28"/>
    <col min="9458" max="9458" width="2.81640625" style="28" bestFit="1" customWidth="1"/>
    <col min="9459" max="9459" width="6.81640625" style="28" bestFit="1" customWidth="1"/>
    <col min="9460" max="9460" width="4.36328125" style="28" bestFit="1" customWidth="1"/>
    <col min="9461" max="9461" width="5.6328125" style="28" bestFit="1" customWidth="1"/>
    <col min="9462" max="9462" width="4" style="28" bestFit="1" customWidth="1"/>
    <col min="9463" max="9463" width="5.6328125" style="28" bestFit="1" customWidth="1"/>
    <col min="9464" max="9464" width="9.26953125" style="28" bestFit="1" customWidth="1"/>
    <col min="9465" max="9465" width="1.81640625" style="28" bestFit="1" customWidth="1"/>
    <col min="9466" max="9466" width="6.81640625" style="28" bestFit="1" customWidth="1"/>
    <col min="9467" max="9467" width="10.81640625" style="28" bestFit="1" customWidth="1"/>
    <col min="9468" max="9468" width="8.7265625" style="28" bestFit="1" customWidth="1"/>
    <col min="9469" max="9469" width="9.6328125" style="28" bestFit="1" customWidth="1"/>
    <col min="9470" max="9470" width="12" style="28" bestFit="1" customWidth="1"/>
    <col min="9471" max="9482" width="8.7265625" style="28" bestFit="1" customWidth="1"/>
    <col min="9483" max="9483" width="9.6328125" style="28" bestFit="1" customWidth="1"/>
    <col min="9484" max="9484" width="12" style="28" bestFit="1" customWidth="1"/>
    <col min="9485" max="9485" width="11.81640625" style="28" bestFit="1" customWidth="1"/>
    <col min="9486" max="9486" width="13.7265625" style="28" bestFit="1" customWidth="1"/>
    <col min="9487" max="9487" width="14.08984375" style="28" bestFit="1" customWidth="1"/>
    <col min="9488" max="9488" width="9.08984375" style="28"/>
    <col min="9489" max="9489" width="25.26953125" style="28" bestFit="1" customWidth="1"/>
    <col min="9490" max="9490" width="4.7265625" style="28" bestFit="1" customWidth="1"/>
    <col min="9491" max="9491" width="1.36328125" style="28" bestFit="1" customWidth="1"/>
    <col min="9492" max="9492" width="4.26953125" style="28" bestFit="1" customWidth="1"/>
    <col min="9493" max="9493" width="1.36328125" style="28" bestFit="1" customWidth="1"/>
    <col min="9494" max="9494" width="5.6328125" style="28" bestFit="1" customWidth="1"/>
    <col min="9495" max="9495" width="1.36328125" style="28" bestFit="1" customWidth="1"/>
    <col min="9496" max="9496" width="6.81640625" style="28" bestFit="1" customWidth="1"/>
    <col min="9497" max="9497" width="13.08984375" style="28" bestFit="1" customWidth="1"/>
    <col min="9498" max="9713" width="9.08984375" style="28"/>
    <col min="9714" max="9714" width="2.81640625" style="28" bestFit="1" customWidth="1"/>
    <col min="9715" max="9715" width="6.81640625" style="28" bestFit="1" customWidth="1"/>
    <col min="9716" max="9716" width="4.36328125" style="28" bestFit="1" customWidth="1"/>
    <col min="9717" max="9717" width="5.6328125" style="28" bestFit="1" customWidth="1"/>
    <col min="9718" max="9718" width="4" style="28" bestFit="1" customWidth="1"/>
    <col min="9719" max="9719" width="5.6328125" style="28" bestFit="1" customWidth="1"/>
    <col min="9720" max="9720" width="9.26953125" style="28" bestFit="1" customWidth="1"/>
    <col min="9721" max="9721" width="1.81640625" style="28" bestFit="1" customWidth="1"/>
    <col min="9722" max="9722" width="6.81640625" style="28" bestFit="1" customWidth="1"/>
    <col min="9723" max="9723" width="10.81640625" style="28" bestFit="1" customWidth="1"/>
    <col min="9724" max="9724" width="8.7265625" style="28" bestFit="1" customWidth="1"/>
    <col min="9725" max="9725" width="9.6328125" style="28" bestFit="1" customWidth="1"/>
    <col min="9726" max="9726" width="12" style="28" bestFit="1" customWidth="1"/>
    <col min="9727" max="9738" width="8.7265625" style="28" bestFit="1" customWidth="1"/>
    <col min="9739" max="9739" width="9.6328125" style="28" bestFit="1" customWidth="1"/>
    <col min="9740" max="9740" width="12" style="28" bestFit="1" customWidth="1"/>
    <col min="9741" max="9741" width="11.81640625" style="28" bestFit="1" customWidth="1"/>
    <col min="9742" max="9742" width="13.7265625" style="28" bestFit="1" customWidth="1"/>
    <col min="9743" max="9743" width="14.08984375" style="28" bestFit="1" customWidth="1"/>
    <col min="9744" max="9744" width="9.08984375" style="28"/>
    <col min="9745" max="9745" width="25.26953125" style="28" bestFit="1" customWidth="1"/>
    <col min="9746" max="9746" width="4.7265625" style="28" bestFit="1" customWidth="1"/>
    <col min="9747" max="9747" width="1.36328125" style="28" bestFit="1" customWidth="1"/>
    <col min="9748" max="9748" width="4.26953125" style="28" bestFit="1" customWidth="1"/>
    <col min="9749" max="9749" width="1.36328125" style="28" bestFit="1" customWidth="1"/>
    <col min="9750" max="9750" width="5.6328125" style="28" bestFit="1" customWidth="1"/>
    <col min="9751" max="9751" width="1.36328125" style="28" bestFit="1" customWidth="1"/>
    <col min="9752" max="9752" width="6.81640625" style="28" bestFit="1" customWidth="1"/>
    <col min="9753" max="9753" width="13.08984375" style="28" bestFit="1" customWidth="1"/>
    <col min="9754" max="9969" width="9.08984375" style="28"/>
    <col min="9970" max="9970" width="2.81640625" style="28" bestFit="1" customWidth="1"/>
    <col min="9971" max="9971" width="6.81640625" style="28" bestFit="1" customWidth="1"/>
    <col min="9972" max="9972" width="4.36328125" style="28" bestFit="1" customWidth="1"/>
    <col min="9973" max="9973" width="5.6328125" style="28" bestFit="1" customWidth="1"/>
    <col min="9974" max="9974" width="4" style="28" bestFit="1" customWidth="1"/>
    <col min="9975" max="9975" width="5.6328125" style="28" bestFit="1" customWidth="1"/>
    <col min="9976" max="9976" width="9.26953125" style="28" bestFit="1" customWidth="1"/>
    <col min="9977" max="9977" width="1.81640625" style="28" bestFit="1" customWidth="1"/>
    <col min="9978" max="9978" width="6.81640625" style="28" bestFit="1" customWidth="1"/>
    <col min="9979" max="9979" width="10.81640625" style="28" bestFit="1" customWidth="1"/>
    <col min="9980" max="9980" width="8.7265625" style="28" bestFit="1" customWidth="1"/>
    <col min="9981" max="9981" width="9.6328125" style="28" bestFit="1" customWidth="1"/>
    <col min="9982" max="9982" width="12" style="28" bestFit="1" customWidth="1"/>
    <col min="9983" max="9994" width="8.7265625" style="28" bestFit="1" customWidth="1"/>
    <col min="9995" max="9995" width="9.6328125" style="28" bestFit="1" customWidth="1"/>
    <col min="9996" max="9996" width="12" style="28" bestFit="1" customWidth="1"/>
    <col min="9997" max="9997" width="11.81640625" style="28" bestFit="1" customWidth="1"/>
    <col min="9998" max="9998" width="13.7265625" style="28" bestFit="1" customWidth="1"/>
    <col min="9999" max="9999" width="14.08984375" style="28" bestFit="1" customWidth="1"/>
    <col min="10000" max="10000" width="9.08984375" style="28"/>
    <col min="10001" max="10001" width="25.26953125" style="28" bestFit="1" customWidth="1"/>
    <col min="10002" max="10002" width="4.7265625" style="28" bestFit="1" customWidth="1"/>
    <col min="10003" max="10003" width="1.36328125" style="28" bestFit="1" customWidth="1"/>
    <col min="10004" max="10004" width="4.26953125" style="28" bestFit="1" customWidth="1"/>
    <col min="10005" max="10005" width="1.36328125" style="28" bestFit="1" customWidth="1"/>
    <col min="10006" max="10006" width="5.6328125" style="28" bestFit="1" customWidth="1"/>
    <col min="10007" max="10007" width="1.36328125" style="28" bestFit="1" customWidth="1"/>
    <col min="10008" max="10008" width="6.81640625" style="28" bestFit="1" customWidth="1"/>
    <col min="10009" max="10009" width="13.08984375" style="28" bestFit="1" customWidth="1"/>
    <col min="10010" max="10225" width="9.08984375" style="28"/>
    <col min="10226" max="10226" width="2.81640625" style="28" bestFit="1" customWidth="1"/>
    <col min="10227" max="10227" width="6.81640625" style="28" bestFit="1" customWidth="1"/>
    <col min="10228" max="10228" width="4.36328125" style="28" bestFit="1" customWidth="1"/>
    <col min="10229" max="10229" width="5.6328125" style="28" bestFit="1" customWidth="1"/>
    <col min="10230" max="10230" width="4" style="28" bestFit="1" customWidth="1"/>
    <col min="10231" max="10231" width="5.6328125" style="28" bestFit="1" customWidth="1"/>
    <col min="10232" max="10232" width="9.26953125" style="28" bestFit="1" customWidth="1"/>
    <col min="10233" max="10233" width="1.81640625" style="28" bestFit="1" customWidth="1"/>
    <col min="10234" max="10234" width="6.81640625" style="28" bestFit="1" customWidth="1"/>
    <col min="10235" max="10235" width="10.81640625" style="28" bestFit="1" customWidth="1"/>
    <col min="10236" max="10236" width="8.7265625" style="28" bestFit="1" customWidth="1"/>
    <col min="10237" max="10237" width="9.6328125" style="28" bestFit="1" customWidth="1"/>
    <col min="10238" max="10238" width="12" style="28" bestFit="1" customWidth="1"/>
    <col min="10239" max="10250" width="8.7265625" style="28" bestFit="1" customWidth="1"/>
    <col min="10251" max="10251" width="9.6328125" style="28" bestFit="1" customWidth="1"/>
    <col min="10252" max="10252" width="12" style="28" bestFit="1" customWidth="1"/>
    <col min="10253" max="10253" width="11.81640625" style="28" bestFit="1" customWidth="1"/>
    <col min="10254" max="10254" width="13.7265625" style="28" bestFit="1" customWidth="1"/>
    <col min="10255" max="10255" width="14.08984375" style="28" bestFit="1" customWidth="1"/>
    <col min="10256" max="10256" width="9.08984375" style="28"/>
    <col min="10257" max="10257" width="25.26953125" style="28" bestFit="1" customWidth="1"/>
    <col min="10258" max="10258" width="4.7265625" style="28" bestFit="1" customWidth="1"/>
    <col min="10259" max="10259" width="1.36328125" style="28" bestFit="1" customWidth="1"/>
    <col min="10260" max="10260" width="4.26953125" style="28" bestFit="1" customWidth="1"/>
    <col min="10261" max="10261" width="1.36328125" style="28" bestFit="1" customWidth="1"/>
    <col min="10262" max="10262" width="5.6328125" style="28" bestFit="1" customWidth="1"/>
    <col min="10263" max="10263" width="1.36328125" style="28" bestFit="1" customWidth="1"/>
    <col min="10264" max="10264" width="6.81640625" style="28" bestFit="1" customWidth="1"/>
    <col min="10265" max="10265" width="13.08984375" style="28" bestFit="1" customWidth="1"/>
    <col min="10266" max="10481" width="9.08984375" style="28"/>
    <col min="10482" max="10482" width="2.81640625" style="28" bestFit="1" customWidth="1"/>
    <col min="10483" max="10483" width="6.81640625" style="28" bestFit="1" customWidth="1"/>
    <col min="10484" max="10484" width="4.36328125" style="28" bestFit="1" customWidth="1"/>
    <col min="10485" max="10485" width="5.6328125" style="28" bestFit="1" customWidth="1"/>
    <col min="10486" max="10486" width="4" style="28" bestFit="1" customWidth="1"/>
    <col min="10487" max="10487" width="5.6328125" style="28" bestFit="1" customWidth="1"/>
    <col min="10488" max="10488" width="9.26953125" style="28" bestFit="1" customWidth="1"/>
    <col min="10489" max="10489" width="1.81640625" style="28" bestFit="1" customWidth="1"/>
    <col min="10490" max="10490" width="6.81640625" style="28" bestFit="1" customWidth="1"/>
    <col min="10491" max="10491" width="10.81640625" style="28" bestFit="1" customWidth="1"/>
    <col min="10492" max="10492" width="8.7265625" style="28" bestFit="1" customWidth="1"/>
    <col min="10493" max="10493" width="9.6328125" style="28" bestFit="1" customWidth="1"/>
    <col min="10494" max="10494" width="12" style="28" bestFit="1" customWidth="1"/>
    <col min="10495" max="10506" width="8.7265625" style="28" bestFit="1" customWidth="1"/>
    <col min="10507" max="10507" width="9.6328125" style="28" bestFit="1" customWidth="1"/>
    <col min="10508" max="10508" width="12" style="28" bestFit="1" customWidth="1"/>
    <col min="10509" max="10509" width="11.81640625" style="28" bestFit="1" customWidth="1"/>
    <col min="10510" max="10510" width="13.7265625" style="28" bestFit="1" customWidth="1"/>
    <col min="10511" max="10511" width="14.08984375" style="28" bestFit="1" customWidth="1"/>
    <col min="10512" max="10512" width="9.08984375" style="28"/>
    <col min="10513" max="10513" width="25.26953125" style="28" bestFit="1" customWidth="1"/>
    <col min="10514" max="10514" width="4.7265625" style="28" bestFit="1" customWidth="1"/>
    <col min="10515" max="10515" width="1.36328125" style="28" bestFit="1" customWidth="1"/>
    <col min="10516" max="10516" width="4.26953125" style="28" bestFit="1" customWidth="1"/>
    <col min="10517" max="10517" width="1.36328125" style="28" bestFit="1" customWidth="1"/>
    <col min="10518" max="10518" width="5.6328125" style="28" bestFit="1" customWidth="1"/>
    <col min="10519" max="10519" width="1.36328125" style="28" bestFit="1" customWidth="1"/>
    <col min="10520" max="10520" width="6.81640625" style="28" bestFit="1" customWidth="1"/>
    <col min="10521" max="10521" width="13.08984375" style="28" bestFit="1" customWidth="1"/>
    <col min="10522" max="10737" width="9.08984375" style="28"/>
    <col min="10738" max="10738" width="2.81640625" style="28" bestFit="1" customWidth="1"/>
    <col min="10739" max="10739" width="6.81640625" style="28" bestFit="1" customWidth="1"/>
    <col min="10740" max="10740" width="4.36328125" style="28" bestFit="1" customWidth="1"/>
    <col min="10741" max="10741" width="5.6328125" style="28" bestFit="1" customWidth="1"/>
    <col min="10742" max="10742" width="4" style="28" bestFit="1" customWidth="1"/>
    <col min="10743" max="10743" width="5.6328125" style="28" bestFit="1" customWidth="1"/>
    <col min="10744" max="10744" width="9.26953125" style="28" bestFit="1" customWidth="1"/>
    <col min="10745" max="10745" width="1.81640625" style="28" bestFit="1" customWidth="1"/>
    <col min="10746" max="10746" width="6.81640625" style="28" bestFit="1" customWidth="1"/>
    <col min="10747" max="10747" width="10.81640625" style="28" bestFit="1" customWidth="1"/>
    <col min="10748" max="10748" width="8.7265625" style="28" bestFit="1" customWidth="1"/>
    <col min="10749" max="10749" width="9.6328125" style="28" bestFit="1" customWidth="1"/>
    <col min="10750" max="10750" width="12" style="28" bestFit="1" customWidth="1"/>
    <col min="10751" max="10762" width="8.7265625" style="28" bestFit="1" customWidth="1"/>
    <col min="10763" max="10763" width="9.6328125" style="28" bestFit="1" customWidth="1"/>
    <col min="10764" max="10764" width="12" style="28" bestFit="1" customWidth="1"/>
    <col min="10765" max="10765" width="11.81640625" style="28" bestFit="1" customWidth="1"/>
    <col min="10766" max="10766" width="13.7265625" style="28" bestFit="1" customWidth="1"/>
    <col min="10767" max="10767" width="14.08984375" style="28" bestFit="1" customWidth="1"/>
    <col min="10768" max="10768" width="9.08984375" style="28"/>
    <col min="10769" max="10769" width="25.26953125" style="28" bestFit="1" customWidth="1"/>
    <col min="10770" max="10770" width="4.7265625" style="28" bestFit="1" customWidth="1"/>
    <col min="10771" max="10771" width="1.36328125" style="28" bestFit="1" customWidth="1"/>
    <col min="10772" max="10772" width="4.26953125" style="28" bestFit="1" customWidth="1"/>
    <col min="10773" max="10773" width="1.36328125" style="28" bestFit="1" customWidth="1"/>
    <col min="10774" max="10774" width="5.6328125" style="28" bestFit="1" customWidth="1"/>
    <col min="10775" max="10775" width="1.36328125" style="28" bestFit="1" customWidth="1"/>
    <col min="10776" max="10776" width="6.81640625" style="28" bestFit="1" customWidth="1"/>
    <col min="10777" max="10777" width="13.08984375" style="28" bestFit="1" customWidth="1"/>
    <col min="10778" max="10993" width="9.08984375" style="28"/>
    <col min="10994" max="10994" width="2.81640625" style="28" bestFit="1" customWidth="1"/>
    <col min="10995" max="10995" width="6.81640625" style="28" bestFit="1" customWidth="1"/>
    <col min="10996" max="10996" width="4.36328125" style="28" bestFit="1" customWidth="1"/>
    <col min="10997" max="10997" width="5.6328125" style="28" bestFit="1" customWidth="1"/>
    <col min="10998" max="10998" width="4" style="28" bestFit="1" customWidth="1"/>
    <col min="10999" max="10999" width="5.6328125" style="28" bestFit="1" customWidth="1"/>
    <col min="11000" max="11000" width="9.26953125" style="28" bestFit="1" customWidth="1"/>
    <col min="11001" max="11001" width="1.81640625" style="28" bestFit="1" customWidth="1"/>
    <col min="11002" max="11002" width="6.81640625" style="28" bestFit="1" customWidth="1"/>
    <col min="11003" max="11003" width="10.81640625" style="28" bestFit="1" customWidth="1"/>
    <col min="11004" max="11004" width="8.7265625" style="28" bestFit="1" customWidth="1"/>
    <col min="11005" max="11005" width="9.6328125" style="28" bestFit="1" customWidth="1"/>
    <col min="11006" max="11006" width="12" style="28" bestFit="1" customWidth="1"/>
    <col min="11007" max="11018" width="8.7265625" style="28" bestFit="1" customWidth="1"/>
    <col min="11019" max="11019" width="9.6328125" style="28" bestFit="1" customWidth="1"/>
    <col min="11020" max="11020" width="12" style="28" bestFit="1" customWidth="1"/>
    <col min="11021" max="11021" width="11.81640625" style="28" bestFit="1" customWidth="1"/>
    <col min="11022" max="11022" width="13.7265625" style="28" bestFit="1" customWidth="1"/>
    <col min="11023" max="11023" width="14.08984375" style="28" bestFit="1" customWidth="1"/>
    <col min="11024" max="11024" width="9.08984375" style="28"/>
    <col min="11025" max="11025" width="25.26953125" style="28" bestFit="1" customWidth="1"/>
    <col min="11026" max="11026" width="4.7265625" style="28" bestFit="1" customWidth="1"/>
    <col min="11027" max="11027" width="1.36328125" style="28" bestFit="1" customWidth="1"/>
    <col min="11028" max="11028" width="4.26953125" style="28" bestFit="1" customWidth="1"/>
    <col min="11029" max="11029" width="1.36328125" style="28" bestFit="1" customWidth="1"/>
    <col min="11030" max="11030" width="5.6328125" style="28" bestFit="1" customWidth="1"/>
    <col min="11031" max="11031" width="1.36328125" style="28" bestFit="1" customWidth="1"/>
    <col min="11032" max="11032" width="6.81640625" style="28" bestFit="1" customWidth="1"/>
    <col min="11033" max="11033" width="13.08984375" style="28" bestFit="1" customWidth="1"/>
    <col min="11034" max="11249" width="9.08984375" style="28"/>
    <col min="11250" max="11250" width="2.81640625" style="28" bestFit="1" customWidth="1"/>
    <col min="11251" max="11251" width="6.81640625" style="28" bestFit="1" customWidth="1"/>
    <col min="11252" max="11252" width="4.36328125" style="28" bestFit="1" customWidth="1"/>
    <col min="11253" max="11253" width="5.6328125" style="28" bestFit="1" customWidth="1"/>
    <col min="11254" max="11254" width="4" style="28" bestFit="1" customWidth="1"/>
    <col min="11255" max="11255" width="5.6328125" style="28" bestFit="1" customWidth="1"/>
    <col min="11256" max="11256" width="9.26953125" style="28" bestFit="1" customWidth="1"/>
    <col min="11257" max="11257" width="1.81640625" style="28" bestFit="1" customWidth="1"/>
    <col min="11258" max="11258" width="6.81640625" style="28" bestFit="1" customWidth="1"/>
    <col min="11259" max="11259" width="10.81640625" style="28" bestFit="1" customWidth="1"/>
    <col min="11260" max="11260" width="8.7265625" style="28" bestFit="1" customWidth="1"/>
    <col min="11261" max="11261" width="9.6328125" style="28" bestFit="1" customWidth="1"/>
    <col min="11262" max="11262" width="12" style="28" bestFit="1" customWidth="1"/>
    <col min="11263" max="11274" width="8.7265625" style="28" bestFit="1" customWidth="1"/>
    <col min="11275" max="11275" width="9.6328125" style="28" bestFit="1" customWidth="1"/>
    <col min="11276" max="11276" width="12" style="28" bestFit="1" customWidth="1"/>
    <col min="11277" max="11277" width="11.81640625" style="28" bestFit="1" customWidth="1"/>
    <col min="11278" max="11278" width="13.7265625" style="28" bestFit="1" customWidth="1"/>
    <col min="11279" max="11279" width="14.08984375" style="28" bestFit="1" customWidth="1"/>
    <col min="11280" max="11280" width="9.08984375" style="28"/>
    <col min="11281" max="11281" width="25.26953125" style="28" bestFit="1" customWidth="1"/>
    <col min="11282" max="11282" width="4.7265625" style="28" bestFit="1" customWidth="1"/>
    <col min="11283" max="11283" width="1.36328125" style="28" bestFit="1" customWidth="1"/>
    <col min="11284" max="11284" width="4.26953125" style="28" bestFit="1" customWidth="1"/>
    <col min="11285" max="11285" width="1.36328125" style="28" bestFit="1" customWidth="1"/>
    <col min="11286" max="11286" width="5.6328125" style="28" bestFit="1" customWidth="1"/>
    <col min="11287" max="11287" width="1.36328125" style="28" bestFit="1" customWidth="1"/>
    <col min="11288" max="11288" width="6.81640625" style="28" bestFit="1" customWidth="1"/>
    <col min="11289" max="11289" width="13.08984375" style="28" bestFit="1" customWidth="1"/>
    <col min="11290" max="11505" width="9.08984375" style="28"/>
    <col min="11506" max="11506" width="2.81640625" style="28" bestFit="1" customWidth="1"/>
    <col min="11507" max="11507" width="6.81640625" style="28" bestFit="1" customWidth="1"/>
    <col min="11508" max="11508" width="4.36328125" style="28" bestFit="1" customWidth="1"/>
    <col min="11509" max="11509" width="5.6328125" style="28" bestFit="1" customWidth="1"/>
    <col min="11510" max="11510" width="4" style="28" bestFit="1" customWidth="1"/>
    <col min="11511" max="11511" width="5.6328125" style="28" bestFit="1" customWidth="1"/>
    <col min="11512" max="11512" width="9.26953125" style="28" bestFit="1" customWidth="1"/>
    <col min="11513" max="11513" width="1.81640625" style="28" bestFit="1" customWidth="1"/>
    <col min="11514" max="11514" width="6.81640625" style="28" bestFit="1" customWidth="1"/>
    <col min="11515" max="11515" width="10.81640625" style="28" bestFit="1" customWidth="1"/>
    <col min="11516" max="11516" width="8.7265625" style="28" bestFit="1" customWidth="1"/>
    <col min="11517" max="11517" width="9.6328125" style="28" bestFit="1" customWidth="1"/>
    <col min="11518" max="11518" width="12" style="28" bestFit="1" customWidth="1"/>
    <col min="11519" max="11530" width="8.7265625" style="28" bestFit="1" customWidth="1"/>
    <col min="11531" max="11531" width="9.6328125" style="28" bestFit="1" customWidth="1"/>
    <col min="11532" max="11532" width="12" style="28" bestFit="1" customWidth="1"/>
    <col min="11533" max="11533" width="11.81640625" style="28" bestFit="1" customWidth="1"/>
    <col min="11534" max="11534" width="13.7265625" style="28" bestFit="1" customWidth="1"/>
    <col min="11535" max="11535" width="14.08984375" style="28" bestFit="1" customWidth="1"/>
    <col min="11536" max="11536" width="9.08984375" style="28"/>
    <col min="11537" max="11537" width="25.26953125" style="28" bestFit="1" customWidth="1"/>
    <col min="11538" max="11538" width="4.7265625" style="28" bestFit="1" customWidth="1"/>
    <col min="11539" max="11539" width="1.36328125" style="28" bestFit="1" customWidth="1"/>
    <col min="11540" max="11540" width="4.26953125" style="28" bestFit="1" customWidth="1"/>
    <col min="11541" max="11541" width="1.36328125" style="28" bestFit="1" customWidth="1"/>
    <col min="11542" max="11542" width="5.6328125" style="28" bestFit="1" customWidth="1"/>
    <col min="11543" max="11543" width="1.36328125" style="28" bestFit="1" customWidth="1"/>
    <col min="11544" max="11544" width="6.81640625" style="28" bestFit="1" customWidth="1"/>
    <col min="11545" max="11545" width="13.08984375" style="28" bestFit="1" customWidth="1"/>
    <col min="11546" max="11761" width="9.08984375" style="28"/>
    <col min="11762" max="11762" width="2.81640625" style="28" bestFit="1" customWidth="1"/>
    <col min="11763" max="11763" width="6.81640625" style="28" bestFit="1" customWidth="1"/>
    <col min="11764" max="11764" width="4.36328125" style="28" bestFit="1" customWidth="1"/>
    <col min="11765" max="11765" width="5.6328125" style="28" bestFit="1" customWidth="1"/>
    <col min="11766" max="11766" width="4" style="28" bestFit="1" customWidth="1"/>
    <col min="11767" max="11767" width="5.6328125" style="28" bestFit="1" customWidth="1"/>
    <col min="11768" max="11768" width="9.26953125" style="28" bestFit="1" customWidth="1"/>
    <col min="11769" max="11769" width="1.81640625" style="28" bestFit="1" customWidth="1"/>
    <col min="11770" max="11770" width="6.81640625" style="28" bestFit="1" customWidth="1"/>
    <col min="11771" max="11771" width="10.81640625" style="28" bestFit="1" customWidth="1"/>
    <col min="11772" max="11772" width="8.7265625" style="28" bestFit="1" customWidth="1"/>
    <col min="11773" max="11773" width="9.6328125" style="28" bestFit="1" customWidth="1"/>
    <col min="11774" max="11774" width="12" style="28" bestFit="1" customWidth="1"/>
    <col min="11775" max="11786" width="8.7265625" style="28" bestFit="1" customWidth="1"/>
    <col min="11787" max="11787" width="9.6328125" style="28" bestFit="1" customWidth="1"/>
    <col min="11788" max="11788" width="12" style="28" bestFit="1" customWidth="1"/>
    <col min="11789" max="11789" width="11.81640625" style="28" bestFit="1" customWidth="1"/>
    <col min="11790" max="11790" width="13.7265625" style="28" bestFit="1" customWidth="1"/>
    <col min="11791" max="11791" width="14.08984375" style="28" bestFit="1" customWidth="1"/>
    <col min="11792" max="11792" width="9.08984375" style="28"/>
    <col min="11793" max="11793" width="25.26953125" style="28" bestFit="1" customWidth="1"/>
    <col min="11794" max="11794" width="4.7265625" style="28" bestFit="1" customWidth="1"/>
    <col min="11795" max="11795" width="1.36328125" style="28" bestFit="1" customWidth="1"/>
    <col min="11796" max="11796" width="4.26953125" style="28" bestFit="1" customWidth="1"/>
    <col min="11797" max="11797" width="1.36328125" style="28" bestFit="1" customWidth="1"/>
    <col min="11798" max="11798" width="5.6328125" style="28" bestFit="1" customWidth="1"/>
    <col min="11799" max="11799" width="1.36328125" style="28" bestFit="1" customWidth="1"/>
    <col min="11800" max="11800" width="6.81640625" style="28" bestFit="1" customWidth="1"/>
    <col min="11801" max="11801" width="13.08984375" style="28" bestFit="1" customWidth="1"/>
    <col min="11802" max="12017" width="9.08984375" style="28"/>
    <col min="12018" max="12018" width="2.81640625" style="28" bestFit="1" customWidth="1"/>
    <col min="12019" max="12019" width="6.81640625" style="28" bestFit="1" customWidth="1"/>
    <col min="12020" max="12020" width="4.36328125" style="28" bestFit="1" customWidth="1"/>
    <col min="12021" max="12021" width="5.6328125" style="28" bestFit="1" customWidth="1"/>
    <col min="12022" max="12022" width="4" style="28" bestFit="1" customWidth="1"/>
    <col min="12023" max="12023" width="5.6328125" style="28" bestFit="1" customWidth="1"/>
    <col min="12024" max="12024" width="9.26953125" style="28" bestFit="1" customWidth="1"/>
    <col min="12025" max="12025" width="1.81640625" style="28" bestFit="1" customWidth="1"/>
    <col min="12026" max="12026" width="6.81640625" style="28" bestFit="1" customWidth="1"/>
    <col min="12027" max="12027" width="10.81640625" style="28" bestFit="1" customWidth="1"/>
    <col min="12028" max="12028" width="8.7265625" style="28" bestFit="1" customWidth="1"/>
    <col min="12029" max="12029" width="9.6328125" style="28" bestFit="1" customWidth="1"/>
    <col min="12030" max="12030" width="12" style="28" bestFit="1" customWidth="1"/>
    <col min="12031" max="12042" width="8.7265625" style="28" bestFit="1" customWidth="1"/>
    <col min="12043" max="12043" width="9.6328125" style="28" bestFit="1" customWidth="1"/>
    <col min="12044" max="12044" width="12" style="28" bestFit="1" customWidth="1"/>
    <col min="12045" max="12045" width="11.81640625" style="28" bestFit="1" customWidth="1"/>
    <col min="12046" max="12046" width="13.7265625" style="28" bestFit="1" customWidth="1"/>
    <col min="12047" max="12047" width="14.08984375" style="28" bestFit="1" customWidth="1"/>
    <col min="12048" max="12048" width="9.08984375" style="28"/>
    <col min="12049" max="12049" width="25.26953125" style="28" bestFit="1" customWidth="1"/>
    <col min="12050" max="12050" width="4.7265625" style="28" bestFit="1" customWidth="1"/>
    <col min="12051" max="12051" width="1.36328125" style="28" bestFit="1" customWidth="1"/>
    <col min="12052" max="12052" width="4.26953125" style="28" bestFit="1" customWidth="1"/>
    <col min="12053" max="12053" width="1.36328125" style="28" bestFit="1" customWidth="1"/>
    <col min="12054" max="12054" width="5.6328125" style="28" bestFit="1" customWidth="1"/>
    <col min="12055" max="12055" width="1.36328125" style="28" bestFit="1" customWidth="1"/>
    <col min="12056" max="12056" width="6.81640625" style="28" bestFit="1" customWidth="1"/>
    <col min="12057" max="12057" width="13.08984375" style="28" bestFit="1" customWidth="1"/>
    <col min="12058" max="12273" width="9.08984375" style="28"/>
    <col min="12274" max="12274" width="2.81640625" style="28" bestFit="1" customWidth="1"/>
    <col min="12275" max="12275" width="6.81640625" style="28" bestFit="1" customWidth="1"/>
    <col min="12276" max="12276" width="4.36328125" style="28" bestFit="1" customWidth="1"/>
    <col min="12277" max="12277" width="5.6328125" style="28" bestFit="1" customWidth="1"/>
    <col min="12278" max="12278" width="4" style="28" bestFit="1" customWidth="1"/>
    <col min="12279" max="12279" width="5.6328125" style="28" bestFit="1" customWidth="1"/>
    <col min="12280" max="12280" width="9.26953125" style="28" bestFit="1" customWidth="1"/>
    <col min="12281" max="12281" width="1.81640625" style="28" bestFit="1" customWidth="1"/>
    <col min="12282" max="12282" width="6.81640625" style="28" bestFit="1" customWidth="1"/>
    <col min="12283" max="12283" width="10.81640625" style="28" bestFit="1" customWidth="1"/>
    <col min="12284" max="12284" width="8.7265625" style="28" bestFit="1" customWidth="1"/>
    <col min="12285" max="12285" width="9.6328125" style="28" bestFit="1" customWidth="1"/>
    <col min="12286" max="12286" width="12" style="28" bestFit="1" customWidth="1"/>
    <col min="12287" max="12298" width="8.7265625" style="28" bestFit="1" customWidth="1"/>
    <col min="12299" max="12299" width="9.6328125" style="28" bestFit="1" customWidth="1"/>
    <col min="12300" max="12300" width="12" style="28" bestFit="1" customWidth="1"/>
    <col min="12301" max="12301" width="11.81640625" style="28" bestFit="1" customWidth="1"/>
    <col min="12302" max="12302" width="13.7265625" style="28" bestFit="1" customWidth="1"/>
    <col min="12303" max="12303" width="14.08984375" style="28" bestFit="1" customWidth="1"/>
    <col min="12304" max="12304" width="9.08984375" style="28"/>
    <col min="12305" max="12305" width="25.26953125" style="28" bestFit="1" customWidth="1"/>
    <col min="12306" max="12306" width="4.7265625" style="28" bestFit="1" customWidth="1"/>
    <col min="12307" max="12307" width="1.36328125" style="28" bestFit="1" customWidth="1"/>
    <col min="12308" max="12308" width="4.26953125" style="28" bestFit="1" customWidth="1"/>
    <col min="12309" max="12309" width="1.36328125" style="28" bestFit="1" customWidth="1"/>
    <col min="12310" max="12310" width="5.6328125" style="28" bestFit="1" customWidth="1"/>
    <col min="12311" max="12311" width="1.36328125" style="28" bestFit="1" customWidth="1"/>
    <col min="12312" max="12312" width="6.81640625" style="28" bestFit="1" customWidth="1"/>
    <col min="12313" max="12313" width="13.08984375" style="28" bestFit="1" customWidth="1"/>
    <col min="12314" max="12529" width="9.08984375" style="28"/>
    <col min="12530" max="12530" width="2.81640625" style="28" bestFit="1" customWidth="1"/>
    <col min="12531" max="12531" width="6.81640625" style="28" bestFit="1" customWidth="1"/>
    <col min="12532" max="12532" width="4.36328125" style="28" bestFit="1" customWidth="1"/>
    <col min="12533" max="12533" width="5.6328125" style="28" bestFit="1" customWidth="1"/>
    <col min="12534" max="12534" width="4" style="28" bestFit="1" customWidth="1"/>
    <col min="12535" max="12535" width="5.6328125" style="28" bestFit="1" customWidth="1"/>
    <col min="12536" max="12536" width="9.26953125" style="28" bestFit="1" customWidth="1"/>
    <col min="12537" max="12537" width="1.81640625" style="28" bestFit="1" customWidth="1"/>
    <col min="12538" max="12538" width="6.81640625" style="28" bestFit="1" customWidth="1"/>
    <col min="12539" max="12539" width="10.81640625" style="28" bestFit="1" customWidth="1"/>
    <col min="12540" max="12540" width="8.7265625" style="28" bestFit="1" customWidth="1"/>
    <col min="12541" max="12541" width="9.6328125" style="28" bestFit="1" customWidth="1"/>
    <col min="12542" max="12542" width="12" style="28" bestFit="1" customWidth="1"/>
    <col min="12543" max="12554" width="8.7265625" style="28" bestFit="1" customWidth="1"/>
    <col min="12555" max="12555" width="9.6328125" style="28" bestFit="1" customWidth="1"/>
    <col min="12556" max="12556" width="12" style="28" bestFit="1" customWidth="1"/>
    <col min="12557" max="12557" width="11.81640625" style="28" bestFit="1" customWidth="1"/>
    <col min="12558" max="12558" width="13.7265625" style="28" bestFit="1" customWidth="1"/>
    <col min="12559" max="12559" width="14.08984375" style="28" bestFit="1" customWidth="1"/>
    <col min="12560" max="12560" width="9.08984375" style="28"/>
    <col min="12561" max="12561" width="25.26953125" style="28" bestFit="1" customWidth="1"/>
    <col min="12562" max="12562" width="4.7265625" style="28" bestFit="1" customWidth="1"/>
    <col min="12563" max="12563" width="1.36328125" style="28" bestFit="1" customWidth="1"/>
    <col min="12564" max="12564" width="4.26953125" style="28" bestFit="1" customWidth="1"/>
    <col min="12565" max="12565" width="1.36328125" style="28" bestFit="1" customWidth="1"/>
    <col min="12566" max="12566" width="5.6328125" style="28" bestFit="1" customWidth="1"/>
    <col min="12567" max="12567" width="1.36328125" style="28" bestFit="1" customWidth="1"/>
    <col min="12568" max="12568" width="6.81640625" style="28" bestFit="1" customWidth="1"/>
    <col min="12569" max="12569" width="13.08984375" style="28" bestFit="1" customWidth="1"/>
    <col min="12570" max="12785" width="9.08984375" style="28"/>
    <col min="12786" max="12786" width="2.81640625" style="28" bestFit="1" customWidth="1"/>
    <col min="12787" max="12787" width="6.81640625" style="28" bestFit="1" customWidth="1"/>
    <col min="12788" max="12788" width="4.36328125" style="28" bestFit="1" customWidth="1"/>
    <col min="12789" max="12789" width="5.6328125" style="28" bestFit="1" customWidth="1"/>
    <col min="12790" max="12790" width="4" style="28" bestFit="1" customWidth="1"/>
    <col min="12791" max="12791" width="5.6328125" style="28" bestFit="1" customWidth="1"/>
    <col min="12792" max="12792" width="9.26953125" style="28" bestFit="1" customWidth="1"/>
    <col min="12793" max="12793" width="1.81640625" style="28" bestFit="1" customWidth="1"/>
    <col min="12794" max="12794" width="6.81640625" style="28" bestFit="1" customWidth="1"/>
    <col min="12795" max="12795" width="10.81640625" style="28" bestFit="1" customWidth="1"/>
    <col min="12796" max="12796" width="8.7265625" style="28" bestFit="1" customWidth="1"/>
    <col min="12797" max="12797" width="9.6328125" style="28" bestFit="1" customWidth="1"/>
    <col min="12798" max="12798" width="12" style="28" bestFit="1" customWidth="1"/>
    <col min="12799" max="12810" width="8.7265625" style="28" bestFit="1" customWidth="1"/>
    <col min="12811" max="12811" width="9.6328125" style="28" bestFit="1" customWidth="1"/>
    <col min="12812" max="12812" width="12" style="28" bestFit="1" customWidth="1"/>
    <col min="12813" max="12813" width="11.81640625" style="28" bestFit="1" customWidth="1"/>
    <col min="12814" max="12814" width="13.7265625" style="28" bestFit="1" customWidth="1"/>
    <col min="12815" max="12815" width="14.08984375" style="28" bestFit="1" customWidth="1"/>
    <col min="12816" max="12816" width="9.08984375" style="28"/>
    <col min="12817" max="12817" width="25.26953125" style="28" bestFit="1" customWidth="1"/>
    <col min="12818" max="12818" width="4.7265625" style="28" bestFit="1" customWidth="1"/>
    <col min="12819" max="12819" width="1.36328125" style="28" bestFit="1" customWidth="1"/>
    <col min="12820" max="12820" width="4.26953125" style="28" bestFit="1" customWidth="1"/>
    <col min="12821" max="12821" width="1.36328125" style="28" bestFit="1" customWidth="1"/>
    <col min="12822" max="12822" width="5.6328125" style="28" bestFit="1" customWidth="1"/>
    <col min="12823" max="12823" width="1.36328125" style="28" bestFit="1" customWidth="1"/>
    <col min="12824" max="12824" width="6.81640625" style="28" bestFit="1" customWidth="1"/>
    <col min="12825" max="12825" width="13.08984375" style="28" bestFit="1" customWidth="1"/>
    <col min="12826" max="13041" width="9.08984375" style="28"/>
    <col min="13042" max="13042" width="2.81640625" style="28" bestFit="1" customWidth="1"/>
    <col min="13043" max="13043" width="6.81640625" style="28" bestFit="1" customWidth="1"/>
    <col min="13044" max="13044" width="4.36328125" style="28" bestFit="1" customWidth="1"/>
    <col min="13045" max="13045" width="5.6328125" style="28" bestFit="1" customWidth="1"/>
    <col min="13046" max="13046" width="4" style="28" bestFit="1" customWidth="1"/>
    <col min="13047" max="13047" width="5.6328125" style="28" bestFit="1" customWidth="1"/>
    <col min="13048" max="13048" width="9.26953125" style="28" bestFit="1" customWidth="1"/>
    <col min="13049" max="13049" width="1.81640625" style="28" bestFit="1" customWidth="1"/>
    <col min="13050" max="13050" width="6.81640625" style="28" bestFit="1" customWidth="1"/>
    <col min="13051" max="13051" width="10.81640625" style="28" bestFit="1" customWidth="1"/>
    <col min="13052" max="13052" width="8.7265625" style="28" bestFit="1" customWidth="1"/>
    <col min="13053" max="13053" width="9.6328125" style="28" bestFit="1" customWidth="1"/>
    <col min="13054" max="13054" width="12" style="28" bestFit="1" customWidth="1"/>
    <col min="13055" max="13066" width="8.7265625" style="28" bestFit="1" customWidth="1"/>
    <col min="13067" max="13067" width="9.6328125" style="28" bestFit="1" customWidth="1"/>
    <col min="13068" max="13068" width="12" style="28" bestFit="1" customWidth="1"/>
    <col min="13069" max="13069" width="11.81640625" style="28" bestFit="1" customWidth="1"/>
    <col min="13070" max="13070" width="13.7265625" style="28" bestFit="1" customWidth="1"/>
    <col min="13071" max="13071" width="14.08984375" style="28" bestFit="1" customWidth="1"/>
    <col min="13072" max="13072" width="9.08984375" style="28"/>
    <col min="13073" max="13073" width="25.26953125" style="28" bestFit="1" customWidth="1"/>
    <col min="13074" max="13074" width="4.7265625" style="28" bestFit="1" customWidth="1"/>
    <col min="13075" max="13075" width="1.36328125" style="28" bestFit="1" customWidth="1"/>
    <col min="13076" max="13076" width="4.26953125" style="28" bestFit="1" customWidth="1"/>
    <col min="13077" max="13077" width="1.36328125" style="28" bestFit="1" customWidth="1"/>
    <col min="13078" max="13078" width="5.6328125" style="28" bestFit="1" customWidth="1"/>
    <col min="13079" max="13079" width="1.36328125" style="28" bestFit="1" customWidth="1"/>
    <col min="13080" max="13080" width="6.81640625" style="28" bestFit="1" customWidth="1"/>
    <col min="13081" max="13081" width="13.08984375" style="28" bestFit="1" customWidth="1"/>
    <col min="13082" max="13297" width="9.08984375" style="28"/>
    <col min="13298" max="13298" width="2.81640625" style="28" bestFit="1" customWidth="1"/>
    <col min="13299" max="13299" width="6.81640625" style="28" bestFit="1" customWidth="1"/>
    <col min="13300" max="13300" width="4.36328125" style="28" bestFit="1" customWidth="1"/>
    <col min="13301" max="13301" width="5.6328125" style="28" bestFit="1" customWidth="1"/>
    <col min="13302" max="13302" width="4" style="28" bestFit="1" customWidth="1"/>
    <col min="13303" max="13303" width="5.6328125" style="28" bestFit="1" customWidth="1"/>
    <col min="13304" max="13304" width="9.26953125" style="28" bestFit="1" customWidth="1"/>
    <col min="13305" max="13305" width="1.81640625" style="28" bestFit="1" customWidth="1"/>
    <col min="13306" max="13306" width="6.81640625" style="28" bestFit="1" customWidth="1"/>
    <col min="13307" max="13307" width="10.81640625" style="28" bestFit="1" customWidth="1"/>
    <col min="13308" max="13308" width="8.7265625" style="28" bestFit="1" customWidth="1"/>
    <col min="13309" max="13309" width="9.6328125" style="28" bestFit="1" customWidth="1"/>
    <col min="13310" max="13310" width="12" style="28" bestFit="1" customWidth="1"/>
    <col min="13311" max="13322" width="8.7265625" style="28" bestFit="1" customWidth="1"/>
    <col min="13323" max="13323" width="9.6328125" style="28" bestFit="1" customWidth="1"/>
    <col min="13324" max="13324" width="12" style="28" bestFit="1" customWidth="1"/>
    <col min="13325" max="13325" width="11.81640625" style="28" bestFit="1" customWidth="1"/>
    <col min="13326" max="13326" width="13.7265625" style="28" bestFit="1" customWidth="1"/>
    <col min="13327" max="13327" width="14.08984375" style="28" bestFit="1" customWidth="1"/>
    <col min="13328" max="13328" width="9.08984375" style="28"/>
    <col min="13329" max="13329" width="25.26953125" style="28" bestFit="1" customWidth="1"/>
    <col min="13330" max="13330" width="4.7265625" style="28" bestFit="1" customWidth="1"/>
    <col min="13331" max="13331" width="1.36328125" style="28" bestFit="1" customWidth="1"/>
    <col min="13332" max="13332" width="4.26953125" style="28" bestFit="1" customWidth="1"/>
    <col min="13333" max="13333" width="1.36328125" style="28" bestFit="1" customWidth="1"/>
    <col min="13334" max="13334" width="5.6328125" style="28" bestFit="1" customWidth="1"/>
    <col min="13335" max="13335" width="1.36328125" style="28" bestFit="1" customWidth="1"/>
    <col min="13336" max="13336" width="6.81640625" style="28" bestFit="1" customWidth="1"/>
    <col min="13337" max="13337" width="13.08984375" style="28" bestFit="1" customWidth="1"/>
    <col min="13338" max="13553" width="9.08984375" style="28"/>
    <col min="13554" max="13554" width="2.81640625" style="28" bestFit="1" customWidth="1"/>
    <col min="13555" max="13555" width="6.81640625" style="28" bestFit="1" customWidth="1"/>
    <col min="13556" max="13556" width="4.36328125" style="28" bestFit="1" customWidth="1"/>
    <col min="13557" max="13557" width="5.6328125" style="28" bestFit="1" customWidth="1"/>
    <col min="13558" max="13558" width="4" style="28" bestFit="1" customWidth="1"/>
    <col min="13559" max="13559" width="5.6328125" style="28" bestFit="1" customWidth="1"/>
    <col min="13560" max="13560" width="9.26953125" style="28" bestFit="1" customWidth="1"/>
    <col min="13561" max="13561" width="1.81640625" style="28" bestFit="1" customWidth="1"/>
    <col min="13562" max="13562" width="6.81640625" style="28" bestFit="1" customWidth="1"/>
    <col min="13563" max="13563" width="10.81640625" style="28" bestFit="1" customWidth="1"/>
    <col min="13564" max="13564" width="8.7265625" style="28" bestFit="1" customWidth="1"/>
    <col min="13565" max="13565" width="9.6328125" style="28" bestFit="1" customWidth="1"/>
    <col min="13566" max="13566" width="12" style="28" bestFit="1" customWidth="1"/>
    <col min="13567" max="13578" width="8.7265625" style="28" bestFit="1" customWidth="1"/>
    <col min="13579" max="13579" width="9.6328125" style="28" bestFit="1" customWidth="1"/>
    <col min="13580" max="13580" width="12" style="28" bestFit="1" customWidth="1"/>
    <col min="13581" max="13581" width="11.81640625" style="28" bestFit="1" customWidth="1"/>
    <col min="13582" max="13582" width="13.7265625" style="28" bestFit="1" customWidth="1"/>
    <col min="13583" max="13583" width="14.08984375" style="28" bestFit="1" customWidth="1"/>
    <col min="13584" max="13584" width="9.08984375" style="28"/>
    <col min="13585" max="13585" width="25.26953125" style="28" bestFit="1" customWidth="1"/>
    <col min="13586" max="13586" width="4.7265625" style="28" bestFit="1" customWidth="1"/>
    <col min="13587" max="13587" width="1.36328125" style="28" bestFit="1" customWidth="1"/>
    <col min="13588" max="13588" width="4.26953125" style="28" bestFit="1" customWidth="1"/>
    <col min="13589" max="13589" width="1.36328125" style="28" bestFit="1" customWidth="1"/>
    <col min="13590" max="13590" width="5.6328125" style="28" bestFit="1" customWidth="1"/>
    <col min="13591" max="13591" width="1.36328125" style="28" bestFit="1" customWidth="1"/>
    <col min="13592" max="13592" width="6.81640625" style="28" bestFit="1" customWidth="1"/>
    <col min="13593" max="13593" width="13.08984375" style="28" bestFit="1" customWidth="1"/>
    <col min="13594" max="13809" width="9.08984375" style="28"/>
    <col min="13810" max="13810" width="2.81640625" style="28" bestFit="1" customWidth="1"/>
    <col min="13811" max="13811" width="6.81640625" style="28" bestFit="1" customWidth="1"/>
    <col min="13812" max="13812" width="4.36328125" style="28" bestFit="1" customWidth="1"/>
    <col min="13813" max="13813" width="5.6328125" style="28" bestFit="1" customWidth="1"/>
    <col min="13814" max="13814" width="4" style="28" bestFit="1" customWidth="1"/>
    <col min="13815" max="13815" width="5.6328125" style="28" bestFit="1" customWidth="1"/>
    <col min="13816" max="13816" width="9.26953125" style="28" bestFit="1" customWidth="1"/>
    <col min="13817" max="13817" width="1.81640625" style="28" bestFit="1" customWidth="1"/>
    <col min="13818" max="13818" width="6.81640625" style="28" bestFit="1" customWidth="1"/>
    <col min="13819" max="13819" width="10.81640625" style="28" bestFit="1" customWidth="1"/>
    <col min="13820" max="13820" width="8.7265625" style="28" bestFit="1" customWidth="1"/>
    <col min="13821" max="13821" width="9.6328125" style="28" bestFit="1" customWidth="1"/>
    <col min="13822" max="13822" width="12" style="28" bestFit="1" customWidth="1"/>
    <col min="13823" max="13834" width="8.7265625" style="28" bestFit="1" customWidth="1"/>
    <col min="13835" max="13835" width="9.6328125" style="28" bestFit="1" customWidth="1"/>
    <col min="13836" max="13836" width="12" style="28" bestFit="1" customWidth="1"/>
    <col min="13837" max="13837" width="11.81640625" style="28" bestFit="1" customWidth="1"/>
    <col min="13838" max="13838" width="13.7265625" style="28" bestFit="1" customWidth="1"/>
    <col min="13839" max="13839" width="14.08984375" style="28" bestFit="1" customWidth="1"/>
    <col min="13840" max="13840" width="9.08984375" style="28"/>
    <col min="13841" max="13841" width="25.26953125" style="28" bestFit="1" customWidth="1"/>
    <col min="13842" max="13842" width="4.7265625" style="28" bestFit="1" customWidth="1"/>
    <col min="13843" max="13843" width="1.36328125" style="28" bestFit="1" customWidth="1"/>
    <col min="13844" max="13844" width="4.26953125" style="28" bestFit="1" customWidth="1"/>
    <col min="13845" max="13845" width="1.36328125" style="28" bestFit="1" customWidth="1"/>
    <col min="13846" max="13846" width="5.6328125" style="28" bestFit="1" customWidth="1"/>
    <col min="13847" max="13847" width="1.36328125" style="28" bestFit="1" customWidth="1"/>
    <col min="13848" max="13848" width="6.81640625" style="28" bestFit="1" customWidth="1"/>
    <col min="13849" max="13849" width="13.08984375" style="28" bestFit="1" customWidth="1"/>
    <col min="13850" max="14065" width="9.08984375" style="28"/>
    <col min="14066" max="14066" width="2.81640625" style="28" bestFit="1" customWidth="1"/>
    <col min="14067" max="14067" width="6.81640625" style="28" bestFit="1" customWidth="1"/>
    <col min="14068" max="14068" width="4.36328125" style="28" bestFit="1" customWidth="1"/>
    <col min="14069" max="14069" width="5.6328125" style="28" bestFit="1" customWidth="1"/>
    <col min="14070" max="14070" width="4" style="28" bestFit="1" customWidth="1"/>
    <col min="14071" max="14071" width="5.6328125" style="28" bestFit="1" customWidth="1"/>
    <col min="14072" max="14072" width="9.26953125" style="28" bestFit="1" customWidth="1"/>
    <col min="14073" max="14073" width="1.81640625" style="28" bestFit="1" customWidth="1"/>
    <col min="14074" max="14074" width="6.81640625" style="28" bestFit="1" customWidth="1"/>
    <col min="14075" max="14075" width="10.81640625" style="28" bestFit="1" customWidth="1"/>
    <col min="14076" max="14076" width="8.7265625" style="28" bestFit="1" customWidth="1"/>
    <col min="14077" max="14077" width="9.6328125" style="28" bestFit="1" customWidth="1"/>
    <col min="14078" max="14078" width="12" style="28" bestFit="1" customWidth="1"/>
    <col min="14079" max="14090" width="8.7265625" style="28" bestFit="1" customWidth="1"/>
    <col min="14091" max="14091" width="9.6328125" style="28" bestFit="1" customWidth="1"/>
    <col min="14092" max="14092" width="12" style="28" bestFit="1" customWidth="1"/>
    <col min="14093" max="14093" width="11.81640625" style="28" bestFit="1" customWidth="1"/>
    <col min="14094" max="14094" width="13.7265625" style="28" bestFit="1" customWidth="1"/>
    <col min="14095" max="14095" width="14.08984375" style="28" bestFit="1" customWidth="1"/>
    <col min="14096" max="14096" width="9.08984375" style="28"/>
    <col min="14097" max="14097" width="25.26953125" style="28" bestFit="1" customWidth="1"/>
    <col min="14098" max="14098" width="4.7265625" style="28" bestFit="1" customWidth="1"/>
    <col min="14099" max="14099" width="1.36328125" style="28" bestFit="1" customWidth="1"/>
    <col min="14100" max="14100" width="4.26953125" style="28" bestFit="1" customWidth="1"/>
    <col min="14101" max="14101" width="1.36328125" style="28" bestFit="1" customWidth="1"/>
    <col min="14102" max="14102" width="5.6328125" style="28" bestFit="1" customWidth="1"/>
    <col min="14103" max="14103" width="1.36328125" style="28" bestFit="1" customWidth="1"/>
    <col min="14104" max="14104" width="6.81640625" style="28" bestFit="1" customWidth="1"/>
    <col min="14105" max="14105" width="13.08984375" style="28" bestFit="1" customWidth="1"/>
    <col min="14106" max="14321" width="9.08984375" style="28"/>
    <col min="14322" max="14322" width="2.81640625" style="28" bestFit="1" customWidth="1"/>
    <col min="14323" max="14323" width="6.81640625" style="28" bestFit="1" customWidth="1"/>
    <col min="14324" max="14324" width="4.36328125" style="28" bestFit="1" customWidth="1"/>
    <col min="14325" max="14325" width="5.6328125" style="28" bestFit="1" customWidth="1"/>
    <col min="14326" max="14326" width="4" style="28" bestFit="1" customWidth="1"/>
    <col min="14327" max="14327" width="5.6328125" style="28" bestFit="1" customWidth="1"/>
    <col min="14328" max="14328" width="9.26953125" style="28" bestFit="1" customWidth="1"/>
    <col min="14329" max="14329" width="1.81640625" style="28" bestFit="1" customWidth="1"/>
    <col min="14330" max="14330" width="6.81640625" style="28" bestFit="1" customWidth="1"/>
    <col min="14331" max="14331" width="10.81640625" style="28" bestFit="1" customWidth="1"/>
    <col min="14332" max="14332" width="8.7265625" style="28" bestFit="1" customWidth="1"/>
    <col min="14333" max="14333" width="9.6328125" style="28" bestFit="1" customWidth="1"/>
    <col min="14334" max="14334" width="12" style="28" bestFit="1" customWidth="1"/>
    <col min="14335" max="14346" width="8.7265625" style="28" bestFit="1" customWidth="1"/>
    <col min="14347" max="14347" width="9.6328125" style="28" bestFit="1" customWidth="1"/>
    <col min="14348" max="14348" width="12" style="28" bestFit="1" customWidth="1"/>
    <col min="14349" max="14349" width="11.81640625" style="28" bestFit="1" customWidth="1"/>
    <col min="14350" max="14350" width="13.7265625" style="28" bestFit="1" customWidth="1"/>
    <col min="14351" max="14351" width="14.08984375" style="28" bestFit="1" customWidth="1"/>
    <col min="14352" max="14352" width="9.08984375" style="28"/>
    <col min="14353" max="14353" width="25.26953125" style="28" bestFit="1" customWidth="1"/>
    <col min="14354" max="14354" width="4.7265625" style="28" bestFit="1" customWidth="1"/>
    <col min="14355" max="14355" width="1.36328125" style="28" bestFit="1" customWidth="1"/>
    <col min="14356" max="14356" width="4.26953125" style="28" bestFit="1" customWidth="1"/>
    <col min="14357" max="14357" width="1.36328125" style="28" bestFit="1" customWidth="1"/>
    <col min="14358" max="14358" width="5.6328125" style="28" bestFit="1" customWidth="1"/>
    <col min="14359" max="14359" width="1.36328125" style="28" bestFit="1" customWidth="1"/>
    <col min="14360" max="14360" width="6.81640625" style="28" bestFit="1" customWidth="1"/>
    <col min="14361" max="14361" width="13.08984375" style="28" bestFit="1" customWidth="1"/>
    <col min="14362" max="14577" width="9.08984375" style="28"/>
    <col min="14578" max="14578" width="2.81640625" style="28" bestFit="1" customWidth="1"/>
    <col min="14579" max="14579" width="6.81640625" style="28" bestFit="1" customWidth="1"/>
    <col min="14580" max="14580" width="4.36328125" style="28" bestFit="1" customWidth="1"/>
    <col min="14581" max="14581" width="5.6328125" style="28" bestFit="1" customWidth="1"/>
    <col min="14582" max="14582" width="4" style="28" bestFit="1" customWidth="1"/>
    <col min="14583" max="14583" width="5.6328125" style="28" bestFit="1" customWidth="1"/>
    <col min="14584" max="14584" width="9.26953125" style="28" bestFit="1" customWidth="1"/>
    <col min="14585" max="14585" width="1.81640625" style="28" bestFit="1" customWidth="1"/>
    <col min="14586" max="14586" width="6.81640625" style="28" bestFit="1" customWidth="1"/>
    <col min="14587" max="14587" width="10.81640625" style="28" bestFit="1" customWidth="1"/>
    <col min="14588" max="14588" width="8.7265625" style="28" bestFit="1" customWidth="1"/>
    <col min="14589" max="14589" width="9.6328125" style="28" bestFit="1" customWidth="1"/>
    <col min="14590" max="14590" width="12" style="28" bestFit="1" customWidth="1"/>
    <col min="14591" max="14602" width="8.7265625" style="28" bestFit="1" customWidth="1"/>
    <col min="14603" max="14603" width="9.6328125" style="28" bestFit="1" customWidth="1"/>
    <col min="14604" max="14604" width="12" style="28" bestFit="1" customWidth="1"/>
    <col min="14605" max="14605" width="11.81640625" style="28" bestFit="1" customWidth="1"/>
    <col min="14606" max="14606" width="13.7265625" style="28" bestFit="1" customWidth="1"/>
    <col min="14607" max="14607" width="14.08984375" style="28" bestFit="1" customWidth="1"/>
    <col min="14608" max="14608" width="9.08984375" style="28"/>
    <col min="14609" max="14609" width="25.26953125" style="28" bestFit="1" customWidth="1"/>
    <col min="14610" max="14610" width="4.7265625" style="28" bestFit="1" customWidth="1"/>
    <col min="14611" max="14611" width="1.36328125" style="28" bestFit="1" customWidth="1"/>
    <col min="14612" max="14612" width="4.26953125" style="28" bestFit="1" customWidth="1"/>
    <col min="14613" max="14613" width="1.36328125" style="28" bestFit="1" customWidth="1"/>
    <col min="14614" max="14614" width="5.6328125" style="28" bestFit="1" customWidth="1"/>
    <col min="14615" max="14615" width="1.36328125" style="28" bestFit="1" customWidth="1"/>
    <col min="14616" max="14616" width="6.81640625" style="28" bestFit="1" customWidth="1"/>
    <col min="14617" max="14617" width="13.08984375" style="28" bestFit="1" customWidth="1"/>
    <col min="14618" max="14833" width="9.08984375" style="28"/>
    <col min="14834" max="14834" width="2.81640625" style="28" bestFit="1" customWidth="1"/>
    <col min="14835" max="14835" width="6.81640625" style="28" bestFit="1" customWidth="1"/>
    <col min="14836" max="14836" width="4.36328125" style="28" bestFit="1" customWidth="1"/>
    <col min="14837" max="14837" width="5.6328125" style="28" bestFit="1" customWidth="1"/>
    <col min="14838" max="14838" width="4" style="28" bestFit="1" customWidth="1"/>
    <col min="14839" max="14839" width="5.6328125" style="28" bestFit="1" customWidth="1"/>
    <col min="14840" max="14840" width="9.26953125" style="28" bestFit="1" customWidth="1"/>
    <col min="14841" max="14841" width="1.81640625" style="28" bestFit="1" customWidth="1"/>
    <col min="14842" max="14842" width="6.81640625" style="28" bestFit="1" customWidth="1"/>
    <col min="14843" max="14843" width="10.81640625" style="28" bestFit="1" customWidth="1"/>
    <col min="14844" max="14844" width="8.7265625" style="28" bestFit="1" customWidth="1"/>
    <col min="14845" max="14845" width="9.6328125" style="28" bestFit="1" customWidth="1"/>
    <col min="14846" max="14846" width="12" style="28" bestFit="1" customWidth="1"/>
    <col min="14847" max="14858" width="8.7265625" style="28" bestFit="1" customWidth="1"/>
    <col min="14859" max="14859" width="9.6328125" style="28" bestFit="1" customWidth="1"/>
    <col min="14860" max="14860" width="12" style="28" bestFit="1" customWidth="1"/>
    <col min="14861" max="14861" width="11.81640625" style="28" bestFit="1" customWidth="1"/>
    <col min="14862" max="14862" width="13.7265625" style="28" bestFit="1" customWidth="1"/>
    <col min="14863" max="14863" width="14.08984375" style="28" bestFit="1" customWidth="1"/>
    <col min="14864" max="14864" width="9.08984375" style="28"/>
    <col min="14865" max="14865" width="25.26953125" style="28" bestFit="1" customWidth="1"/>
    <col min="14866" max="14866" width="4.7265625" style="28" bestFit="1" customWidth="1"/>
    <col min="14867" max="14867" width="1.36328125" style="28" bestFit="1" customWidth="1"/>
    <col min="14868" max="14868" width="4.26953125" style="28" bestFit="1" customWidth="1"/>
    <col min="14869" max="14869" width="1.36328125" style="28" bestFit="1" customWidth="1"/>
    <col min="14870" max="14870" width="5.6328125" style="28" bestFit="1" customWidth="1"/>
    <col min="14871" max="14871" width="1.36328125" style="28" bestFit="1" customWidth="1"/>
    <col min="14872" max="14872" width="6.81640625" style="28" bestFit="1" customWidth="1"/>
    <col min="14873" max="14873" width="13.08984375" style="28" bestFit="1" customWidth="1"/>
    <col min="14874" max="15089" width="9.08984375" style="28"/>
    <col min="15090" max="15090" width="2.81640625" style="28" bestFit="1" customWidth="1"/>
    <col min="15091" max="15091" width="6.81640625" style="28" bestFit="1" customWidth="1"/>
    <col min="15092" max="15092" width="4.36328125" style="28" bestFit="1" customWidth="1"/>
    <col min="15093" max="15093" width="5.6328125" style="28" bestFit="1" customWidth="1"/>
    <col min="15094" max="15094" width="4" style="28" bestFit="1" customWidth="1"/>
    <col min="15095" max="15095" width="5.6328125" style="28" bestFit="1" customWidth="1"/>
    <col min="15096" max="15096" width="9.26953125" style="28" bestFit="1" customWidth="1"/>
    <col min="15097" max="15097" width="1.81640625" style="28" bestFit="1" customWidth="1"/>
    <col min="15098" max="15098" width="6.81640625" style="28" bestFit="1" customWidth="1"/>
    <col min="15099" max="15099" width="10.81640625" style="28" bestFit="1" customWidth="1"/>
    <col min="15100" max="15100" width="8.7265625" style="28" bestFit="1" customWidth="1"/>
    <col min="15101" max="15101" width="9.6328125" style="28" bestFit="1" customWidth="1"/>
    <col min="15102" max="15102" width="12" style="28" bestFit="1" customWidth="1"/>
    <col min="15103" max="15114" width="8.7265625" style="28" bestFit="1" customWidth="1"/>
    <col min="15115" max="15115" width="9.6328125" style="28" bestFit="1" customWidth="1"/>
    <col min="15116" max="15116" width="12" style="28" bestFit="1" customWidth="1"/>
    <col min="15117" max="15117" width="11.81640625" style="28" bestFit="1" customWidth="1"/>
    <col min="15118" max="15118" width="13.7265625" style="28" bestFit="1" customWidth="1"/>
    <col min="15119" max="15119" width="14.08984375" style="28" bestFit="1" customWidth="1"/>
    <col min="15120" max="15120" width="9.08984375" style="28"/>
    <col min="15121" max="15121" width="25.26953125" style="28" bestFit="1" customWidth="1"/>
    <col min="15122" max="15122" width="4.7265625" style="28" bestFit="1" customWidth="1"/>
    <col min="15123" max="15123" width="1.36328125" style="28" bestFit="1" customWidth="1"/>
    <col min="15124" max="15124" width="4.26953125" style="28" bestFit="1" customWidth="1"/>
    <col min="15125" max="15125" width="1.36328125" style="28" bestFit="1" customWidth="1"/>
    <col min="15126" max="15126" width="5.6328125" style="28" bestFit="1" customWidth="1"/>
    <col min="15127" max="15127" width="1.36328125" style="28" bestFit="1" customWidth="1"/>
    <col min="15128" max="15128" width="6.81640625" style="28" bestFit="1" customWidth="1"/>
    <col min="15129" max="15129" width="13.08984375" style="28" bestFit="1" customWidth="1"/>
    <col min="15130" max="15345" width="9.08984375" style="28"/>
    <col min="15346" max="15346" width="2.81640625" style="28" bestFit="1" customWidth="1"/>
    <col min="15347" max="15347" width="6.81640625" style="28" bestFit="1" customWidth="1"/>
    <col min="15348" max="15348" width="4.36328125" style="28" bestFit="1" customWidth="1"/>
    <col min="15349" max="15349" width="5.6328125" style="28" bestFit="1" customWidth="1"/>
    <col min="15350" max="15350" width="4" style="28" bestFit="1" customWidth="1"/>
    <col min="15351" max="15351" width="5.6328125" style="28" bestFit="1" customWidth="1"/>
    <col min="15352" max="15352" width="9.26953125" style="28" bestFit="1" customWidth="1"/>
    <col min="15353" max="15353" width="1.81640625" style="28" bestFit="1" customWidth="1"/>
    <col min="15354" max="15354" width="6.81640625" style="28" bestFit="1" customWidth="1"/>
    <col min="15355" max="15355" width="10.81640625" style="28" bestFit="1" customWidth="1"/>
    <col min="15356" max="15356" width="8.7265625" style="28" bestFit="1" customWidth="1"/>
    <col min="15357" max="15357" width="9.6328125" style="28" bestFit="1" customWidth="1"/>
    <col min="15358" max="15358" width="12" style="28" bestFit="1" customWidth="1"/>
    <col min="15359" max="15370" width="8.7265625" style="28" bestFit="1" customWidth="1"/>
    <col min="15371" max="15371" width="9.6328125" style="28" bestFit="1" customWidth="1"/>
    <col min="15372" max="15372" width="12" style="28" bestFit="1" customWidth="1"/>
    <col min="15373" max="15373" width="11.81640625" style="28" bestFit="1" customWidth="1"/>
    <col min="15374" max="15374" width="13.7265625" style="28" bestFit="1" customWidth="1"/>
    <col min="15375" max="15375" width="14.08984375" style="28" bestFit="1" customWidth="1"/>
    <col min="15376" max="15376" width="9.08984375" style="28"/>
    <col min="15377" max="15377" width="25.26953125" style="28" bestFit="1" customWidth="1"/>
    <col min="15378" max="15378" width="4.7265625" style="28" bestFit="1" customWidth="1"/>
    <col min="15379" max="15379" width="1.36328125" style="28" bestFit="1" customWidth="1"/>
    <col min="15380" max="15380" width="4.26953125" style="28" bestFit="1" customWidth="1"/>
    <col min="15381" max="15381" width="1.36328125" style="28" bestFit="1" customWidth="1"/>
    <col min="15382" max="15382" width="5.6328125" style="28" bestFit="1" customWidth="1"/>
    <col min="15383" max="15383" width="1.36328125" style="28" bestFit="1" customWidth="1"/>
    <col min="15384" max="15384" width="6.81640625" style="28" bestFit="1" customWidth="1"/>
    <col min="15385" max="15385" width="13.08984375" style="28" bestFit="1" customWidth="1"/>
    <col min="15386" max="15601" width="9.08984375" style="28"/>
    <col min="15602" max="15602" width="2.81640625" style="28" bestFit="1" customWidth="1"/>
    <col min="15603" max="15603" width="6.81640625" style="28" bestFit="1" customWidth="1"/>
    <col min="15604" max="15604" width="4.36328125" style="28" bestFit="1" customWidth="1"/>
    <col min="15605" max="15605" width="5.6328125" style="28" bestFit="1" customWidth="1"/>
    <col min="15606" max="15606" width="4" style="28" bestFit="1" customWidth="1"/>
    <col min="15607" max="15607" width="5.6328125" style="28" bestFit="1" customWidth="1"/>
    <col min="15608" max="15608" width="9.26953125" style="28" bestFit="1" customWidth="1"/>
    <col min="15609" max="15609" width="1.81640625" style="28" bestFit="1" customWidth="1"/>
    <col min="15610" max="15610" width="6.81640625" style="28" bestFit="1" customWidth="1"/>
    <col min="15611" max="15611" width="10.81640625" style="28" bestFit="1" customWidth="1"/>
    <col min="15612" max="15612" width="8.7265625" style="28" bestFit="1" customWidth="1"/>
    <col min="15613" max="15613" width="9.6328125" style="28" bestFit="1" customWidth="1"/>
    <col min="15614" max="15614" width="12" style="28" bestFit="1" customWidth="1"/>
    <col min="15615" max="15626" width="8.7265625" style="28" bestFit="1" customWidth="1"/>
    <col min="15627" max="15627" width="9.6328125" style="28" bestFit="1" customWidth="1"/>
    <col min="15628" max="15628" width="12" style="28" bestFit="1" customWidth="1"/>
    <col min="15629" max="15629" width="11.81640625" style="28" bestFit="1" customWidth="1"/>
    <col min="15630" max="15630" width="13.7265625" style="28" bestFit="1" customWidth="1"/>
    <col min="15631" max="15631" width="14.08984375" style="28" bestFit="1" customWidth="1"/>
    <col min="15632" max="15632" width="9.08984375" style="28"/>
    <col min="15633" max="15633" width="25.26953125" style="28" bestFit="1" customWidth="1"/>
    <col min="15634" max="15634" width="4.7265625" style="28" bestFit="1" customWidth="1"/>
    <col min="15635" max="15635" width="1.36328125" style="28" bestFit="1" customWidth="1"/>
    <col min="15636" max="15636" width="4.26953125" style="28" bestFit="1" customWidth="1"/>
    <col min="15637" max="15637" width="1.36328125" style="28" bestFit="1" customWidth="1"/>
    <col min="15638" max="15638" width="5.6328125" style="28" bestFit="1" customWidth="1"/>
    <col min="15639" max="15639" width="1.36328125" style="28" bestFit="1" customWidth="1"/>
    <col min="15640" max="15640" width="6.81640625" style="28" bestFit="1" customWidth="1"/>
    <col min="15641" max="15641" width="13.08984375" style="28" bestFit="1" customWidth="1"/>
    <col min="15642" max="15857" width="9.08984375" style="28"/>
    <col min="15858" max="15858" width="2.81640625" style="28" bestFit="1" customWidth="1"/>
    <col min="15859" max="15859" width="6.81640625" style="28" bestFit="1" customWidth="1"/>
    <col min="15860" max="15860" width="4.36328125" style="28" bestFit="1" customWidth="1"/>
    <col min="15861" max="15861" width="5.6328125" style="28" bestFit="1" customWidth="1"/>
    <col min="15862" max="15862" width="4" style="28" bestFit="1" customWidth="1"/>
    <col min="15863" max="15863" width="5.6328125" style="28" bestFit="1" customWidth="1"/>
    <col min="15864" max="15864" width="9.26953125" style="28" bestFit="1" customWidth="1"/>
    <col min="15865" max="15865" width="1.81640625" style="28" bestFit="1" customWidth="1"/>
    <col min="15866" max="15866" width="6.81640625" style="28" bestFit="1" customWidth="1"/>
    <col min="15867" max="15867" width="10.81640625" style="28" bestFit="1" customWidth="1"/>
    <col min="15868" max="15868" width="8.7265625" style="28" bestFit="1" customWidth="1"/>
    <col min="15869" max="15869" width="9.6328125" style="28" bestFit="1" customWidth="1"/>
    <col min="15870" max="15870" width="12" style="28" bestFit="1" customWidth="1"/>
    <col min="15871" max="15882" width="8.7265625" style="28" bestFit="1" customWidth="1"/>
    <col min="15883" max="15883" width="9.6328125" style="28" bestFit="1" customWidth="1"/>
    <col min="15884" max="15884" width="12" style="28" bestFit="1" customWidth="1"/>
    <col min="15885" max="15885" width="11.81640625" style="28" bestFit="1" customWidth="1"/>
    <col min="15886" max="15886" width="13.7265625" style="28" bestFit="1" customWidth="1"/>
    <col min="15887" max="15887" width="14.08984375" style="28" bestFit="1" customWidth="1"/>
    <col min="15888" max="15888" width="9.08984375" style="28"/>
    <col min="15889" max="15889" width="25.26953125" style="28" bestFit="1" customWidth="1"/>
    <col min="15890" max="15890" width="4.7265625" style="28" bestFit="1" customWidth="1"/>
    <col min="15891" max="15891" width="1.36328125" style="28" bestFit="1" customWidth="1"/>
    <col min="15892" max="15892" width="4.26953125" style="28" bestFit="1" customWidth="1"/>
    <col min="15893" max="15893" width="1.36328125" style="28" bestFit="1" customWidth="1"/>
    <col min="15894" max="15894" width="5.6328125" style="28" bestFit="1" customWidth="1"/>
    <col min="15895" max="15895" width="1.36328125" style="28" bestFit="1" customWidth="1"/>
    <col min="15896" max="15896" width="6.81640625" style="28" bestFit="1" customWidth="1"/>
    <col min="15897" max="15897" width="13.08984375" style="28" bestFit="1" customWidth="1"/>
    <col min="15898" max="16113" width="9.08984375" style="28"/>
    <col min="16114" max="16114" width="2.81640625" style="28" bestFit="1" customWidth="1"/>
    <col min="16115" max="16115" width="6.81640625" style="28" bestFit="1" customWidth="1"/>
    <col min="16116" max="16116" width="4.36328125" style="28" bestFit="1" customWidth="1"/>
    <col min="16117" max="16117" width="5.6328125" style="28" bestFit="1" customWidth="1"/>
    <col min="16118" max="16118" width="4" style="28" bestFit="1" customWidth="1"/>
    <col min="16119" max="16119" width="5.6328125" style="28" bestFit="1" customWidth="1"/>
    <col min="16120" max="16120" width="9.26953125" style="28" bestFit="1" customWidth="1"/>
    <col min="16121" max="16121" width="1.81640625" style="28" bestFit="1" customWidth="1"/>
    <col min="16122" max="16122" width="6.81640625" style="28" bestFit="1" customWidth="1"/>
    <col min="16123" max="16123" width="10.81640625" style="28" bestFit="1" customWidth="1"/>
    <col min="16124" max="16124" width="8.7265625" style="28" bestFit="1" customWidth="1"/>
    <col min="16125" max="16125" width="9.6328125" style="28" bestFit="1" customWidth="1"/>
    <col min="16126" max="16126" width="12" style="28" bestFit="1" customWidth="1"/>
    <col min="16127" max="16138" width="8.7265625" style="28" bestFit="1" customWidth="1"/>
    <col min="16139" max="16139" width="9.6328125" style="28" bestFit="1" customWidth="1"/>
    <col min="16140" max="16140" width="12" style="28" bestFit="1" customWidth="1"/>
    <col min="16141" max="16141" width="11.81640625" style="28" bestFit="1" customWidth="1"/>
    <col min="16142" max="16142" width="13.7265625" style="28" bestFit="1" customWidth="1"/>
    <col min="16143" max="16143" width="14.08984375" style="28" bestFit="1" customWidth="1"/>
    <col min="16144" max="16144" width="9.08984375" style="28"/>
    <col min="16145" max="16145" width="25.26953125" style="28" bestFit="1" customWidth="1"/>
    <col min="16146" max="16146" width="4.7265625" style="28" bestFit="1" customWidth="1"/>
    <col min="16147" max="16147" width="1.36328125" style="28" bestFit="1" customWidth="1"/>
    <col min="16148" max="16148" width="4.26953125" style="28" bestFit="1" customWidth="1"/>
    <col min="16149" max="16149" width="1.36328125" style="28" bestFit="1" customWidth="1"/>
    <col min="16150" max="16150" width="5.6328125" style="28" bestFit="1" customWidth="1"/>
    <col min="16151" max="16151" width="1.36328125" style="28" bestFit="1" customWidth="1"/>
    <col min="16152" max="16152" width="6.81640625" style="28" bestFit="1" customWidth="1"/>
    <col min="16153" max="16153" width="13.08984375" style="28" bestFit="1" customWidth="1"/>
    <col min="16154" max="16384" width="9.08984375" style="28"/>
  </cols>
  <sheetData>
    <row r="1" spans="1:28" x14ac:dyDescent="0.35">
      <c r="A1" s="28" t="s">
        <v>595</v>
      </c>
    </row>
    <row r="2" spans="1:28" x14ac:dyDescent="0.35">
      <c r="A2" s="28" t="s">
        <v>584</v>
      </c>
    </row>
    <row r="3" spans="1:28" x14ac:dyDescent="0.35">
      <c r="A3" s="28" t="s">
        <v>596</v>
      </c>
    </row>
    <row r="5" spans="1:28" s="135" customFormat="1" ht="15.75" customHeight="1" x14ac:dyDescent="0.35">
      <c r="A5" s="326" t="s">
        <v>673</v>
      </c>
      <c r="B5" s="326" t="s">
        <v>685</v>
      </c>
      <c r="C5" s="326" t="s">
        <v>799</v>
      </c>
      <c r="D5" s="326"/>
      <c r="E5" s="332" t="s">
        <v>800</v>
      </c>
      <c r="F5" s="332"/>
      <c r="G5" s="328" t="s">
        <v>600</v>
      </c>
      <c r="H5" s="330" t="s">
        <v>688</v>
      </c>
      <c r="I5" s="330"/>
      <c r="J5" s="324" t="s">
        <v>798</v>
      </c>
      <c r="K5" s="132" t="s">
        <v>795</v>
      </c>
      <c r="L5" s="132" t="s">
        <v>796</v>
      </c>
      <c r="M5" s="132" t="s">
        <v>692</v>
      </c>
      <c r="N5" s="325" t="s">
        <v>797</v>
      </c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134" t="s">
        <v>796</v>
      </c>
      <c r="AA5" s="132" t="s">
        <v>692</v>
      </c>
      <c r="AB5" s="327" t="s">
        <v>694</v>
      </c>
    </row>
    <row r="6" spans="1:28" s="135" customFormat="1" ht="15.75" customHeight="1" x14ac:dyDescent="0.35">
      <c r="A6" s="326"/>
      <c r="B6" s="326"/>
      <c r="C6" s="328" t="s">
        <v>697</v>
      </c>
      <c r="D6" s="136" t="s">
        <v>698</v>
      </c>
      <c r="E6" s="328" t="s">
        <v>697</v>
      </c>
      <c r="F6" s="136" t="s">
        <v>698</v>
      </c>
      <c r="G6" s="328"/>
      <c r="H6" s="330"/>
      <c r="I6" s="330"/>
      <c r="J6" s="324"/>
      <c r="K6" s="324" t="s">
        <v>699</v>
      </c>
      <c r="L6" s="324" t="s">
        <v>599</v>
      </c>
      <c r="M6" s="329">
        <v>41275</v>
      </c>
      <c r="N6" s="323">
        <v>41275</v>
      </c>
      <c r="O6" s="323">
        <v>41306</v>
      </c>
      <c r="P6" s="323">
        <v>41334</v>
      </c>
      <c r="Q6" s="323">
        <v>41365</v>
      </c>
      <c r="R6" s="323">
        <v>41395</v>
      </c>
      <c r="S6" s="323">
        <v>41426</v>
      </c>
      <c r="T6" s="323">
        <v>41456</v>
      </c>
      <c r="U6" s="323">
        <v>41487</v>
      </c>
      <c r="V6" s="323">
        <v>41518</v>
      </c>
      <c r="W6" s="323">
        <v>41548</v>
      </c>
      <c r="X6" s="323">
        <v>41579</v>
      </c>
      <c r="Y6" s="323">
        <v>41609</v>
      </c>
      <c r="Z6" s="329" t="s">
        <v>601</v>
      </c>
      <c r="AA6" s="331">
        <v>41639</v>
      </c>
      <c r="AB6" s="327"/>
    </row>
    <row r="7" spans="1:28" s="135" customFormat="1" x14ac:dyDescent="0.35">
      <c r="A7" s="326"/>
      <c r="B7" s="326"/>
      <c r="C7" s="328"/>
      <c r="D7" s="137" t="s">
        <v>700</v>
      </c>
      <c r="E7" s="328"/>
      <c r="F7" s="137" t="s">
        <v>700</v>
      </c>
      <c r="G7" s="328"/>
      <c r="H7" s="137" t="s">
        <v>701</v>
      </c>
      <c r="I7" s="137" t="s">
        <v>702</v>
      </c>
      <c r="J7" s="324"/>
      <c r="K7" s="324"/>
      <c r="L7" s="324"/>
      <c r="M7" s="329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9"/>
      <c r="AA7" s="331"/>
      <c r="AB7" s="327"/>
    </row>
    <row r="8" spans="1:28" s="135" customFormat="1" x14ac:dyDescent="0.35">
      <c r="A8" s="319" t="s">
        <v>703</v>
      </c>
      <c r="B8" s="319"/>
      <c r="C8" s="319"/>
      <c r="D8" s="319"/>
      <c r="E8" s="319"/>
      <c r="F8" s="319"/>
      <c r="G8" s="319"/>
      <c r="H8" s="319"/>
      <c r="I8" s="138" t="s">
        <v>704</v>
      </c>
      <c r="J8" s="139" t="s">
        <v>703</v>
      </c>
      <c r="K8" s="138" t="s">
        <v>704</v>
      </c>
      <c r="L8" s="139" t="s">
        <v>703</v>
      </c>
      <c r="M8" s="138" t="s">
        <v>704</v>
      </c>
      <c r="N8" s="138" t="s">
        <v>704</v>
      </c>
      <c r="O8" s="138" t="s">
        <v>704</v>
      </c>
      <c r="P8" s="138" t="s">
        <v>704</v>
      </c>
      <c r="Q8" s="138" t="s">
        <v>704</v>
      </c>
      <c r="R8" s="138" t="s">
        <v>704</v>
      </c>
      <c r="S8" s="138" t="s">
        <v>704</v>
      </c>
      <c r="T8" s="138" t="s">
        <v>704</v>
      </c>
      <c r="U8" s="138" t="s">
        <v>704</v>
      </c>
      <c r="V8" s="138" t="s">
        <v>704</v>
      </c>
      <c r="W8" s="138" t="s">
        <v>704</v>
      </c>
      <c r="X8" s="138" t="s">
        <v>704</v>
      </c>
      <c r="Y8" s="138" t="s">
        <v>704</v>
      </c>
      <c r="Z8" s="138" t="s">
        <v>704</v>
      </c>
      <c r="AA8" s="138" t="s">
        <v>704</v>
      </c>
      <c r="AB8" s="139" t="s">
        <v>703</v>
      </c>
    </row>
    <row r="9" spans="1:28" x14ac:dyDescent="0.35">
      <c r="A9" s="140"/>
      <c r="B9" s="141"/>
      <c r="C9" s="141"/>
      <c r="D9" s="141"/>
      <c r="E9" s="141"/>
      <c r="F9" s="141"/>
      <c r="G9" s="142"/>
      <c r="H9" s="143"/>
      <c r="I9" s="144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5"/>
    </row>
    <row r="10" spans="1:28" x14ac:dyDescent="0.35">
      <c r="A10" s="146">
        <v>1</v>
      </c>
      <c r="B10" s="141">
        <v>1</v>
      </c>
      <c r="C10" s="142">
        <v>2012</v>
      </c>
      <c r="D10" s="141">
        <v>9.00000068654135</v>
      </c>
      <c r="E10" s="141">
        <v>2013</v>
      </c>
      <c r="F10" s="141">
        <v>8</v>
      </c>
      <c r="G10" s="142" t="s">
        <v>801</v>
      </c>
      <c r="H10" s="143">
        <v>1</v>
      </c>
      <c r="I10" s="144">
        <f>+H10*12</f>
        <v>12</v>
      </c>
      <c r="J10" s="140">
        <v>20683386.399999999</v>
      </c>
      <c r="K10" s="140">
        <f>J10/I10</f>
        <v>1723615.5333333332</v>
      </c>
      <c r="L10" s="168">
        <f>4*K10</f>
        <v>6894462.1333333328</v>
      </c>
      <c r="M10" s="140">
        <f>J10-L10</f>
        <v>13788924.266666666</v>
      </c>
      <c r="N10" s="140">
        <f>$K$10</f>
        <v>1723615.5333333332</v>
      </c>
      <c r="O10" s="140">
        <f t="shared" ref="O10:U10" si="0">$K$10</f>
        <v>1723615.5333333332</v>
      </c>
      <c r="P10" s="140">
        <f t="shared" si="0"/>
        <v>1723615.5333333332</v>
      </c>
      <c r="Q10" s="140">
        <f t="shared" si="0"/>
        <v>1723615.5333333332</v>
      </c>
      <c r="R10" s="140">
        <f t="shared" si="0"/>
        <v>1723615.5333333332</v>
      </c>
      <c r="S10" s="140">
        <f t="shared" si="0"/>
        <v>1723615.5333333332</v>
      </c>
      <c r="T10" s="140">
        <f t="shared" si="0"/>
        <v>1723615.5333333332</v>
      </c>
      <c r="U10" s="140">
        <f t="shared" si="0"/>
        <v>1723615.5333333332</v>
      </c>
      <c r="V10" s="140"/>
      <c r="W10" s="140"/>
      <c r="X10" s="140"/>
      <c r="Y10" s="140"/>
      <c r="Z10" s="140">
        <f>L10+N10+O10+P10+Q10+R10+S10+T10+U10+V10+W10+X10+Y10</f>
        <v>20683386.399999999</v>
      </c>
      <c r="AA10" s="169">
        <f>M10-N10-O10-P10-Q10-R10-S10-T10-U10-V10-W10-X10-Y10</f>
        <v>0</v>
      </c>
      <c r="AB10" s="147" t="s">
        <v>710</v>
      </c>
    </row>
    <row r="11" spans="1:28" x14ac:dyDescent="0.35">
      <c r="A11" s="146">
        <v>2</v>
      </c>
      <c r="B11" s="141">
        <v>1</v>
      </c>
      <c r="C11" s="142">
        <v>2012</v>
      </c>
      <c r="D11" s="141">
        <v>9.00000068654135</v>
      </c>
      <c r="E11" s="141">
        <v>2014</v>
      </c>
      <c r="F11" s="141">
        <v>8</v>
      </c>
      <c r="G11" s="142" t="s">
        <v>802</v>
      </c>
      <c r="H11" s="143">
        <v>2</v>
      </c>
      <c r="I11" s="144">
        <f t="shared" ref="I11:I18" si="1">+H11*12</f>
        <v>24</v>
      </c>
      <c r="J11" s="140">
        <v>945000</v>
      </c>
      <c r="K11" s="140">
        <f t="shared" ref="K11:K20" si="2">J11/I11</f>
        <v>39375</v>
      </c>
      <c r="L11" s="168">
        <f t="shared" ref="L11:L20" si="3">4*K11</f>
        <v>157500</v>
      </c>
      <c r="M11" s="140">
        <f t="shared" ref="M11:M20" si="4">J11-L11</f>
        <v>787500</v>
      </c>
      <c r="N11" s="140">
        <f>$K$11</f>
        <v>39375</v>
      </c>
      <c r="O11" s="140">
        <f t="shared" ref="O11:Y11" si="5">$K$11</f>
        <v>39375</v>
      </c>
      <c r="P11" s="140">
        <f t="shared" si="5"/>
        <v>39375</v>
      </c>
      <c r="Q11" s="140">
        <f t="shared" si="5"/>
        <v>39375</v>
      </c>
      <c r="R11" s="140">
        <f t="shared" si="5"/>
        <v>39375</v>
      </c>
      <c r="S11" s="140">
        <f t="shared" si="5"/>
        <v>39375</v>
      </c>
      <c r="T11" s="140">
        <f t="shared" si="5"/>
        <v>39375</v>
      </c>
      <c r="U11" s="140">
        <f t="shared" si="5"/>
        <v>39375</v>
      </c>
      <c r="V11" s="140">
        <f t="shared" si="5"/>
        <v>39375</v>
      </c>
      <c r="W11" s="140">
        <f t="shared" si="5"/>
        <v>39375</v>
      </c>
      <c r="X11" s="140">
        <f t="shared" si="5"/>
        <v>39375</v>
      </c>
      <c r="Y11" s="140">
        <f t="shared" si="5"/>
        <v>39375</v>
      </c>
      <c r="Z11" s="140">
        <f t="shared" ref="Z11:Z20" si="6">L11+N11+O11+P11+Q11+R11+S11+T11+U11+V11+W11+X11+Y11</f>
        <v>630000</v>
      </c>
      <c r="AA11" s="169">
        <f t="shared" ref="AA11:AA20" si="7">M11-N11-O11-P11-Q11-R11-S11-T11-U11-V11-W11-X11-Y11</f>
        <v>315000</v>
      </c>
      <c r="AB11" s="147" t="s">
        <v>716</v>
      </c>
    </row>
    <row r="12" spans="1:28" x14ac:dyDescent="0.35">
      <c r="A12" s="146">
        <v>3</v>
      </c>
      <c r="B12" s="141">
        <v>1</v>
      </c>
      <c r="C12" s="142">
        <v>2012</v>
      </c>
      <c r="D12" s="141">
        <v>9.00000068654135</v>
      </c>
      <c r="E12" s="141">
        <v>2013</v>
      </c>
      <c r="F12" s="141">
        <v>8</v>
      </c>
      <c r="G12" s="142" t="s">
        <v>94</v>
      </c>
      <c r="H12" s="143">
        <v>1</v>
      </c>
      <c r="I12" s="144">
        <f t="shared" si="1"/>
        <v>12</v>
      </c>
      <c r="J12" s="140">
        <v>13688227.300000001</v>
      </c>
      <c r="K12" s="140">
        <f t="shared" si="2"/>
        <v>1140685.6083333334</v>
      </c>
      <c r="L12" s="168">
        <f t="shared" si="3"/>
        <v>4562742.4333333336</v>
      </c>
      <c r="M12" s="140">
        <f t="shared" si="4"/>
        <v>9125484.8666666672</v>
      </c>
      <c r="N12" s="140">
        <f>$K$12</f>
        <v>1140685.6083333334</v>
      </c>
      <c r="O12" s="140">
        <f t="shared" ref="O12:U12" si="8">$K$12</f>
        <v>1140685.6083333334</v>
      </c>
      <c r="P12" s="140">
        <f t="shared" si="8"/>
        <v>1140685.6083333334</v>
      </c>
      <c r="Q12" s="140">
        <f t="shared" si="8"/>
        <v>1140685.6083333334</v>
      </c>
      <c r="R12" s="140">
        <f t="shared" si="8"/>
        <v>1140685.6083333334</v>
      </c>
      <c r="S12" s="140">
        <f t="shared" si="8"/>
        <v>1140685.6083333334</v>
      </c>
      <c r="T12" s="140">
        <f t="shared" si="8"/>
        <v>1140685.6083333334</v>
      </c>
      <c r="U12" s="140">
        <f t="shared" si="8"/>
        <v>1140685.6083333334</v>
      </c>
      <c r="V12" s="140"/>
      <c r="W12" s="140"/>
      <c r="X12" s="140"/>
      <c r="Y12" s="140"/>
      <c r="Z12" s="140">
        <f t="shared" si="6"/>
        <v>13688227.300000004</v>
      </c>
      <c r="AA12" s="169">
        <f t="shared" si="7"/>
        <v>0</v>
      </c>
      <c r="AB12" s="147" t="s">
        <v>719</v>
      </c>
    </row>
    <row r="13" spans="1:28" x14ac:dyDescent="0.35">
      <c r="A13" s="146">
        <v>4</v>
      </c>
      <c r="B13" s="141">
        <v>1</v>
      </c>
      <c r="C13" s="142">
        <v>2012</v>
      </c>
      <c r="D13" s="141">
        <v>9.00000068654135</v>
      </c>
      <c r="E13" s="141">
        <v>2014</v>
      </c>
      <c r="F13" s="141">
        <v>8</v>
      </c>
      <c r="G13" s="142" t="s">
        <v>801</v>
      </c>
      <c r="H13" s="143">
        <v>2</v>
      </c>
      <c r="I13" s="144">
        <f t="shared" si="1"/>
        <v>24</v>
      </c>
      <c r="J13" s="140">
        <v>23406090.899999999</v>
      </c>
      <c r="K13" s="140">
        <f t="shared" si="2"/>
        <v>975253.78749999998</v>
      </c>
      <c r="L13" s="168">
        <f t="shared" si="3"/>
        <v>3901015.15</v>
      </c>
      <c r="M13" s="140">
        <f t="shared" si="4"/>
        <v>19505075.75</v>
      </c>
      <c r="N13" s="140">
        <f>$K$13</f>
        <v>975253.78749999998</v>
      </c>
      <c r="O13" s="140">
        <f t="shared" ref="O13:Y13" si="9">$K$13</f>
        <v>975253.78749999998</v>
      </c>
      <c r="P13" s="140">
        <f t="shared" si="9"/>
        <v>975253.78749999998</v>
      </c>
      <c r="Q13" s="140">
        <f t="shared" si="9"/>
        <v>975253.78749999998</v>
      </c>
      <c r="R13" s="140">
        <f t="shared" si="9"/>
        <v>975253.78749999998</v>
      </c>
      <c r="S13" s="140">
        <f t="shared" si="9"/>
        <v>975253.78749999998</v>
      </c>
      <c r="T13" s="140">
        <f t="shared" si="9"/>
        <v>975253.78749999998</v>
      </c>
      <c r="U13" s="140">
        <f t="shared" si="9"/>
        <v>975253.78749999998</v>
      </c>
      <c r="V13" s="140">
        <f t="shared" si="9"/>
        <v>975253.78749999998</v>
      </c>
      <c r="W13" s="140">
        <f t="shared" si="9"/>
        <v>975253.78749999998</v>
      </c>
      <c r="X13" s="140">
        <f t="shared" si="9"/>
        <v>975253.78749999998</v>
      </c>
      <c r="Y13" s="140">
        <f t="shared" si="9"/>
        <v>975253.78749999998</v>
      </c>
      <c r="Z13" s="140">
        <f t="shared" si="6"/>
        <v>15604060.599999996</v>
      </c>
      <c r="AA13" s="169">
        <f t="shared" si="7"/>
        <v>7802030.3000000007</v>
      </c>
      <c r="AB13" s="147" t="s">
        <v>725</v>
      </c>
    </row>
    <row r="14" spans="1:28" x14ac:dyDescent="0.35">
      <c r="A14" s="146">
        <v>5</v>
      </c>
      <c r="B14" s="141">
        <v>1</v>
      </c>
      <c r="C14" s="142">
        <v>2012</v>
      </c>
      <c r="D14" s="141">
        <v>9.00000068654135</v>
      </c>
      <c r="E14" s="141">
        <v>2013</v>
      </c>
      <c r="F14" s="141">
        <v>8</v>
      </c>
      <c r="G14" s="142" t="s">
        <v>802</v>
      </c>
      <c r="H14" s="143">
        <v>1</v>
      </c>
      <c r="I14" s="144">
        <f t="shared" si="1"/>
        <v>12</v>
      </c>
      <c r="J14" s="140">
        <v>13055318.199999999</v>
      </c>
      <c r="K14" s="140">
        <f t="shared" si="2"/>
        <v>1087943.1833333333</v>
      </c>
      <c r="L14" s="168">
        <f t="shared" si="3"/>
        <v>4351772.7333333334</v>
      </c>
      <c r="M14" s="140">
        <f t="shared" si="4"/>
        <v>8703545.4666666649</v>
      </c>
      <c r="N14" s="140">
        <f>$K$14</f>
        <v>1087943.1833333333</v>
      </c>
      <c r="O14" s="140">
        <f t="shared" ref="O14:U14" si="10">$K$14</f>
        <v>1087943.1833333333</v>
      </c>
      <c r="P14" s="140">
        <f t="shared" si="10"/>
        <v>1087943.1833333333</v>
      </c>
      <c r="Q14" s="140">
        <f t="shared" si="10"/>
        <v>1087943.1833333333</v>
      </c>
      <c r="R14" s="140">
        <f t="shared" si="10"/>
        <v>1087943.1833333333</v>
      </c>
      <c r="S14" s="140">
        <f t="shared" si="10"/>
        <v>1087943.1833333333</v>
      </c>
      <c r="T14" s="140">
        <f t="shared" si="10"/>
        <v>1087943.1833333333</v>
      </c>
      <c r="U14" s="140">
        <f t="shared" si="10"/>
        <v>1087943.1833333333</v>
      </c>
      <c r="V14" s="140"/>
      <c r="W14" s="140"/>
      <c r="X14" s="140"/>
      <c r="Y14" s="140"/>
      <c r="Z14" s="140">
        <f t="shared" si="6"/>
        <v>13055318.200000001</v>
      </c>
      <c r="AA14" s="169">
        <f t="shared" si="7"/>
        <v>-3.2596290111541748E-9</v>
      </c>
      <c r="AB14" s="147" t="s">
        <v>731</v>
      </c>
    </row>
    <row r="15" spans="1:28" x14ac:dyDescent="0.35">
      <c r="A15" s="146">
        <v>6</v>
      </c>
      <c r="B15" s="141">
        <v>1</v>
      </c>
      <c r="C15" s="142">
        <v>2012</v>
      </c>
      <c r="D15" s="141">
        <v>9.00000068654135</v>
      </c>
      <c r="E15" s="141">
        <v>2014</v>
      </c>
      <c r="F15" s="141">
        <v>8</v>
      </c>
      <c r="G15" s="142" t="s">
        <v>94</v>
      </c>
      <c r="H15" s="143">
        <v>2</v>
      </c>
      <c r="I15" s="144">
        <f t="shared" si="1"/>
        <v>24</v>
      </c>
      <c r="J15" s="140">
        <v>982409.1</v>
      </c>
      <c r="K15" s="140">
        <f t="shared" si="2"/>
        <v>40933.712500000001</v>
      </c>
      <c r="L15" s="168">
        <f t="shared" si="3"/>
        <v>163734.85</v>
      </c>
      <c r="M15" s="140">
        <f t="shared" si="4"/>
        <v>818674.25</v>
      </c>
      <c r="N15" s="140">
        <f>$K$15</f>
        <v>40933.712500000001</v>
      </c>
      <c r="O15" s="140">
        <f t="shared" ref="O15:Y15" si="11">$K$15</f>
        <v>40933.712500000001</v>
      </c>
      <c r="P15" s="140">
        <f t="shared" si="11"/>
        <v>40933.712500000001</v>
      </c>
      <c r="Q15" s="140">
        <f t="shared" si="11"/>
        <v>40933.712500000001</v>
      </c>
      <c r="R15" s="140">
        <f t="shared" si="11"/>
        <v>40933.712500000001</v>
      </c>
      <c r="S15" s="140">
        <f t="shared" si="11"/>
        <v>40933.712500000001</v>
      </c>
      <c r="T15" s="140">
        <f t="shared" si="11"/>
        <v>40933.712500000001</v>
      </c>
      <c r="U15" s="140">
        <f t="shared" si="11"/>
        <v>40933.712500000001</v>
      </c>
      <c r="V15" s="140">
        <f t="shared" si="11"/>
        <v>40933.712500000001</v>
      </c>
      <c r="W15" s="140">
        <f t="shared" si="11"/>
        <v>40933.712500000001</v>
      </c>
      <c r="X15" s="140">
        <f t="shared" si="11"/>
        <v>40933.712500000001</v>
      </c>
      <c r="Y15" s="140">
        <f t="shared" si="11"/>
        <v>40933.712500000001</v>
      </c>
      <c r="Z15" s="140">
        <f t="shared" si="6"/>
        <v>654939.40000000014</v>
      </c>
      <c r="AA15" s="169">
        <f t="shared" si="7"/>
        <v>327469.69999999972</v>
      </c>
      <c r="AB15" s="147" t="s">
        <v>736</v>
      </c>
    </row>
    <row r="16" spans="1:28" x14ac:dyDescent="0.35">
      <c r="A16" s="146">
        <v>7</v>
      </c>
      <c r="B16" s="141">
        <v>1</v>
      </c>
      <c r="C16" s="142">
        <v>2012</v>
      </c>
      <c r="D16" s="141">
        <v>9.00000068654135</v>
      </c>
      <c r="E16" s="141">
        <v>2013</v>
      </c>
      <c r="F16" s="141">
        <v>8</v>
      </c>
      <c r="G16" s="142" t="s">
        <v>801</v>
      </c>
      <c r="H16" s="143">
        <v>1</v>
      </c>
      <c r="I16" s="144">
        <f t="shared" si="1"/>
        <v>12</v>
      </c>
      <c r="J16" s="140">
        <v>25179318.199999999</v>
      </c>
      <c r="K16" s="140">
        <f t="shared" si="2"/>
        <v>2098276.5166666666</v>
      </c>
      <c r="L16" s="168">
        <f t="shared" si="3"/>
        <v>8393106.0666666664</v>
      </c>
      <c r="M16" s="140">
        <f t="shared" si="4"/>
        <v>16786212.133333333</v>
      </c>
      <c r="N16" s="140">
        <f>$K$16</f>
        <v>2098276.5166666666</v>
      </c>
      <c r="O16" s="140">
        <f t="shared" ref="O16:U16" si="12">$K$16</f>
        <v>2098276.5166666666</v>
      </c>
      <c r="P16" s="140">
        <f t="shared" si="12"/>
        <v>2098276.5166666666</v>
      </c>
      <c r="Q16" s="140">
        <f t="shared" si="12"/>
        <v>2098276.5166666666</v>
      </c>
      <c r="R16" s="140">
        <f t="shared" si="12"/>
        <v>2098276.5166666666</v>
      </c>
      <c r="S16" s="140">
        <f t="shared" si="12"/>
        <v>2098276.5166666666</v>
      </c>
      <c r="T16" s="140">
        <f t="shared" si="12"/>
        <v>2098276.5166666666</v>
      </c>
      <c r="U16" s="140">
        <f t="shared" si="12"/>
        <v>2098276.5166666666</v>
      </c>
      <c r="V16" s="140"/>
      <c r="W16" s="140"/>
      <c r="X16" s="140"/>
      <c r="Y16" s="140"/>
      <c r="Z16" s="140">
        <f t="shared" si="6"/>
        <v>25179318.199999992</v>
      </c>
      <c r="AA16" s="169">
        <f t="shared" si="7"/>
        <v>3.7252902984619141E-9</v>
      </c>
      <c r="AB16" s="147" t="s">
        <v>742</v>
      </c>
    </row>
    <row r="17" spans="1:28" x14ac:dyDescent="0.35">
      <c r="A17" s="146">
        <v>8</v>
      </c>
      <c r="B17" s="141">
        <v>1</v>
      </c>
      <c r="C17" s="142">
        <v>2012</v>
      </c>
      <c r="D17" s="141">
        <v>9.00000068654135</v>
      </c>
      <c r="E17" s="141">
        <v>2014</v>
      </c>
      <c r="F17" s="141">
        <v>8</v>
      </c>
      <c r="G17" s="142" t="s">
        <v>802</v>
      </c>
      <c r="H17" s="143">
        <v>2</v>
      </c>
      <c r="I17" s="144">
        <f t="shared" si="1"/>
        <v>24</v>
      </c>
      <c r="J17" s="140">
        <v>16542409.199999999</v>
      </c>
      <c r="K17" s="140">
        <f t="shared" si="2"/>
        <v>689267.04999999993</v>
      </c>
      <c r="L17" s="168">
        <f t="shared" si="3"/>
        <v>2757068.1999999997</v>
      </c>
      <c r="M17" s="140">
        <f t="shared" si="4"/>
        <v>13785341</v>
      </c>
      <c r="N17" s="140">
        <f>$K$17</f>
        <v>689267.04999999993</v>
      </c>
      <c r="O17" s="140">
        <f t="shared" ref="O17:Y17" si="13">$K$17</f>
        <v>689267.04999999993</v>
      </c>
      <c r="P17" s="140">
        <f t="shared" si="13"/>
        <v>689267.04999999993</v>
      </c>
      <c r="Q17" s="140">
        <f t="shared" si="13"/>
        <v>689267.04999999993</v>
      </c>
      <c r="R17" s="140">
        <f t="shared" si="13"/>
        <v>689267.04999999993</v>
      </c>
      <c r="S17" s="140">
        <f t="shared" si="13"/>
        <v>689267.04999999993</v>
      </c>
      <c r="T17" s="140">
        <f t="shared" si="13"/>
        <v>689267.04999999993</v>
      </c>
      <c r="U17" s="140">
        <f t="shared" si="13"/>
        <v>689267.04999999993</v>
      </c>
      <c r="V17" s="140">
        <f t="shared" si="13"/>
        <v>689267.04999999993</v>
      </c>
      <c r="W17" s="140">
        <f t="shared" si="13"/>
        <v>689267.04999999993</v>
      </c>
      <c r="X17" s="140">
        <f t="shared" si="13"/>
        <v>689267.04999999993</v>
      </c>
      <c r="Y17" s="140">
        <f t="shared" si="13"/>
        <v>689267.04999999993</v>
      </c>
      <c r="Z17" s="140">
        <f t="shared" si="6"/>
        <v>11028272.800000001</v>
      </c>
      <c r="AA17" s="169">
        <f t="shared" si="7"/>
        <v>5514136.3999999957</v>
      </c>
      <c r="AB17" s="147" t="s">
        <v>747</v>
      </c>
    </row>
    <row r="18" spans="1:28" x14ac:dyDescent="0.35">
      <c r="A18" s="146">
        <v>9</v>
      </c>
      <c r="B18" s="141">
        <v>1</v>
      </c>
      <c r="C18" s="142">
        <v>2012</v>
      </c>
      <c r="D18" s="141">
        <v>9.00000068654135</v>
      </c>
      <c r="E18" s="141">
        <v>2013</v>
      </c>
      <c r="F18" s="141">
        <v>8</v>
      </c>
      <c r="G18" s="142" t="s">
        <v>94</v>
      </c>
      <c r="H18" s="143">
        <v>1</v>
      </c>
      <c r="I18" s="144">
        <f t="shared" si="1"/>
        <v>12</v>
      </c>
      <c r="J18" s="140">
        <v>24495045.5</v>
      </c>
      <c r="K18" s="140">
        <f t="shared" si="2"/>
        <v>2041253.7916666667</v>
      </c>
      <c r="L18" s="168">
        <f t="shared" si="3"/>
        <v>8165015.166666667</v>
      </c>
      <c r="M18" s="140">
        <f t="shared" si="4"/>
        <v>16330030.333333332</v>
      </c>
      <c r="N18" s="140">
        <f>$K$18</f>
        <v>2041253.7916666667</v>
      </c>
      <c r="O18" s="140">
        <f t="shared" ref="O18:U18" si="14">$K$18</f>
        <v>2041253.7916666667</v>
      </c>
      <c r="P18" s="140">
        <f t="shared" si="14"/>
        <v>2041253.7916666667</v>
      </c>
      <c r="Q18" s="140">
        <f t="shared" si="14"/>
        <v>2041253.7916666667</v>
      </c>
      <c r="R18" s="140">
        <f t="shared" si="14"/>
        <v>2041253.7916666667</v>
      </c>
      <c r="S18" s="140">
        <f t="shared" si="14"/>
        <v>2041253.7916666667</v>
      </c>
      <c r="T18" s="140">
        <f t="shared" si="14"/>
        <v>2041253.7916666667</v>
      </c>
      <c r="U18" s="140">
        <f t="shared" si="14"/>
        <v>2041253.7916666667</v>
      </c>
      <c r="V18" s="140"/>
      <c r="W18" s="140"/>
      <c r="X18" s="140"/>
      <c r="Y18" s="140"/>
      <c r="Z18" s="140">
        <f t="shared" si="6"/>
        <v>24495045.500000004</v>
      </c>
      <c r="AA18" s="169">
        <f t="shared" si="7"/>
        <v>-4.6566128730773926E-10</v>
      </c>
      <c r="AB18" s="147" t="s">
        <v>747</v>
      </c>
    </row>
    <row r="19" spans="1:28" x14ac:dyDescent="0.35">
      <c r="A19" s="146">
        <v>10</v>
      </c>
      <c r="B19" s="141">
        <v>1</v>
      </c>
      <c r="C19" s="142">
        <v>2012</v>
      </c>
      <c r="D19" s="141">
        <v>9.00000068654135</v>
      </c>
      <c r="E19" s="141">
        <v>2014</v>
      </c>
      <c r="F19" s="141">
        <v>8</v>
      </c>
      <c r="G19" s="142" t="s">
        <v>801</v>
      </c>
      <c r="H19" s="143">
        <v>2</v>
      </c>
      <c r="I19" s="144">
        <f>+H19*12</f>
        <v>24</v>
      </c>
      <c r="J19" s="140">
        <v>14459227.300000001</v>
      </c>
      <c r="K19" s="140">
        <f t="shared" si="2"/>
        <v>602467.8041666667</v>
      </c>
      <c r="L19" s="168">
        <f t="shared" si="3"/>
        <v>2409871.2166666668</v>
      </c>
      <c r="M19" s="140">
        <f t="shared" si="4"/>
        <v>12049356.083333334</v>
      </c>
      <c r="N19" s="140">
        <f>$K$19</f>
        <v>602467.8041666667</v>
      </c>
      <c r="O19" s="140">
        <f t="shared" ref="O19:Y19" si="15">$K$19</f>
        <v>602467.8041666667</v>
      </c>
      <c r="P19" s="140">
        <f t="shared" si="15"/>
        <v>602467.8041666667</v>
      </c>
      <c r="Q19" s="140">
        <f t="shared" si="15"/>
        <v>602467.8041666667</v>
      </c>
      <c r="R19" s="140">
        <f t="shared" si="15"/>
        <v>602467.8041666667</v>
      </c>
      <c r="S19" s="140">
        <f t="shared" si="15"/>
        <v>602467.8041666667</v>
      </c>
      <c r="T19" s="140">
        <f t="shared" si="15"/>
        <v>602467.8041666667</v>
      </c>
      <c r="U19" s="140">
        <f t="shared" si="15"/>
        <v>602467.8041666667</v>
      </c>
      <c r="V19" s="140">
        <f t="shared" si="15"/>
        <v>602467.8041666667</v>
      </c>
      <c r="W19" s="140">
        <f t="shared" si="15"/>
        <v>602467.8041666667</v>
      </c>
      <c r="X19" s="140">
        <f t="shared" si="15"/>
        <v>602467.8041666667</v>
      </c>
      <c r="Y19" s="140">
        <f t="shared" si="15"/>
        <v>602467.8041666667</v>
      </c>
      <c r="Z19" s="140">
        <f t="shared" si="6"/>
        <v>9639484.8666666709</v>
      </c>
      <c r="AA19" s="169">
        <f t="shared" si="7"/>
        <v>4819742.433333328</v>
      </c>
      <c r="AB19" s="147" t="s">
        <v>759</v>
      </c>
    </row>
    <row r="20" spans="1:28" x14ac:dyDescent="0.35">
      <c r="A20" s="146">
        <v>11</v>
      </c>
      <c r="B20" s="141">
        <v>1</v>
      </c>
      <c r="C20" s="142">
        <v>2012</v>
      </c>
      <c r="D20" s="141">
        <v>9.00000068654135</v>
      </c>
      <c r="E20" s="141">
        <v>2013</v>
      </c>
      <c r="F20" s="141">
        <v>8</v>
      </c>
      <c r="G20" s="142" t="s">
        <v>802</v>
      </c>
      <c r="H20" s="143">
        <v>1</v>
      </c>
      <c r="I20" s="144">
        <f>+H20*12</f>
        <v>12</v>
      </c>
      <c r="J20" s="140">
        <v>13140272.699999999</v>
      </c>
      <c r="K20" s="140">
        <f t="shared" si="2"/>
        <v>1095022.7249999999</v>
      </c>
      <c r="L20" s="168">
        <f t="shared" si="3"/>
        <v>4380090.8999999994</v>
      </c>
      <c r="M20" s="140">
        <f t="shared" si="4"/>
        <v>8760181.8000000007</v>
      </c>
      <c r="N20" s="140">
        <f>$K$20</f>
        <v>1095022.7249999999</v>
      </c>
      <c r="O20" s="140">
        <f t="shared" ref="O20:U20" si="16">$K$20</f>
        <v>1095022.7249999999</v>
      </c>
      <c r="P20" s="140">
        <f t="shared" si="16"/>
        <v>1095022.7249999999</v>
      </c>
      <c r="Q20" s="140">
        <f t="shared" si="16"/>
        <v>1095022.7249999999</v>
      </c>
      <c r="R20" s="140">
        <f t="shared" si="16"/>
        <v>1095022.7249999999</v>
      </c>
      <c r="S20" s="140">
        <f t="shared" si="16"/>
        <v>1095022.7249999999</v>
      </c>
      <c r="T20" s="140">
        <f t="shared" si="16"/>
        <v>1095022.7249999999</v>
      </c>
      <c r="U20" s="140">
        <f t="shared" si="16"/>
        <v>1095022.7249999999</v>
      </c>
      <c r="V20" s="140"/>
      <c r="W20" s="140"/>
      <c r="X20" s="140"/>
      <c r="Y20" s="140"/>
      <c r="Z20" s="140">
        <f t="shared" si="6"/>
        <v>13140272.699999997</v>
      </c>
      <c r="AA20" s="169">
        <f t="shared" si="7"/>
        <v>3.2596290111541748E-9</v>
      </c>
      <c r="AB20" s="147" t="s">
        <v>764</v>
      </c>
    </row>
    <row r="21" spans="1:28" x14ac:dyDescent="0.35">
      <c r="A21" s="146"/>
      <c r="B21" s="141"/>
      <c r="C21" s="142"/>
      <c r="D21" s="141"/>
      <c r="E21" s="141"/>
      <c r="F21" s="141"/>
      <c r="G21" s="142"/>
      <c r="H21" s="143"/>
      <c r="I21" s="144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7"/>
    </row>
    <row r="22" spans="1:28" s="153" customFormat="1" x14ac:dyDescent="0.35">
      <c r="A22" s="320" t="str">
        <f>CONCATENATE("TOTAL ",$B$7)</f>
        <v xml:space="preserve">TOTAL </v>
      </c>
      <c r="B22" s="321"/>
      <c r="C22" s="321"/>
      <c r="D22" s="321"/>
      <c r="E22" s="321"/>
      <c r="F22" s="321"/>
      <c r="G22" s="321"/>
      <c r="H22" s="321"/>
      <c r="I22" s="322"/>
      <c r="J22" s="150">
        <f>SUM(J10:J21)</f>
        <v>166576704.80000001</v>
      </c>
      <c r="K22" s="150">
        <f>SUM(K10:K21)</f>
        <v>11534094.7125</v>
      </c>
      <c r="L22" s="150">
        <f t="shared" ref="L22:AA22" si="17">SUM(L10:L21)</f>
        <v>46136378.850000001</v>
      </c>
      <c r="M22" s="150">
        <f t="shared" si="17"/>
        <v>120440325.94999997</v>
      </c>
      <c r="N22" s="150">
        <f t="shared" si="17"/>
        <v>11534094.7125</v>
      </c>
      <c r="O22" s="150">
        <f t="shared" si="17"/>
        <v>11534094.7125</v>
      </c>
      <c r="P22" s="150">
        <f t="shared" si="17"/>
        <v>11534094.7125</v>
      </c>
      <c r="Q22" s="150">
        <f t="shared" si="17"/>
        <v>11534094.7125</v>
      </c>
      <c r="R22" s="150">
        <f t="shared" si="17"/>
        <v>11534094.7125</v>
      </c>
      <c r="S22" s="150">
        <f t="shared" si="17"/>
        <v>11534094.7125</v>
      </c>
      <c r="T22" s="150">
        <f t="shared" si="17"/>
        <v>11534094.7125</v>
      </c>
      <c r="U22" s="150">
        <f t="shared" si="17"/>
        <v>11534094.7125</v>
      </c>
      <c r="V22" s="150">
        <f t="shared" si="17"/>
        <v>2347297.3541666665</v>
      </c>
      <c r="W22" s="150">
        <f t="shared" si="17"/>
        <v>2347297.3541666665</v>
      </c>
      <c r="X22" s="150">
        <f t="shared" si="17"/>
        <v>2347297.3541666665</v>
      </c>
      <c r="Y22" s="150">
        <f t="shared" si="17"/>
        <v>2347297.3541666665</v>
      </c>
      <c r="Z22" s="150">
        <f>SUM(Z10:Z20)</f>
        <v>147798325.96666664</v>
      </c>
      <c r="AA22" s="150">
        <f t="shared" si="17"/>
        <v>18778378.833333325</v>
      </c>
      <c r="AB22" s="151"/>
    </row>
  </sheetData>
  <mergeCells count="30">
    <mergeCell ref="AB5:AB7"/>
    <mergeCell ref="C6:C7"/>
    <mergeCell ref="E6:E7"/>
    <mergeCell ref="K6:K7"/>
    <mergeCell ref="L6:L7"/>
    <mergeCell ref="M6:M7"/>
    <mergeCell ref="H5:I6"/>
    <mergeCell ref="Z6:Z7"/>
    <mergeCell ref="AA6:AA7"/>
    <mergeCell ref="W6:W7"/>
    <mergeCell ref="X6:X7"/>
    <mergeCell ref="Y6:Y7"/>
    <mergeCell ref="C5:D5"/>
    <mergeCell ref="E5:F5"/>
    <mergeCell ref="G5:G7"/>
    <mergeCell ref="A8:H8"/>
    <mergeCell ref="A22:I22"/>
    <mergeCell ref="T6:T7"/>
    <mergeCell ref="U6:U7"/>
    <mergeCell ref="V6:V7"/>
    <mergeCell ref="N6:N7"/>
    <mergeCell ref="O6:O7"/>
    <mergeCell ref="P6:P7"/>
    <mergeCell ref="Q6:Q7"/>
    <mergeCell ref="R6:R7"/>
    <mergeCell ref="S6:S7"/>
    <mergeCell ref="J5:J7"/>
    <mergeCell ref="N5:Y5"/>
    <mergeCell ref="A5:A7"/>
    <mergeCell ref="B5:B7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W28"/>
  <sheetViews>
    <sheetView workbookViewId="0">
      <pane ySplit="6" topLeftCell="A7" activePane="bottomLeft" state="frozen"/>
      <selection pane="bottomLeft" activeCell="B17" sqref="B17"/>
    </sheetView>
  </sheetViews>
  <sheetFormatPr defaultRowHeight="10.5" x14ac:dyDescent="0.35"/>
  <cols>
    <col min="1" max="1" width="2.81640625" style="28" bestFit="1" customWidth="1"/>
    <col min="2" max="2" width="44.81640625" style="28" bestFit="1" customWidth="1"/>
    <col min="3" max="7" width="11.7265625" style="28" customWidth="1"/>
    <col min="8" max="8" width="20.7265625" style="4" customWidth="1"/>
    <col min="9" max="19" width="8.7265625" style="28" bestFit="1" customWidth="1"/>
    <col min="20" max="20" width="9.6328125" style="28" bestFit="1" customWidth="1"/>
    <col min="21" max="21" width="13.81640625" style="28" bestFit="1" customWidth="1"/>
    <col min="22" max="22" width="11.81640625" style="28" bestFit="1" customWidth="1"/>
    <col min="23" max="23" width="9.7265625" style="28" bestFit="1" customWidth="1"/>
    <col min="24" max="239" width="9.08984375" style="28"/>
    <col min="240" max="240" width="2.81640625" style="28" bestFit="1" customWidth="1"/>
    <col min="241" max="241" width="6.81640625" style="28" bestFit="1" customWidth="1"/>
    <col min="242" max="242" width="4.36328125" style="28" bestFit="1" customWidth="1"/>
    <col min="243" max="243" width="5.6328125" style="28" bestFit="1" customWidth="1"/>
    <col min="244" max="244" width="4" style="28" bestFit="1" customWidth="1"/>
    <col min="245" max="245" width="5.6328125" style="28" bestFit="1" customWidth="1"/>
    <col min="246" max="246" width="9.26953125" style="28" bestFit="1" customWidth="1"/>
    <col min="247" max="247" width="1.81640625" style="28" bestFit="1" customWidth="1"/>
    <col min="248" max="248" width="6.81640625" style="28" bestFit="1" customWidth="1"/>
    <col min="249" max="249" width="10.81640625" style="28" bestFit="1" customWidth="1"/>
    <col min="250" max="250" width="8.7265625" style="28" bestFit="1" customWidth="1"/>
    <col min="251" max="251" width="9.6328125" style="28" bestFit="1" customWidth="1"/>
    <col min="252" max="252" width="12" style="28" bestFit="1" customWidth="1"/>
    <col min="253" max="264" width="8.7265625" style="28" bestFit="1" customWidth="1"/>
    <col min="265" max="265" width="9.6328125" style="28" bestFit="1" customWidth="1"/>
    <col min="266" max="266" width="12" style="28" bestFit="1" customWidth="1"/>
    <col min="267" max="267" width="11.81640625" style="28" bestFit="1" customWidth="1"/>
    <col min="268" max="268" width="13.7265625" style="28" bestFit="1" customWidth="1"/>
    <col min="269" max="269" width="14.08984375" style="28" bestFit="1" customWidth="1"/>
    <col min="270" max="270" width="9.08984375" style="28"/>
    <col min="271" max="271" width="25.26953125" style="28" bestFit="1" customWidth="1"/>
    <col min="272" max="272" width="4.7265625" style="28" bestFit="1" customWidth="1"/>
    <col min="273" max="273" width="1.36328125" style="28" bestFit="1" customWidth="1"/>
    <col min="274" max="274" width="4.26953125" style="28" bestFit="1" customWidth="1"/>
    <col min="275" max="275" width="1.36328125" style="28" bestFit="1" customWidth="1"/>
    <col min="276" max="276" width="5.6328125" style="28" bestFit="1" customWidth="1"/>
    <col min="277" max="277" width="1.36328125" style="28" bestFit="1" customWidth="1"/>
    <col min="278" max="278" width="6.81640625" style="28" bestFit="1" customWidth="1"/>
    <col min="279" max="279" width="13.08984375" style="28" bestFit="1" customWidth="1"/>
    <col min="280" max="495" width="9.08984375" style="28"/>
    <col min="496" max="496" width="2.81640625" style="28" bestFit="1" customWidth="1"/>
    <col min="497" max="497" width="6.81640625" style="28" bestFit="1" customWidth="1"/>
    <col min="498" max="498" width="4.36328125" style="28" bestFit="1" customWidth="1"/>
    <col min="499" max="499" width="5.6328125" style="28" bestFit="1" customWidth="1"/>
    <col min="500" max="500" width="4" style="28" bestFit="1" customWidth="1"/>
    <col min="501" max="501" width="5.6328125" style="28" bestFit="1" customWidth="1"/>
    <col min="502" max="502" width="9.26953125" style="28" bestFit="1" customWidth="1"/>
    <col min="503" max="503" width="1.81640625" style="28" bestFit="1" customWidth="1"/>
    <col min="504" max="504" width="6.81640625" style="28" bestFit="1" customWidth="1"/>
    <col min="505" max="505" width="10.81640625" style="28" bestFit="1" customWidth="1"/>
    <col min="506" max="506" width="8.7265625" style="28" bestFit="1" customWidth="1"/>
    <col min="507" max="507" width="9.6328125" style="28" bestFit="1" customWidth="1"/>
    <col min="508" max="508" width="12" style="28" bestFit="1" customWidth="1"/>
    <col min="509" max="520" width="8.7265625" style="28" bestFit="1" customWidth="1"/>
    <col min="521" max="521" width="9.6328125" style="28" bestFit="1" customWidth="1"/>
    <col min="522" max="522" width="12" style="28" bestFit="1" customWidth="1"/>
    <col min="523" max="523" width="11.81640625" style="28" bestFit="1" customWidth="1"/>
    <col min="524" max="524" width="13.7265625" style="28" bestFit="1" customWidth="1"/>
    <col min="525" max="525" width="14.08984375" style="28" bestFit="1" customWidth="1"/>
    <col min="526" max="526" width="9.08984375" style="28"/>
    <col min="527" max="527" width="25.26953125" style="28" bestFit="1" customWidth="1"/>
    <col min="528" max="528" width="4.7265625" style="28" bestFit="1" customWidth="1"/>
    <col min="529" max="529" width="1.36328125" style="28" bestFit="1" customWidth="1"/>
    <col min="530" max="530" width="4.26953125" style="28" bestFit="1" customWidth="1"/>
    <col min="531" max="531" width="1.36328125" style="28" bestFit="1" customWidth="1"/>
    <col min="532" max="532" width="5.6328125" style="28" bestFit="1" customWidth="1"/>
    <col min="533" max="533" width="1.36328125" style="28" bestFit="1" customWidth="1"/>
    <col min="534" max="534" width="6.81640625" style="28" bestFit="1" customWidth="1"/>
    <col min="535" max="535" width="13.08984375" style="28" bestFit="1" customWidth="1"/>
    <col min="536" max="751" width="9.08984375" style="28"/>
    <col min="752" max="752" width="2.81640625" style="28" bestFit="1" customWidth="1"/>
    <col min="753" max="753" width="6.81640625" style="28" bestFit="1" customWidth="1"/>
    <col min="754" max="754" width="4.36328125" style="28" bestFit="1" customWidth="1"/>
    <col min="755" max="755" width="5.6328125" style="28" bestFit="1" customWidth="1"/>
    <col min="756" max="756" width="4" style="28" bestFit="1" customWidth="1"/>
    <col min="757" max="757" width="5.6328125" style="28" bestFit="1" customWidth="1"/>
    <col min="758" max="758" width="9.26953125" style="28" bestFit="1" customWidth="1"/>
    <col min="759" max="759" width="1.81640625" style="28" bestFit="1" customWidth="1"/>
    <col min="760" max="760" width="6.81640625" style="28" bestFit="1" customWidth="1"/>
    <col min="761" max="761" width="10.81640625" style="28" bestFit="1" customWidth="1"/>
    <col min="762" max="762" width="8.7265625" style="28" bestFit="1" customWidth="1"/>
    <col min="763" max="763" width="9.6328125" style="28" bestFit="1" customWidth="1"/>
    <col min="764" max="764" width="12" style="28" bestFit="1" customWidth="1"/>
    <col min="765" max="776" width="8.7265625" style="28" bestFit="1" customWidth="1"/>
    <col min="777" max="777" width="9.6328125" style="28" bestFit="1" customWidth="1"/>
    <col min="778" max="778" width="12" style="28" bestFit="1" customWidth="1"/>
    <col min="779" max="779" width="11.81640625" style="28" bestFit="1" customWidth="1"/>
    <col min="780" max="780" width="13.7265625" style="28" bestFit="1" customWidth="1"/>
    <col min="781" max="781" width="14.08984375" style="28" bestFit="1" customWidth="1"/>
    <col min="782" max="782" width="9.08984375" style="28"/>
    <col min="783" max="783" width="25.26953125" style="28" bestFit="1" customWidth="1"/>
    <col min="784" max="784" width="4.7265625" style="28" bestFit="1" customWidth="1"/>
    <col min="785" max="785" width="1.36328125" style="28" bestFit="1" customWidth="1"/>
    <col min="786" max="786" width="4.26953125" style="28" bestFit="1" customWidth="1"/>
    <col min="787" max="787" width="1.36328125" style="28" bestFit="1" customWidth="1"/>
    <col min="788" max="788" width="5.6328125" style="28" bestFit="1" customWidth="1"/>
    <col min="789" max="789" width="1.36328125" style="28" bestFit="1" customWidth="1"/>
    <col min="790" max="790" width="6.81640625" style="28" bestFit="1" customWidth="1"/>
    <col min="791" max="791" width="13.08984375" style="28" bestFit="1" customWidth="1"/>
    <col min="792" max="1007" width="9.08984375" style="28"/>
    <col min="1008" max="1008" width="2.81640625" style="28" bestFit="1" customWidth="1"/>
    <col min="1009" max="1009" width="6.81640625" style="28" bestFit="1" customWidth="1"/>
    <col min="1010" max="1010" width="4.36328125" style="28" bestFit="1" customWidth="1"/>
    <col min="1011" max="1011" width="5.6328125" style="28" bestFit="1" customWidth="1"/>
    <col min="1012" max="1012" width="4" style="28" bestFit="1" customWidth="1"/>
    <col min="1013" max="1013" width="5.6328125" style="28" bestFit="1" customWidth="1"/>
    <col min="1014" max="1014" width="9.26953125" style="28" bestFit="1" customWidth="1"/>
    <col min="1015" max="1015" width="1.81640625" style="28" bestFit="1" customWidth="1"/>
    <col min="1016" max="1016" width="6.81640625" style="28" bestFit="1" customWidth="1"/>
    <col min="1017" max="1017" width="10.81640625" style="28" bestFit="1" customWidth="1"/>
    <col min="1018" max="1018" width="8.7265625" style="28" bestFit="1" customWidth="1"/>
    <col min="1019" max="1019" width="9.6328125" style="28" bestFit="1" customWidth="1"/>
    <col min="1020" max="1020" width="12" style="28" bestFit="1" customWidth="1"/>
    <col min="1021" max="1032" width="8.7265625" style="28" bestFit="1" customWidth="1"/>
    <col min="1033" max="1033" width="9.6328125" style="28" bestFit="1" customWidth="1"/>
    <col min="1034" max="1034" width="12" style="28" bestFit="1" customWidth="1"/>
    <col min="1035" max="1035" width="11.81640625" style="28" bestFit="1" customWidth="1"/>
    <col min="1036" max="1036" width="13.7265625" style="28" bestFit="1" customWidth="1"/>
    <col min="1037" max="1037" width="14.08984375" style="28" bestFit="1" customWidth="1"/>
    <col min="1038" max="1038" width="9.08984375" style="28"/>
    <col min="1039" max="1039" width="25.26953125" style="28" bestFit="1" customWidth="1"/>
    <col min="1040" max="1040" width="4.7265625" style="28" bestFit="1" customWidth="1"/>
    <col min="1041" max="1041" width="1.36328125" style="28" bestFit="1" customWidth="1"/>
    <col min="1042" max="1042" width="4.26953125" style="28" bestFit="1" customWidth="1"/>
    <col min="1043" max="1043" width="1.36328125" style="28" bestFit="1" customWidth="1"/>
    <col min="1044" max="1044" width="5.6328125" style="28" bestFit="1" customWidth="1"/>
    <col min="1045" max="1045" width="1.36328125" style="28" bestFit="1" customWidth="1"/>
    <col min="1046" max="1046" width="6.81640625" style="28" bestFit="1" customWidth="1"/>
    <col min="1047" max="1047" width="13.08984375" style="28" bestFit="1" customWidth="1"/>
    <col min="1048" max="1263" width="9.08984375" style="28"/>
    <col min="1264" max="1264" width="2.81640625" style="28" bestFit="1" customWidth="1"/>
    <col min="1265" max="1265" width="6.81640625" style="28" bestFit="1" customWidth="1"/>
    <col min="1266" max="1266" width="4.36328125" style="28" bestFit="1" customWidth="1"/>
    <col min="1267" max="1267" width="5.6328125" style="28" bestFit="1" customWidth="1"/>
    <col min="1268" max="1268" width="4" style="28" bestFit="1" customWidth="1"/>
    <col min="1269" max="1269" width="5.6328125" style="28" bestFit="1" customWidth="1"/>
    <col min="1270" max="1270" width="9.26953125" style="28" bestFit="1" customWidth="1"/>
    <col min="1271" max="1271" width="1.81640625" style="28" bestFit="1" customWidth="1"/>
    <col min="1272" max="1272" width="6.81640625" style="28" bestFit="1" customWidth="1"/>
    <col min="1273" max="1273" width="10.81640625" style="28" bestFit="1" customWidth="1"/>
    <col min="1274" max="1274" width="8.7265625" style="28" bestFit="1" customWidth="1"/>
    <col min="1275" max="1275" width="9.6328125" style="28" bestFit="1" customWidth="1"/>
    <col min="1276" max="1276" width="12" style="28" bestFit="1" customWidth="1"/>
    <col min="1277" max="1288" width="8.7265625" style="28" bestFit="1" customWidth="1"/>
    <col min="1289" max="1289" width="9.6328125" style="28" bestFit="1" customWidth="1"/>
    <col min="1290" max="1290" width="12" style="28" bestFit="1" customWidth="1"/>
    <col min="1291" max="1291" width="11.81640625" style="28" bestFit="1" customWidth="1"/>
    <col min="1292" max="1292" width="13.7265625" style="28" bestFit="1" customWidth="1"/>
    <col min="1293" max="1293" width="14.08984375" style="28" bestFit="1" customWidth="1"/>
    <col min="1294" max="1294" width="9.08984375" style="28"/>
    <col min="1295" max="1295" width="25.26953125" style="28" bestFit="1" customWidth="1"/>
    <col min="1296" max="1296" width="4.7265625" style="28" bestFit="1" customWidth="1"/>
    <col min="1297" max="1297" width="1.36328125" style="28" bestFit="1" customWidth="1"/>
    <col min="1298" max="1298" width="4.26953125" style="28" bestFit="1" customWidth="1"/>
    <col min="1299" max="1299" width="1.36328125" style="28" bestFit="1" customWidth="1"/>
    <col min="1300" max="1300" width="5.6328125" style="28" bestFit="1" customWidth="1"/>
    <col min="1301" max="1301" width="1.36328125" style="28" bestFit="1" customWidth="1"/>
    <col min="1302" max="1302" width="6.81640625" style="28" bestFit="1" customWidth="1"/>
    <col min="1303" max="1303" width="13.08984375" style="28" bestFit="1" customWidth="1"/>
    <col min="1304" max="1519" width="9.08984375" style="28"/>
    <col min="1520" max="1520" width="2.81640625" style="28" bestFit="1" customWidth="1"/>
    <col min="1521" max="1521" width="6.81640625" style="28" bestFit="1" customWidth="1"/>
    <col min="1522" max="1522" width="4.36328125" style="28" bestFit="1" customWidth="1"/>
    <col min="1523" max="1523" width="5.6328125" style="28" bestFit="1" customWidth="1"/>
    <col min="1524" max="1524" width="4" style="28" bestFit="1" customWidth="1"/>
    <col min="1525" max="1525" width="5.6328125" style="28" bestFit="1" customWidth="1"/>
    <col min="1526" max="1526" width="9.26953125" style="28" bestFit="1" customWidth="1"/>
    <col min="1527" max="1527" width="1.81640625" style="28" bestFit="1" customWidth="1"/>
    <col min="1528" max="1528" width="6.81640625" style="28" bestFit="1" customWidth="1"/>
    <col min="1529" max="1529" width="10.81640625" style="28" bestFit="1" customWidth="1"/>
    <col min="1530" max="1530" width="8.7265625" style="28" bestFit="1" customWidth="1"/>
    <col min="1531" max="1531" width="9.6328125" style="28" bestFit="1" customWidth="1"/>
    <col min="1532" max="1532" width="12" style="28" bestFit="1" customWidth="1"/>
    <col min="1533" max="1544" width="8.7265625" style="28" bestFit="1" customWidth="1"/>
    <col min="1545" max="1545" width="9.6328125" style="28" bestFit="1" customWidth="1"/>
    <col min="1546" max="1546" width="12" style="28" bestFit="1" customWidth="1"/>
    <col min="1547" max="1547" width="11.81640625" style="28" bestFit="1" customWidth="1"/>
    <col min="1548" max="1548" width="13.7265625" style="28" bestFit="1" customWidth="1"/>
    <col min="1549" max="1549" width="14.08984375" style="28" bestFit="1" customWidth="1"/>
    <col min="1550" max="1550" width="9.08984375" style="28"/>
    <col min="1551" max="1551" width="25.26953125" style="28" bestFit="1" customWidth="1"/>
    <col min="1552" max="1552" width="4.7265625" style="28" bestFit="1" customWidth="1"/>
    <col min="1553" max="1553" width="1.36328125" style="28" bestFit="1" customWidth="1"/>
    <col min="1554" max="1554" width="4.26953125" style="28" bestFit="1" customWidth="1"/>
    <col min="1555" max="1555" width="1.36328125" style="28" bestFit="1" customWidth="1"/>
    <col min="1556" max="1556" width="5.6328125" style="28" bestFit="1" customWidth="1"/>
    <col min="1557" max="1557" width="1.36328125" style="28" bestFit="1" customWidth="1"/>
    <col min="1558" max="1558" width="6.81640625" style="28" bestFit="1" customWidth="1"/>
    <col min="1559" max="1559" width="13.08984375" style="28" bestFit="1" customWidth="1"/>
    <col min="1560" max="1775" width="9.08984375" style="28"/>
    <col min="1776" max="1776" width="2.81640625" style="28" bestFit="1" customWidth="1"/>
    <col min="1777" max="1777" width="6.81640625" style="28" bestFit="1" customWidth="1"/>
    <col min="1778" max="1778" width="4.36328125" style="28" bestFit="1" customWidth="1"/>
    <col min="1779" max="1779" width="5.6328125" style="28" bestFit="1" customWidth="1"/>
    <col min="1780" max="1780" width="4" style="28" bestFit="1" customWidth="1"/>
    <col min="1781" max="1781" width="5.6328125" style="28" bestFit="1" customWidth="1"/>
    <col min="1782" max="1782" width="9.26953125" style="28" bestFit="1" customWidth="1"/>
    <col min="1783" max="1783" width="1.81640625" style="28" bestFit="1" customWidth="1"/>
    <col min="1784" max="1784" width="6.81640625" style="28" bestFit="1" customWidth="1"/>
    <col min="1785" max="1785" width="10.81640625" style="28" bestFit="1" customWidth="1"/>
    <col min="1786" max="1786" width="8.7265625" style="28" bestFit="1" customWidth="1"/>
    <col min="1787" max="1787" width="9.6328125" style="28" bestFit="1" customWidth="1"/>
    <col min="1788" max="1788" width="12" style="28" bestFit="1" customWidth="1"/>
    <col min="1789" max="1800" width="8.7265625" style="28" bestFit="1" customWidth="1"/>
    <col min="1801" max="1801" width="9.6328125" style="28" bestFit="1" customWidth="1"/>
    <col min="1802" max="1802" width="12" style="28" bestFit="1" customWidth="1"/>
    <col min="1803" max="1803" width="11.81640625" style="28" bestFit="1" customWidth="1"/>
    <col min="1804" max="1804" width="13.7265625" style="28" bestFit="1" customWidth="1"/>
    <col min="1805" max="1805" width="14.08984375" style="28" bestFit="1" customWidth="1"/>
    <col min="1806" max="1806" width="9.08984375" style="28"/>
    <col min="1807" max="1807" width="25.26953125" style="28" bestFit="1" customWidth="1"/>
    <col min="1808" max="1808" width="4.7265625" style="28" bestFit="1" customWidth="1"/>
    <col min="1809" max="1809" width="1.36328125" style="28" bestFit="1" customWidth="1"/>
    <col min="1810" max="1810" width="4.26953125" style="28" bestFit="1" customWidth="1"/>
    <col min="1811" max="1811" width="1.36328125" style="28" bestFit="1" customWidth="1"/>
    <col min="1812" max="1812" width="5.6328125" style="28" bestFit="1" customWidth="1"/>
    <col min="1813" max="1813" width="1.36328125" style="28" bestFit="1" customWidth="1"/>
    <col min="1814" max="1814" width="6.81640625" style="28" bestFit="1" customWidth="1"/>
    <col min="1815" max="1815" width="13.08984375" style="28" bestFit="1" customWidth="1"/>
    <col min="1816" max="2031" width="9.08984375" style="28"/>
    <col min="2032" max="2032" width="2.81640625" style="28" bestFit="1" customWidth="1"/>
    <col min="2033" max="2033" width="6.81640625" style="28" bestFit="1" customWidth="1"/>
    <col min="2034" max="2034" width="4.36328125" style="28" bestFit="1" customWidth="1"/>
    <col min="2035" max="2035" width="5.6328125" style="28" bestFit="1" customWidth="1"/>
    <col min="2036" max="2036" width="4" style="28" bestFit="1" customWidth="1"/>
    <col min="2037" max="2037" width="5.6328125" style="28" bestFit="1" customWidth="1"/>
    <col min="2038" max="2038" width="9.26953125" style="28" bestFit="1" customWidth="1"/>
    <col min="2039" max="2039" width="1.81640625" style="28" bestFit="1" customWidth="1"/>
    <col min="2040" max="2040" width="6.81640625" style="28" bestFit="1" customWidth="1"/>
    <col min="2041" max="2041" width="10.81640625" style="28" bestFit="1" customWidth="1"/>
    <col min="2042" max="2042" width="8.7265625" style="28" bestFit="1" customWidth="1"/>
    <col min="2043" max="2043" width="9.6328125" style="28" bestFit="1" customWidth="1"/>
    <col min="2044" max="2044" width="12" style="28" bestFit="1" customWidth="1"/>
    <col min="2045" max="2056" width="8.7265625" style="28" bestFit="1" customWidth="1"/>
    <col min="2057" max="2057" width="9.6328125" style="28" bestFit="1" customWidth="1"/>
    <col min="2058" max="2058" width="12" style="28" bestFit="1" customWidth="1"/>
    <col min="2059" max="2059" width="11.81640625" style="28" bestFit="1" customWidth="1"/>
    <col min="2060" max="2060" width="13.7265625" style="28" bestFit="1" customWidth="1"/>
    <col min="2061" max="2061" width="14.08984375" style="28" bestFit="1" customWidth="1"/>
    <col min="2062" max="2062" width="9.08984375" style="28"/>
    <col min="2063" max="2063" width="25.26953125" style="28" bestFit="1" customWidth="1"/>
    <col min="2064" max="2064" width="4.7265625" style="28" bestFit="1" customWidth="1"/>
    <col min="2065" max="2065" width="1.36328125" style="28" bestFit="1" customWidth="1"/>
    <col min="2066" max="2066" width="4.26953125" style="28" bestFit="1" customWidth="1"/>
    <col min="2067" max="2067" width="1.36328125" style="28" bestFit="1" customWidth="1"/>
    <col min="2068" max="2068" width="5.6328125" style="28" bestFit="1" customWidth="1"/>
    <col min="2069" max="2069" width="1.36328125" style="28" bestFit="1" customWidth="1"/>
    <col min="2070" max="2070" width="6.81640625" style="28" bestFit="1" customWidth="1"/>
    <col min="2071" max="2071" width="13.08984375" style="28" bestFit="1" customWidth="1"/>
    <col min="2072" max="2287" width="9.08984375" style="28"/>
    <col min="2288" max="2288" width="2.81640625" style="28" bestFit="1" customWidth="1"/>
    <col min="2289" max="2289" width="6.81640625" style="28" bestFit="1" customWidth="1"/>
    <col min="2290" max="2290" width="4.36328125" style="28" bestFit="1" customWidth="1"/>
    <col min="2291" max="2291" width="5.6328125" style="28" bestFit="1" customWidth="1"/>
    <col min="2292" max="2292" width="4" style="28" bestFit="1" customWidth="1"/>
    <col min="2293" max="2293" width="5.6328125" style="28" bestFit="1" customWidth="1"/>
    <col min="2294" max="2294" width="9.26953125" style="28" bestFit="1" customWidth="1"/>
    <col min="2295" max="2295" width="1.81640625" style="28" bestFit="1" customWidth="1"/>
    <col min="2296" max="2296" width="6.81640625" style="28" bestFit="1" customWidth="1"/>
    <col min="2297" max="2297" width="10.81640625" style="28" bestFit="1" customWidth="1"/>
    <col min="2298" max="2298" width="8.7265625" style="28" bestFit="1" customWidth="1"/>
    <col min="2299" max="2299" width="9.6328125" style="28" bestFit="1" customWidth="1"/>
    <col min="2300" max="2300" width="12" style="28" bestFit="1" customWidth="1"/>
    <col min="2301" max="2312" width="8.7265625" style="28" bestFit="1" customWidth="1"/>
    <col min="2313" max="2313" width="9.6328125" style="28" bestFit="1" customWidth="1"/>
    <col min="2314" max="2314" width="12" style="28" bestFit="1" customWidth="1"/>
    <col min="2315" max="2315" width="11.81640625" style="28" bestFit="1" customWidth="1"/>
    <col min="2316" max="2316" width="13.7265625" style="28" bestFit="1" customWidth="1"/>
    <col min="2317" max="2317" width="14.08984375" style="28" bestFit="1" customWidth="1"/>
    <col min="2318" max="2318" width="9.08984375" style="28"/>
    <col min="2319" max="2319" width="25.26953125" style="28" bestFit="1" customWidth="1"/>
    <col min="2320" max="2320" width="4.7265625" style="28" bestFit="1" customWidth="1"/>
    <col min="2321" max="2321" width="1.36328125" style="28" bestFit="1" customWidth="1"/>
    <col min="2322" max="2322" width="4.26953125" style="28" bestFit="1" customWidth="1"/>
    <col min="2323" max="2323" width="1.36328125" style="28" bestFit="1" customWidth="1"/>
    <col min="2324" max="2324" width="5.6328125" style="28" bestFit="1" customWidth="1"/>
    <col min="2325" max="2325" width="1.36328125" style="28" bestFit="1" customWidth="1"/>
    <col min="2326" max="2326" width="6.81640625" style="28" bestFit="1" customWidth="1"/>
    <col min="2327" max="2327" width="13.08984375" style="28" bestFit="1" customWidth="1"/>
    <col min="2328" max="2543" width="9.08984375" style="28"/>
    <col min="2544" max="2544" width="2.81640625" style="28" bestFit="1" customWidth="1"/>
    <col min="2545" max="2545" width="6.81640625" style="28" bestFit="1" customWidth="1"/>
    <col min="2546" max="2546" width="4.36328125" style="28" bestFit="1" customWidth="1"/>
    <col min="2547" max="2547" width="5.6328125" style="28" bestFit="1" customWidth="1"/>
    <col min="2548" max="2548" width="4" style="28" bestFit="1" customWidth="1"/>
    <col min="2549" max="2549" width="5.6328125" style="28" bestFit="1" customWidth="1"/>
    <col min="2550" max="2550" width="9.26953125" style="28" bestFit="1" customWidth="1"/>
    <col min="2551" max="2551" width="1.81640625" style="28" bestFit="1" customWidth="1"/>
    <col min="2552" max="2552" width="6.81640625" style="28" bestFit="1" customWidth="1"/>
    <col min="2553" max="2553" width="10.81640625" style="28" bestFit="1" customWidth="1"/>
    <col min="2554" max="2554" width="8.7265625" style="28" bestFit="1" customWidth="1"/>
    <col min="2555" max="2555" width="9.6328125" style="28" bestFit="1" customWidth="1"/>
    <col min="2556" max="2556" width="12" style="28" bestFit="1" customWidth="1"/>
    <col min="2557" max="2568" width="8.7265625" style="28" bestFit="1" customWidth="1"/>
    <col min="2569" max="2569" width="9.6328125" style="28" bestFit="1" customWidth="1"/>
    <col min="2570" max="2570" width="12" style="28" bestFit="1" customWidth="1"/>
    <col min="2571" max="2571" width="11.81640625" style="28" bestFit="1" customWidth="1"/>
    <col min="2572" max="2572" width="13.7265625" style="28" bestFit="1" customWidth="1"/>
    <col min="2573" max="2573" width="14.08984375" style="28" bestFit="1" customWidth="1"/>
    <col min="2574" max="2574" width="9.08984375" style="28"/>
    <col min="2575" max="2575" width="25.26953125" style="28" bestFit="1" customWidth="1"/>
    <col min="2576" max="2576" width="4.7265625" style="28" bestFit="1" customWidth="1"/>
    <col min="2577" max="2577" width="1.36328125" style="28" bestFit="1" customWidth="1"/>
    <col min="2578" max="2578" width="4.26953125" style="28" bestFit="1" customWidth="1"/>
    <col min="2579" max="2579" width="1.36328125" style="28" bestFit="1" customWidth="1"/>
    <col min="2580" max="2580" width="5.6328125" style="28" bestFit="1" customWidth="1"/>
    <col min="2581" max="2581" width="1.36328125" style="28" bestFit="1" customWidth="1"/>
    <col min="2582" max="2582" width="6.81640625" style="28" bestFit="1" customWidth="1"/>
    <col min="2583" max="2583" width="13.08984375" style="28" bestFit="1" customWidth="1"/>
    <col min="2584" max="2799" width="9.08984375" style="28"/>
    <col min="2800" max="2800" width="2.81640625" style="28" bestFit="1" customWidth="1"/>
    <col min="2801" max="2801" width="6.81640625" style="28" bestFit="1" customWidth="1"/>
    <col min="2802" max="2802" width="4.36328125" style="28" bestFit="1" customWidth="1"/>
    <col min="2803" max="2803" width="5.6328125" style="28" bestFit="1" customWidth="1"/>
    <col min="2804" max="2804" width="4" style="28" bestFit="1" customWidth="1"/>
    <col min="2805" max="2805" width="5.6328125" style="28" bestFit="1" customWidth="1"/>
    <col min="2806" max="2806" width="9.26953125" style="28" bestFit="1" customWidth="1"/>
    <col min="2807" max="2807" width="1.81640625" style="28" bestFit="1" customWidth="1"/>
    <col min="2808" max="2808" width="6.81640625" style="28" bestFit="1" customWidth="1"/>
    <col min="2809" max="2809" width="10.81640625" style="28" bestFit="1" customWidth="1"/>
    <col min="2810" max="2810" width="8.7265625" style="28" bestFit="1" customWidth="1"/>
    <col min="2811" max="2811" width="9.6328125" style="28" bestFit="1" customWidth="1"/>
    <col min="2812" max="2812" width="12" style="28" bestFit="1" customWidth="1"/>
    <col min="2813" max="2824" width="8.7265625" style="28" bestFit="1" customWidth="1"/>
    <col min="2825" max="2825" width="9.6328125" style="28" bestFit="1" customWidth="1"/>
    <col min="2826" max="2826" width="12" style="28" bestFit="1" customWidth="1"/>
    <col min="2827" max="2827" width="11.81640625" style="28" bestFit="1" customWidth="1"/>
    <col min="2828" max="2828" width="13.7265625" style="28" bestFit="1" customWidth="1"/>
    <col min="2829" max="2829" width="14.08984375" style="28" bestFit="1" customWidth="1"/>
    <col min="2830" max="2830" width="9.08984375" style="28"/>
    <col min="2831" max="2831" width="25.26953125" style="28" bestFit="1" customWidth="1"/>
    <col min="2832" max="2832" width="4.7265625" style="28" bestFit="1" customWidth="1"/>
    <col min="2833" max="2833" width="1.36328125" style="28" bestFit="1" customWidth="1"/>
    <col min="2834" max="2834" width="4.26953125" style="28" bestFit="1" customWidth="1"/>
    <col min="2835" max="2835" width="1.36328125" style="28" bestFit="1" customWidth="1"/>
    <col min="2836" max="2836" width="5.6328125" style="28" bestFit="1" customWidth="1"/>
    <col min="2837" max="2837" width="1.36328125" style="28" bestFit="1" customWidth="1"/>
    <col min="2838" max="2838" width="6.81640625" style="28" bestFit="1" customWidth="1"/>
    <col min="2839" max="2839" width="13.08984375" style="28" bestFit="1" customWidth="1"/>
    <col min="2840" max="3055" width="9.08984375" style="28"/>
    <col min="3056" max="3056" width="2.81640625" style="28" bestFit="1" customWidth="1"/>
    <col min="3057" max="3057" width="6.81640625" style="28" bestFit="1" customWidth="1"/>
    <col min="3058" max="3058" width="4.36328125" style="28" bestFit="1" customWidth="1"/>
    <col min="3059" max="3059" width="5.6328125" style="28" bestFit="1" customWidth="1"/>
    <col min="3060" max="3060" width="4" style="28" bestFit="1" customWidth="1"/>
    <col min="3061" max="3061" width="5.6328125" style="28" bestFit="1" customWidth="1"/>
    <col min="3062" max="3062" width="9.26953125" style="28" bestFit="1" customWidth="1"/>
    <col min="3063" max="3063" width="1.81640625" style="28" bestFit="1" customWidth="1"/>
    <col min="3064" max="3064" width="6.81640625" style="28" bestFit="1" customWidth="1"/>
    <col min="3065" max="3065" width="10.81640625" style="28" bestFit="1" customWidth="1"/>
    <col min="3066" max="3066" width="8.7265625" style="28" bestFit="1" customWidth="1"/>
    <col min="3067" max="3067" width="9.6328125" style="28" bestFit="1" customWidth="1"/>
    <col min="3068" max="3068" width="12" style="28" bestFit="1" customWidth="1"/>
    <col min="3069" max="3080" width="8.7265625" style="28" bestFit="1" customWidth="1"/>
    <col min="3081" max="3081" width="9.6328125" style="28" bestFit="1" customWidth="1"/>
    <col min="3082" max="3082" width="12" style="28" bestFit="1" customWidth="1"/>
    <col min="3083" max="3083" width="11.81640625" style="28" bestFit="1" customWidth="1"/>
    <col min="3084" max="3084" width="13.7265625" style="28" bestFit="1" customWidth="1"/>
    <col min="3085" max="3085" width="14.08984375" style="28" bestFit="1" customWidth="1"/>
    <col min="3086" max="3086" width="9.08984375" style="28"/>
    <col min="3087" max="3087" width="25.26953125" style="28" bestFit="1" customWidth="1"/>
    <col min="3088" max="3088" width="4.7265625" style="28" bestFit="1" customWidth="1"/>
    <col min="3089" max="3089" width="1.36328125" style="28" bestFit="1" customWidth="1"/>
    <col min="3090" max="3090" width="4.26953125" style="28" bestFit="1" customWidth="1"/>
    <col min="3091" max="3091" width="1.36328125" style="28" bestFit="1" customWidth="1"/>
    <col min="3092" max="3092" width="5.6328125" style="28" bestFit="1" customWidth="1"/>
    <col min="3093" max="3093" width="1.36328125" style="28" bestFit="1" customWidth="1"/>
    <col min="3094" max="3094" width="6.81640625" style="28" bestFit="1" customWidth="1"/>
    <col min="3095" max="3095" width="13.08984375" style="28" bestFit="1" customWidth="1"/>
    <col min="3096" max="3311" width="9.08984375" style="28"/>
    <col min="3312" max="3312" width="2.81640625" style="28" bestFit="1" customWidth="1"/>
    <col min="3313" max="3313" width="6.81640625" style="28" bestFit="1" customWidth="1"/>
    <col min="3314" max="3314" width="4.36328125" style="28" bestFit="1" customWidth="1"/>
    <col min="3315" max="3315" width="5.6328125" style="28" bestFit="1" customWidth="1"/>
    <col min="3316" max="3316" width="4" style="28" bestFit="1" customWidth="1"/>
    <col min="3317" max="3317" width="5.6328125" style="28" bestFit="1" customWidth="1"/>
    <col min="3318" max="3318" width="9.26953125" style="28" bestFit="1" customWidth="1"/>
    <col min="3319" max="3319" width="1.81640625" style="28" bestFit="1" customWidth="1"/>
    <col min="3320" max="3320" width="6.81640625" style="28" bestFit="1" customWidth="1"/>
    <col min="3321" max="3321" width="10.81640625" style="28" bestFit="1" customWidth="1"/>
    <col min="3322" max="3322" width="8.7265625" style="28" bestFit="1" customWidth="1"/>
    <col min="3323" max="3323" width="9.6328125" style="28" bestFit="1" customWidth="1"/>
    <col min="3324" max="3324" width="12" style="28" bestFit="1" customWidth="1"/>
    <col min="3325" max="3336" width="8.7265625" style="28" bestFit="1" customWidth="1"/>
    <col min="3337" max="3337" width="9.6328125" style="28" bestFit="1" customWidth="1"/>
    <col min="3338" max="3338" width="12" style="28" bestFit="1" customWidth="1"/>
    <col min="3339" max="3339" width="11.81640625" style="28" bestFit="1" customWidth="1"/>
    <col min="3340" max="3340" width="13.7265625" style="28" bestFit="1" customWidth="1"/>
    <col min="3341" max="3341" width="14.08984375" style="28" bestFit="1" customWidth="1"/>
    <col min="3342" max="3342" width="9.08984375" style="28"/>
    <col min="3343" max="3343" width="25.26953125" style="28" bestFit="1" customWidth="1"/>
    <col min="3344" max="3344" width="4.7265625" style="28" bestFit="1" customWidth="1"/>
    <col min="3345" max="3345" width="1.36328125" style="28" bestFit="1" customWidth="1"/>
    <col min="3346" max="3346" width="4.26953125" style="28" bestFit="1" customWidth="1"/>
    <col min="3347" max="3347" width="1.36328125" style="28" bestFit="1" customWidth="1"/>
    <col min="3348" max="3348" width="5.6328125" style="28" bestFit="1" customWidth="1"/>
    <col min="3349" max="3349" width="1.36328125" style="28" bestFit="1" customWidth="1"/>
    <col min="3350" max="3350" width="6.81640625" style="28" bestFit="1" customWidth="1"/>
    <col min="3351" max="3351" width="13.08984375" style="28" bestFit="1" customWidth="1"/>
    <col min="3352" max="3567" width="9.08984375" style="28"/>
    <col min="3568" max="3568" width="2.81640625" style="28" bestFit="1" customWidth="1"/>
    <col min="3569" max="3569" width="6.81640625" style="28" bestFit="1" customWidth="1"/>
    <col min="3570" max="3570" width="4.36328125" style="28" bestFit="1" customWidth="1"/>
    <col min="3571" max="3571" width="5.6328125" style="28" bestFit="1" customWidth="1"/>
    <col min="3572" max="3572" width="4" style="28" bestFit="1" customWidth="1"/>
    <col min="3573" max="3573" width="5.6328125" style="28" bestFit="1" customWidth="1"/>
    <col min="3574" max="3574" width="9.26953125" style="28" bestFit="1" customWidth="1"/>
    <col min="3575" max="3575" width="1.81640625" style="28" bestFit="1" customWidth="1"/>
    <col min="3576" max="3576" width="6.81640625" style="28" bestFit="1" customWidth="1"/>
    <col min="3577" max="3577" width="10.81640625" style="28" bestFit="1" customWidth="1"/>
    <col min="3578" max="3578" width="8.7265625" style="28" bestFit="1" customWidth="1"/>
    <col min="3579" max="3579" width="9.6328125" style="28" bestFit="1" customWidth="1"/>
    <col min="3580" max="3580" width="12" style="28" bestFit="1" customWidth="1"/>
    <col min="3581" max="3592" width="8.7265625" style="28" bestFit="1" customWidth="1"/>
    <col min="3593" max="3593" width="9.6328125" style="28" bestFit="1" customWidth="1"/>
    <col min="3594" max="3594" width="12" style="28" bestFit="1" customWidth="1"/>
    <col min="3595" max="3595" width="11.81640625" style="28" bestFit="1" customWidth="1"/>
    <col min="3596" max="3596" width="13.7265625" style="28" bestFit="1" customWidth="1"/>
    <col min="3597" max="3597" width="14.08984375" style="28" bestFit="1" customWidth="1"/>
    <col min="3598" max="3598" width="9.08984375" style="28"/>
    <col min="3599" max="3599" width="25.26953125" style="28" bestFit="1" customWidth="1"/>
    <col min="3600" max="3600" width="4.7265625" style="28" bestFit="1" customWidth="1"/>
    <col min="3601" max="3601" width="1.36328125" style="28" bestFit="1" customWidth="1"/>
    <col min="3602" max="3602" width="4.26953125" style="28" bestFit="1" customWidth="1"/>
    <col min="3603" max="3603" width="1.36328125" style="28" bestFit="1" customWidth="1"/>
    <col min="3604" max="3604" width="5.6328125" style="28" bestFit="1" customWidth="1"/>
    <col min="3605" max="3605" width="1.36328125" style="28" bestFit="1" customWidth="1"/>
    <col min="3606" max="3606" width="6.81640625" style="28" bestFit="1" customWidth="1"/>
    <col min="3607" max="3607" width="13.08984375" style="28" bestFit="1" customWidth="1"/>
    <col min="3608" max="3823" width="9.08984375" style="28"/>
    <col min="3824" max="3824" width="2.81640625" style="28" bestFit="1" customWidth="1"/>
    <col min="3825" max="3825" width="6.81640625" style="28" bestFit="1" customWidth="1"/>
    <col min="3826" max="3826" width="4.36328125" style="28" bestFit="1" customWidth="1"/>
    <col min="3827" max="3827" width="5.6328125" style="28" bestFit="1" customWidth="1"/>
    <col min="3828" max="3828" width="4" style="28" bestFit="1" customWidth="1"/>
    <col min="3829" max="3829" width="5.6328125" style="28" bestFit="1" customWidth="1"/>
    <col min="3830" max="3830" width="9.26953125" style="28" bestFit="1" customWidth="1"/>
    <col min="3831" max="3831" width="1.81640625" style="28" bestFit="1" customWidth="1"/>
    <col min="3832" max="3832" width="6.81640625" style="28" bestFit="1" customWidth="1"/>
    <col min="3833" max="3833" width="10.81640625" style="28" bestFit="1" customWidth="1"/>
    <col min="3834" max="3834" width="8.7265625" style="28" bestFit="1" customWidth="1"/>
    <col min="3835" max="3835" width="9.6328125" style="28" bestFit="1" customWidth="1"/>
    <col min="3836" max="3836" width="12" style="28" bestFit="1" customWidth="1"/>
    <col min="3837" max="3848" width="8.7265625" style="28" bestFit="1" customWidth="1"/>
    <col min="3849" max="3849" width="9.6328125" style="28" bestFit="1" customWidth="1"/>
    <col min="3850" max="3850" width="12" style="28" bestFit="1" customWidth="1"/>
    <col min="3851" max="3851" width="11.81640625" style="28" bestFit="1" customWidth="1"/>
    <col min="3852" max="3852" width="13.7265625" style="28" bestFit="1" customWidth="1"/>
    <col min="3853" max="3853" width="14.08984375" style="28" bestFit="1" customWidth="1"/>
    <col min="3854" max="3854" width="9.08984375" style="28"/>
    <col min="3855" max="3855" width="25.26953125" style="28" bestFit="1" customWidth="1"/>
    <col min="3856" max="3856" width="4.7265625" style="28" bestFit="1" customWidth="1"/>
    <col min="3857" max="3857" width="1.36328125" style="28" bestFit="1" customWidth="1"/>
    <col min="3858" max="3858" width="4.26953125" style="28" bestFit="1" customWidth="1"/>
    <col min="3859" max="3859" width="1.36328125" style="28" bestFit="1" customWidth="1"/>
    <col min="3860" max="3860" width="5.6328125" style="28" bestFit="1" customWidth="1"/>
    <col min="3861" max="3861" width="1.36328125" style="28" bestFit="1" customWidth="1"/>
    <col min="3862" max="3862" width="6.81640625" style="28" bestFit="1" customWidth="1"/>
    <col min="3863" max="3863" width="13.08984375" style="28" bestFit="1" customWidth="1"/>
    <col min="3864" max="4079" width="9.08984375" style="28"/>
    <col min="4080" max="4080" width="2.81640625" style="28" bestFit="1" customWidth="1"/>
    <col min="4081" max="4081" width="6.81640625" style="28" bestFit="1" customWidth="1"/>
    <col min="4082" max="4082" width="4.36328125" style="28" bestFit="1" customWidth="1"/>
    <col min="4083" max="4083" width="5.6328125" style="28" bestFit="1" customWidth="1"/>
    <col min="4084" max="4084" width="4" style="28" bestFit="1" customWidth="1"/>
    <col min="4085" max="4085" width="5.6328125" style="28" bestFit="1" customWidth="1"/>
    <col min="4086" max="4086" width="9.26953125" style="28" bestFit="1" customWidth="1"/>
    <col min="4087" max="4087" width="1.81640625" style="28" bestFit="1" customWidth="1"/>
    <col min="4088" max="4088" width="6.81640625" style="28" bestFit="1" customWidth="1"/>
    <col min="4089" max="4089" width="10.81640625" style="28" bestFit="1" customWidth="1"/>
    <col min="4090" max="4090" width="8.7265625" style="28" bestFit="1" customWidth="1"/>
    <col min="4091" max="4091" width="9.6328125" style="28" bestFit="1" customWidth="1"/>
    <col min="4092" max="4092" width="12" style="28" bestFit="1" customWidth="1"/>
    <col min="4093" max="4104" width="8.7265625" style="28" bestFit="1" customWidth="1"/>
    <col min="4105" max="4105" width="9.6328125" style="28" bestFit="1" customWidth="1"/>
    <col min="4106" max="4106" width="12" style="28" bestFit="1" customWidth="1"/>
    <col min="4107" max="4107" width="11.81640625" style="28" bestFit="1" customWidth="1"/>
    <col min="4108" max="4108" width="13.7265625" style="28" bestFit="1" customWidth="1"/>
    <col min="4109" max="4109" width="14.08984375" style="28" bestFit="1" customWidth="1"/>
    <col min="4110" max="4110" width="9.08984375" style="28"/>
    <col min="4111" max="4111" width="25.26953125" style="28" bestFit="1" customWidth="1"/>
    <col min="4112" max="4112" width="4.7265625" style="28" bestFit="1" customWidth="1"/>
    <col min="4113" max="4113" width="1.36328125" style="28" bestFit="1" customWidth="1"/>
    <col min="4114" max="4114" width="4.26953125" style="28" bestFit="1" customWidth="1"/>
    <col min="4115" max="4115" width="1.36328125" style="28" bestFit="1" customWidth="1"/>
    <col min="4116" max="4116" width="5.6328125" style="28" bestFit="1" customWidth="1"/>
    <col min="4117" max="4117" width="1.36328125" style="28" bestFit="1" customWidth="1"/>
    <col min="4118" max="4118" width="6.81640625" style="28" bestFit="1" customWidth="1"/>
    <col min="4119" max="4119" width="13.08984375" style="28" bestFit="1" customWidth="1"/>
    <col min="4120" max="4335" width="9.08984375" style="28"/>
    <col min="4336" max="4336" width="2.81640625" style="28" bestFit="1" customWidth="1"/>
    <col min="4337" max="4337" width="6.81640625" style="28" bestFit="1" customWidth="1"/>
    <col min="4338" max="4338" width="4.36328125" style="28" bestFit="1" customWidth="1"/>
    <col min="4339" max="4339" width="5.6328125" style="28" bestFit="1" customWidth="1"/>
    <col min="4340" max="4340" width="4" style="28" bestFit="1" customWidth="1"/>
    <col min="4341" max="4341" width="5.6328125" style="28" bestFit="1" customWidth="1"/>
    <col min="4342" max="4342" width="9.26953125" style="28" bestFit="1" customWidth="1"/>
    <col min="4343" max="4343" width="1.81640625" style="28" bestFit="1" customWidth="1"/>
    <col min="4344" max="4344" width="6.81640625" style="28" bestFit="1" customWidth="1"/>
    <col min="4345" max="4345" width="10.81640625" style="28" bestFit="1" customWidth="1"/>
    <col min="4346" max="4346" width="8.7265625" style="28" bestFit="1" customWidth="1"/>
    <col min="4347" max="4347" width="9.6328125" style="28" bestFit="1" customWidth="1"/>
    <col min="4348" max="4348" width="12" style="28" bestFit="1" customWidth="1"/>
    <col min="4349" max="4360" width="8.7265625" style="28" bestFit="1" customWidth="1"/>
    <col min="4361" max="4361" width="9.6328125" style="28" bestFit="1" customWidth="1"/>
    <col min="4362" max="4362" width="12" style="28" bestFit="1" customWidth="1"/>
    <col min="4363" max="4363" width="11.81640625" style="28" bestFit="1" customWidth="1"/>
    <col min="4364" max="4364" width="13.7265625" style="28" bestFit="1" customWidth="1"/>
    <col min="4365" max="4365" width="14.08984375" style="28" bestFit="1" customWidth="1"/>
    <col min="4366" max="4366" width="9.08984375" style="28"/>
    <col min="4367" max="4367" width="25.26953125" style="28" bestFit="1" customWidth="1"/>
    <col min="4368" max="4368" width="4.7265625" style="28" bestFit="1" customWidth="1"/>
    <col min="4369" max="4369" width="1.36328125" style="28" bestFit="1" customWidth="1"/>
    <col min="4370" max="4370" width="4.26953125" style="28" bestFit="1" customWidth="1"/>
    <col min="4371" max="4371" width="1.36328125" style="28" bestFit="1" customWidth="1"/>
    <col min="4372" max="4372" width="5.6328125" style="28" bestFit="1" customWidth="1"/>
    <col min="4373" max="4373" width="1.36328125" style="28" bestFit="1" customWidth="1"/>
    <col min="4374" max="4374" width="6.81640625" style="28" bestFit="1" customWidth="1"/>
    <col min="4375" max="4375" width="13.08984375" style="28" bestFit="1" customWidth="1"/>
    <col min="4376" max="4591" width="9.08984375" style="28"/>
    <col min="4592" max="4592" width="2.81640625" style="28" bestFit="1" customWidth="1"/>
    <col min="4593" max="4593" width="6.81640625" style="28" bestFit="1" customWidth="1"/>
    <col min="4594" max="4594" width="4.36328125" style="28" bestFit="1" customWidth="1"/>
    <col min="4595" max="4595" width="5.6328125" style="28" bestFit="1" customWidth="1"/>
    <col min="4596" max="4596" width="4" style="28" bestFit="1" customWidth="1"/>
    <col min="4597" max="4597" width="5.6328125" style="28" bestFit="1" customWidth="1"/>
    <col min="4598" max="4598" width="9.26953125" style="28" bestFit="1" customWidth="1"/>
    <col min="4599" max="4599" width="1.81640625" style="28" bestFit="1" customWidth="1"/>
    <col min="4600" max="4600" width="6.81640625" style="28" bestFit="1" customWidth="1"/>
    <col min="4601" max="4601" width="10.81640625" style="28" bestFit="1" customWidth="1"/>
    <col min="4602" max="4602" width="8.7265625" style="28" bestFit="1" customWidth="1"/>
    <col min="4603" max="4603" width="9.6328125" style="28" bestFit="1" customWidth="1"/>
    <col min="4604" max="4604" width="12" style="28" bestFit="1" customWidth="1"/>
    <col min="4605" max="4616" width="8.7265625" style="28" bestFit="1" customWidth="1"/>
    <col min="4617" max="4617" width="9.6328125" style="28" bestFit="1" customWidth="1"/>
    <col min="4618" max="4618" width="12" style="28" bestFit="1" customWidth="1"/>
    <col min="4619" max="4619" width="11.81640625" style="28" bestFit="1" customWidth="1"/>
    <col min="4620" max="4620" width="13.7265625" style="28" bestFit="1" customWidth="1"/>
    <col min="4621" max="4621" width="14.08984375" style="28" bestFit="1" customWidth="1"/>
    <col min="4622" max="4622" width="9.08984375" style="28"/>
    <col min="4623" max="4623" width="25.26953125" style="28" bestFit="1" customWidth="1"/>
    <col min="4624" max="4624" width="4.7265625" style="28" bestFit="1" customWidth="1"/>
    <col min="4625" max="4625" width="1.36328125" style="28" bestFit="1" customWidth="1"/>
    <col min="4626" max="4626" width="4.26953125" style="28" bestFit="1" customWidth="1"/>
    <col min="4627" max="4627" width="1.36328125" style="28" bestFit="1" customWidth="1"/>
    <col min="4628" max="4628" width="5.6328125" style="28" bestFit="1" customWidth="1"/>
    <col min="4629" max="4629" width="1.36328125" style="28" bestFit="1" customWidth="1"/>
    <col min="4630" max="4630" width="6.81640625" style="28" bestFit="1" customWidth="1"/>
    <col min="4631" max="4631" width="13.08984375" style="28" bestFit="1" customWidth="1"/>
    <col min="4632" max="4847" width="9.08984375" style="28"/>
    <col min="4848" max="4848" width="2.81640625" style="28" bestFit="1" customWidth="1"/>
    <col min="4849" max="4849" width="6.81640625" style="28" bestFit="1" customWidth="1"/>
    <col min="4850" max="4850" width="4.36328125" style="28" bestFit="1" customWidth="1"/>
    <col min="4851" max="4851" width="5.6328125" style="28" bestFit="1" customWidth="1"/>
    <col min="4852" max="4852" width="4" style="28" bestFit="1" customWidth="1"/>
    <col min="4853" max="4853" width="5.6328125" style="28" bestFit="1" customWidth="1"/>
    <col min="4854" max="4854" width="9.26953125" style="28" bestFit="1" customWidth="1"/>
    <col min="4855" max="4855" width="1.81640625" style="28" bestFit="1" customWidth="1"/>
    <col min="4856" max="4856" width="6.81640625" style="28" bestFit="1" customWidth="1"/>
    <col min="4857" max="4857" width="10.81640625" style="28" bestFit="1" customWidth="1"/>
    <col min="4858" max="4858" width="8.7265625" style="28" bestFit="1" customWidth="1"/>
    <col min="4859" max="4859" width="9.6328125" style="28" bestFit="1" customWidth="1"/>
    <col min="4860" max="4860" width="12" style="28" bestFit="1" customWidth="1"/>
    <col min="4861" max="4872" width="8.7265625" style="28" bestFit="1" customWidth="1"/>
    <col min="4873" max="4873" width="9.6328125" style="28" bestFit="1" customWidth="1"/>
    <col min="4874" max="4874" width="12" style="28" bestFit="1" customWidth="1"/>
    <col min="4875" max="4875" width="11.81640625" style="28" bestFit="1" customWidth="1"/>
    <col min="4876" max="4876" width="13.7265625" style="28" bestFit="1" customWidth="1"/>
    <col min="4877" max="4877" width="14.08984375" style="28" bestFit="1" customWidth="1"/>
    <col min="4878" max="4878" width="9.08984375" style="28"/>
    <col min="4879" max="4879" width="25.26953125" style="28" bestFit="1" customWidth="1"/>
    <col min="4880" max="4880" width="4.7265625" style="28" bestFit="1" customWidth="1"/>
    <col min="4881" max="4881" width="1.36328125" style="28" bestFit="1" customWidth="1"/>
    <col min="4882" max="4882" width="4.26953125" style="28" bestFit="1" customWidth="1"/>
    <col min="4883" max="4883" width="1.36328125" style="28" bestFit="1" customWidth="1"/>
    <col min="4884" max="4884" width="5.6328125" style="28" bestFit="1" customWidth="1"/>
    <col min="4885" max="4885" width="1.36328125" style="28" bestFit="1" customWidth="1"/>
    <col min="4886" max="4886" width="6.81640625" style="28" bestFit="1" customWidth="1"/>
    <col min="4887" max="4887" width="13.08984375" style="28" bestFit="1" customWidth="1"/>
    <col min="4888" max="5103" width="9.08984375" style="28"/>
    <col min="5104" max="5104" width="2.81640625" style="28" bestFit="1" customWidth="1"/>
    <col min="5105" max="5105" width="6.81640625" style="28" bestFit="1" customWidth="1"/>
    <col min="5106" max="5106" width="4.36328125" style="28" bestFit="1" customWidth="1"/>
    <col min="5107" max="5107" width="5.6328125" style="28" bestFit="1" customWidth="1"/>
    <col min="5108" max="5108" width="4" style="28" bestFit="1" customWidth="1"/>
    <col min="5109" max="5109" width="5.6328125" style="28" bestFit="1" customWidth="1"/>
    <col min="5110" max="5110" width="9.26953125" style="28" bestFit="1" customWidth="1"/>
    <col min="5111" max="5111" width="1.81640625" style="28" bestFit="1" customWidth="1"/>
    <col min="5112" max="5112" width="6.81640625" style="28" bestFit="1" customWidth="1"/>
    <col min="5113" max="5113" width="10.81640625" style="28" bestFit="1" customWidth="1"/>
    <col min="5114" max="5114" width="8.7265625" style="28" bestFit="1" customWidth="1"/>
    <col min="5115" max="5115" width="9.6328125" style="28" bestFit="1" customWidth="1"/>
    <col min="5116" max="5116" width="12" style="28" bestFit="1" customWidth="1"/>
    <col min="5117" max="5128" width="8.7265625" style="28" bestFit="1" customWidth="1"/>
    <col min="5129" max="5129" width="9.6328125" style="28" bestFit="1" customWidth="1"/>
    <col min="5130" max="5130" width="12" style="28" bestFit="1" customWidth="1"/>
    <col min="5131" max="5131" width="11.81640625" style="28" bestFit="1" customWidth="1"/>
    <col min="5132" max="5132" width="13.7265625" style="28" bestFit="1" customWidth="1"/>
    <col min="5133" max="5133" width="14.08984375" style="28" bestFit="1" customWidth="1"/>
    <col min="5134" max="5134" width="9.08984375" style="28"/>
    <col min="5135" max="5135" width="25.26953125" style="28" bestFit="1" customWidth="1"/>
    <col min="5136" max="5136" width="4.7265625" style="28" bestFit="1" customWidth="1"/>
    <col min="5137" max="5137" width="1.36328125" style="28" bestFit="1" customWidth="1"/>
    <col min="5138" max="5138" width="4.26953125" style="28" bestFit="1" customWidth="1"/>
    <col min="5139" max="5139" width="1.36328125" style="28" bestFit="1" customWidth="1"/>
    <col min="5140" max="5140" width="5.6328125" style="28" bestFit="1" customWidth="1"/>
    <col min="5141" max="5141" width="1.36328125" style="28" bestFit="1" customWidth="1"/>
    <col min="5142" max="5142" width="6.81640625" style="28" bestFit="1" customWidth="1"/>
    <col min="5143" max="5143" width="13.08984375" style="28" bestFit="1" customWidth="1"/>
    <col min="5144" max="5359" width="9.08984375" style="28"/>
    <col min="5360" max="5360" width="2.81640625" style="28" bestFit="1" customWidth="1"/>
    <col min="5361" max="5361" width="6.81640625" style="28" bestFit="1" customWidth="1"/>
    <col min="5362" max="5362" width="4.36328125" style="28" bestFit="1" customWidth="1"/>
    <col min="5363" max="5363" width="5.6328125" style="28" bestFit="1" customWidth="1"/>
    <col min="5364" max="5364" width="4" style="28" bestFit="1" customWidth="1"/>
    <col min="5365" max="5365" width="5.6328125" style="28" bestFit="1" customWidth="1"/>
    <col min="5366" max="5366" width="9.26953125" style="28" bestFit="1" customWidth="1"/>
    <col min="5367" max="5367" width="1.81640625" style="28" bestFit="1" customWidth="1"/>
    <col min="5368" max="5368" width="6.81640625" style="28" bestFit="1" customWidth="1"/>
    <col min="5369" max="5369" width="10.81640625" style="28" bestFit="1" customWidth="1"/>
    <col min="5370" max="5370" width="8.7265625" style="28" bestFit="1" customWidth="1"/>
    <col min="5371" max="5371" width="9.6328125" style="28" bestFit="1" customWidth="1"/>
    <col min="5372" max="5372" width="12" style="28" bestFit="1" customWidth="1"/>
    <col min="5373" max="5384" width="8.7265625" style="28" bestFit="1" customWidth="1"/>
    <col min="5385" max="5385" width="9.6328125" style="28" bestFit="1" customWidth="1"/>
    <col min="5386" max="5386" width="12" style="28" bestFit="1" customWidth="1"/>
    <col min="5387" max="5387" width="11.81640625" style="28" bestFit="1" customWidth="1"/>
    <col min="5388" max="5388" width="13.7265625" style="28" bestFit="1" customWidth="1"/>
    <col min="5389" max="5389" width="14.08984375" style="28" bestFit="1" customWidth="1"/>
    <col min="5390" max="5390" width="9.08984375" style="28"/>
    <col min="5391" max="5391" width="25.26953125" style="28" bestFit="1" customWidth="1"/>
    <col min="5392" max="5392" width="4.7265625" style="28" bestFit="1" customWidth="1"/>
    <col min="5393" max="5393" width="1.36328125" style="28" bestFit="1" customWidth="1"/>
    <col min="5394" max="5394" width="4.26953125" style="28" bestFit="1" customWidth="1"/>
    <col min="5395" max="5395" width="1.36328125" style="28" bestFit="1" customWidth="1"/>
    <col min="5396" max="5396" width="5.6328125" style="28" bestFit="1" customWidth="1"/>
    <col min="5397" max="5397" width="1.36328125" style="28" bestFit="1" customWidth="1"/>
    <col min="5398" max="5398" width="6.81640625" style="28" bestFit="1" customWidth="1"/>
    <col min="5399" max="5399" width="13.08984375" style="28" bestFit="1" customWidth="1"/>
    <col min="5400" max="5615" width="9.08984375" style="28"/>
    <col min="5616" max="5616" width="2.81640625" style="28" bestFit="1" customWidth="1"/>
    <col min="5617" max="5617" width="6.81640625" style="28" bestFit="1" customWidth="1"/>
    <col min="5618" max="5618" width="4.36328125" style="28" bestFit="1" customWidth="1"/>
    <col min="5619" max="5619" width="5.6328125" style="28" bestFit="1" customWidth="1"/>
    <col min="5620" max="5620" width="4" style="28" bestFit="1" customWidth="1"/>
    <col min="5621" max="5621" width="5.6328125" style="28" bestFit="1" customWidth="1"/>
    <col min="5622" max="5622" width="9.26953125" style="28" bestFit="1" customWidth="1"/>
    <col min="5623" max="5623" width="1.81640625" style="28" bestFit="1" customWidth="1"/>
    <col min="5624" max="5624" width="6.81640625" style="28" bestFit="1" customWidth="1"/>
    <col min="5625" max="5625" width="10.81640625" style="28" bestFit="1" customWidth="1"/>
    <col min="5626" max="5626" width="8.7265625" style="28" bestFit="1" customWidth="1"/>
    <col min="5627" max="5627" width="9.6328125" style="28" bestFit="1" customWidth="1"/>
    <col min="5628" max="5628" width="12" style="28" bestFit="1" customWidth="1"/>
    <col min="5629" max="5640" width="8.7265625" style="28" bestFit="1" customWidth="1"/>
    <col min="5641" max="5641" width="9.6328125" style="28" bestFit="1" customWidth="1"/>
    <col min="5642" max="5642" width="12" style="28" bestFit="1" customWidth="1"/>
    <col min="5643" max="5643" width="11.81640625" style="28" bestFit="1" customWidth="1"/>
    <col min="5644" max="5644" width="13.7265625" style="28" bestFit="1" customWidth="1"/>
    <col min="5645" max="5645" width="14.08984375" style="28" bestFit="1" customWidth="1"/>
    <col min="5646" max="5646" width="9.08984375" style="28"/>
    <col min="5647" max="5647" width="25.26953125" style="28" bestFit="1" customWidth="1"/>
    <col min="5648" max="5648" width="4.7265625" style="28" bestFit="1" customWidth="1"/>
    <col min="5649" max="5649" width="1.36328125" style="28" bestFit="1" customWidth="1"/>
    <col min="5650" max="5650" width="4.26953125" style="28" bestFit="1" customWidth="1"/>
    <col min="5651" max="5651" width="1.36328125" style="28" bestFit="1" customWidth="1"/>
    <col min="5652" max="5652" width="5.6328125" style="28" bestFit="1" customWidth="1"/>
    <col min="5653" max="5653" width="1.36328125" style="28" bestFit="1" customWidth="1"/>
    <col min="5654" max="5654" width="6.81640625" style="28" bestFit="1" customWidth="1"/>
    <col min="5655" max="5655" width="13.08984375" style="28" bestFit="1" customWidth="1"/>
    <col min="5656" max="5871" width="9.08984375" style="28"/>
    <col min="5872" max="5872" width="2.81640625" style="28" bestFit="1" customWidth="1"/>
    <col min="5873" max="5873" width="6.81640625" style="28" bestFit="1" customWidth="1"/>
    <col min="5874" max="5874" width="4.36328125" style="28" bestFit="1" customWidth="1"/>
    <col min="5875" max="5875" width="5.6328125" style="28" bestFit="1" customWidth="1"/>
    <col min="5876" max="5876" width="4" style="28" bestFit="1" customWidth="1"/>
    <col min="5877" max="5877" width="5.6328125" style="28" bestFit="1" customWidth="1"/>
    <col min="5878" max="5878" width="9.26953125" style="28" bestFit="1" customWidth="1"/>
    <col min="5879" max="5879" width="1.81640625" style="28" bestFit="1" customWidth="1"/>
    <col min="5880" max="5880" width="6.81640625" style="28" bestFit="1" customWidth="1"/>
    <col min="5881" max="5881" width="10.81640625" style="28" bestFit="1" customWidth="1"/>
    <col min="5882" max="5882" width="8.7265625" style="28" bestFit="1" customWidth="1"/>
    <col min="5883" max="5883" width="9.6328125" style="28" bestFit="1" customWidth="1"/>
    <col min="5884" max="5884" width="12" style="28" bestFit="1" customWidth="1"/>
    <col min="5885" max="5896" width="8.7265625" style="28" bestFit="1" customWidth="1"/>
    <col min="5897" max="5897" width="9.6328125" style="28" bestFit="1" customWidth="1"/>
    <col min="5898" max="5898" width="12" style="28" bestFit="1" customWidth="1"/>
    <col min="5899" max="5899" width="11.81640625" style="28" bestFit="1" customWidth="1"/>
    <col min="5900" max="5900" width="13.7265625" style="28" bestFit="1" customWidth="1"/>
    <col min="5901" max="5901" width="14.08984375" style="28" bestFit="1" customWidth="1"/>
    <col min="5902" max="5902" width="9.08984375" style="28"/>
    <col min="5903" max="5903" width="25.26953125" style="28" bestFit="1" customWidth="1"/>
    <col min="5904" max="5904" width="4.7265625" style="28" bestFit="1" customWidth="1"/>
    <col min="5905" max="5905" width="1.36328125" style="28" bestFit="1" customWidth="1"/>
    <col min="5906" max="5906" width="4.26953125" style="28" bestFit="1" customWidth="1"/>
    <col min="5907" max="5907" width="1.36328125" style="28" bestFit="1" customWidth="1"/>
    <col min="5908" max="5908" width="5.6328125" style="28" bestFit="1" customWidth="1"/>
    <col min="5909" max="5909" width="1.36328125" style="28" bestFit="1" customWidth="1"/>
    <col min="5910" max="5910" width="6.81640625" style="28" bestFit="1" customWidth="1"/>
    <col min="5911" max="5911" width="13.08984375" style="28" bestFit="1" customWidth="1"/>
    <col min="5912" max="6127" width="9.08984375" style="28"/>
    <col min="6128" max="6128" width="2.81640625" style="28" bestFit="1" customWidth="1"/>
    <col min="6129" max="6129" width="6.81640625" style="28" bestFit="1" customWidth="1"/>
    <col min="6130" max="6130" width="4.36328125" style="28" bestFit="1" customWidth="1"/>
    <col min="6131" max="6131" width="5.6328125" style="28" bestFit="1" customWidth="1"/>
    <col min="6132" max="6132" width="4" style="28" bestFit="1" customWidth="1"/>
    <col min="6133" max="6133" width="5.6328125" style="28" bestFit="1" customWidth="1"/>
    <col min="6134" max="6134" width="9.26953125" style="28" bestFit="1" customWidth="1"/>
    <col min="6135" max="6135" width="1.81640625" style="28" bestFit="1" customWidth="1"/>
    <col min="6136" max="6136" width="6.81640625" style="28" bestFit="1" customWidth="1"/>
    <col min="6137" max="6137" width="10.81640625" style="28" bestFit="1" customWidth="1"/>
    <col min="6138" max="6138" width="8.7265625" style="28" bestFit="1" customWidth="1"/>
    <col min="6139" max="6139" width="9.6328125" style="28" bestFit="1" customWidth="1"/>
    <col min="6140" max="6140" width="12" style="28" bestFit="1" customWidth="1"/>
    <col min="6141" max="6152" width="8.7265625" style="28" bestFit="1" customWidth="1"/>
    <col min="6153" max="6153" width="9.6328125" style="28" bestFit="1" customWidth="1"/>
    <col min="6154" max="6154" width="12" style="28" bestFit="1" customWidth="1"/>
    <col min="6155" max="6155" width="11.81640625" style="28" bestFit="1" customWidth="1"/>
    <col min="6156" max="6156" width="13.7265625" style="28" bestFit="1" customWidth="1"/>
    <col min="6157" max="6157" width="14.08984375" style="28" bestFit="1" customWidth="1"/>
    <col min="6158" max="6158" width="9.08984375" style="28"/>
    <col min="6159" max="6159" width="25.26953125" style="28" bestFit="1" customWidth="1"/>
    <col min="6160" max="6160" width="4.7265625" style="28" bestFit="1" customWidth="1"/>
    <col min="6161" max="6161" width="1.36328125" style="28" bestFit="1" customWidth="1"/>
    <col min="6162" max="6162" width="4.26953125" style="28" bestFit="1" customWidth="1"/>
    <col min="6163" max="6163" width="1.36328125" style="28" bestFit="1" customWidth="1"/>
    <col min="6164" max="6164" width="5.6328125" style="28" bestFit="1" customWidth="1"/>
    <col min="6165" max="6165" width="1.36328125" style="28" bestFit="1" customWidth="1"/>
    <col min="6166" max="6166" width="6.81640625" style="28" bestFit="1" customWidth="1"/>
    <col min="6167" max="6167" width="13.08984375" style="28" bestFit="1" customWidth="1"/>
    <col min="6168" max="6383" width="9.08984375" style="28"/>
    <col min="6384" max="6384" width="2.81640625" style="28" bestFit="1" customWidth="1"/>
    <col min="6385" max="6385" width="6.81640625" style="28" bestFit="1" customWidth="1"/>
    <col min="6386" max="6386" width="4.36328125" style="28" bestFit="1" customWidth="1"/>
    <col min="6387" max="6387" width="5.6328125" style="28" bestFit="1" customWidth="1"/>
    <col min="6388" max="6388" width="4" style="28" bestFit="1" customWidth="1"/>
    <col min="6389" max="6389" width="5.6328125" style="28" bestFit="1" customWidth="1"/>
    <col min="6390" max="6390" width="9.26953125" style="28" bestFit="1" customWidth="1"/>
    <col min="6391" max="6391" width="1.81640625" style="28" bestFit="1" customWidth="1"/>
    <col min="6392" max="6392" width="6.81640625" style="28" bestFit="1" customWidth="1"/>
    <col min="6393" max="6393" width="10.81640625" style="28" bestFit="1" customWidth="1"/>
    <col min="6394" max="6394" width="8.7265625" style="28" bestFit="1" customWidth="1"/>
    <col min="6395" max="6395" width="9.6328125" style="28" bestFit="1" customWidth="1"/>
    <col min="6396" max="6396" width="12" style="28" bestFit="1" customWidth="1"/>
    <col min="6397" max="6408" width="8.7265625" style="28" bestFit="1" customWidth="1"/>
    <col min="6409" max="6409" width="9.6328125" style="28" bestFit="1" customWidth="1"/>
    <col min="6410" max="6410" width="12" style="28" bestFit="1" customWidth="1"/>
    <col min="6411" max="6411" width="11.81640625" style="28" bestFit="1" customWidth="1"/>
    <col min="6412" max="6412" width="13.7265625" style="28" bestFit="1" customWidth="1"/>
    <col min="6413" max="6413" width="14.08984375" style="28" bestFit="1" customWidth="1"/>
    <col min="6414" max="6414" width="9.08984375" style="28"/>
    <col min="6415" max="6415" width="25.26953125" style="28" bestFit="1" customWidth="1"/>
    <col min="6416" max="6416" width="4.7265625" style="28" bestFit="1" customWidth="1"/>
    <col min="6417" max="6417" width="1.36328125" style="28" bestFit="1" customWidth="1"/>
    <col min="6418" max="6418" width="4.26953125" style="28" bestFit="1" customWidth="1"/>
    <col min="6419" max="6419" width="1.36328125" style="28" bestFit="1" customWidth="1"/>
    <col min="6420" max="6420" width="5.6328125" style="28" bestFit="1" customWidth="1"/>
    <col min="6421" max="6421" width="1.36328125" style="28" bestFit="1" customWidth="1"/>
    <col min="6422" max="6422" width="6.81640625" style="28" bestFit="1" customWidth="1"/>
    <col min="6423" max="6423" width="13.08984375" style="28" bestFit="1" customWidth="1"/>
    <col min="6424" max="6639" width="9.08984375" style="28"/>
    <col min="6640" max="6640" width="2.81640625" style="28" bestFit="1" customWidth="1"/>
    <col min="6641" max="6641" width="6.81640625" style="28" bestFit="1" customWidth="1"/>
    <col min="6642" max="6642" width="4.36328125" style="28" bestFit="1" customWidth="1"/>
    <col min="6643" max="6643" width="5.6328125" style="28" bestFit="1" customWidth="1"/>
    <col min="6644" max="6644" width="4" style="28" bestFit="1" customWidth="1"/>
    <col min="6645" max="6645" width="5.6328125" style="28" bestFit="1" customWidth="1"/>
    <col min="6646" max="6646" width="9.26953125" style="28" bestFit="1" customWidth="1"/>
    <col min="6647" max="6647" width="1.81640625" style="28" bestFit="1" customWidth="1"/>
    <col min="6648" max="6648" width="6.81640625" style="28" bestFit="1" customWidth="1"/>
    <col min="6649" max="6649" width="10.81640625" style="28" bestFit="1" customWidth="1"/>
    <col min="6650" max="6650" width="8.7265625" style="28" bestFit="1" customWidth="1"/>
    <col min="6651" max="6651" width="9.6328125" style="28" bestFit="1" customWidth="1"/>
    <col min="6652" max="6652" width="12" style="28" bestFit="1" customWidth="1"/>
    <col min="6653" max="6664" width="8.7265625" style="28" bestFit="1" customWidth="1"/>
    <col min="6665" max="6665" width="9.6328125" style="28" bestFit="1" customWidth="1"/>
    <col min="6666" max="6666" width="12" style="28" bestFit="1" customWidth="1"/>
    <col min="6667" max="6667" width="11.81640625" style="28" bestFit="1" customWidth="1"/>
    <col min="6668" max="6668" width="13.7265625" style="28" bestFit="1" customWidth="1"/>
    <col min="6669" max="6669" width="14.08984375" style="28" bestFit="1" customWidth="1"/>
    <col min="6670" max="6670" width="9.08984375" style="28"/>
    <col min="6671" max="6671" width="25.26953125" style="28" bestFit="1" customWidth="1"/>
    <col min="6672" max="6672" width="4.7265625" style="28" bestFit="1" customWidth="1"/>
    <col min="6673" max="6673" width="1.36328125" style="28" bestFit="1" customWidth="1"/>
    <col min="6674" max="6674" width="4.26953125" style="28" bestFit="1" customWidth="1"/>
    <col min="6675" max="6675" width="1.36328125" style="28" bestFit="1" customWidth="1"/>
    <col min="6676" max="6676" width="5.6328125" style="28" bestFit="1" customWidth="1"/>
    <col min="6677" max="6677" width="1.36328125" style="28" bestFit="1" customWidth="1"/>
    <col min="6678" max="6678" width="6.81640625" style="28" bestFit="1" customWidth="1"/>
    <col min="6679" max="6679" width="13.08984375" style="28" bestFit="1" customWidth="1"/>
    <col min="6680" max="6895" width="9.08984375" style="28"/>
    <col min="6896" max="6896" width="2.81640625" style="28" bestFit="1" customWidth="1"/>
    <col min="6897" max="6897" width="6.81640625" style="28" bestFit="1" customWidth="1"/>
    <col min="6898" max="6898" width="4.36328125" style="28" bestFit="1" customWidth="1"/>
    <col min="6899" max="6899" width="5.6328125" style="28" bestFit="1" customWidth="1"/>
    <col min="6900" max="6900" width="4" style="28" bestFit="1" customWidth="1"/>
    <col min="6901" max="6901" width="5.6328125" style="28" bestFit="1" customWidth="1"/>
    <col min="6902" max="6902" width="9.26953125" style="28" bestFit="1" customWidth="1"/>
    <col min="6903" max="6903" width="1.81640625" style="28" bestFit="1" customWidth="1"/>
    <col min="6904" max="6904" width="6.81640625" style="28" bestFit="1" customWidth="1"/>
    <col min="6905" max="6905" width="10.81640625" style="28" bestFit="1" customWidth="1"/>
    <col min="6906" max="6906" width="8.7265625" style="28" bestFit="1" customWidth="1"/>
    <col min="6907" max="6907" width="9.6328125" style="28" bestFit="1" customWidth="1"/>
    <col min="6908" max="6908" width="12" style="28" bestFit="1" customWidth="1"/>
    <col min="6909" max="6920" width="8.7265625" style="28" bestFit="1" customWidth="1"/>
    <col min="6921" max="6921" width="9.6328125" style="28" bestFit="1" customWidth="1"/>
    <col min="6922" max="6922" width="12" style="28" bestFit="1" customWidth="1"/>
    <col min="6923" max="6923" width="11.81640625" style="28" bestFit="1" customWidth="1"/>
    <col min="6924" max="6924" width="13.7265625" style="28" bestFit="1" customWidth="1"/>
    <col min="6925" max="6925" width="14.08984375" style="28" bestFit="1" customWidth="1"/>
    <col min="6926" max="6926" width="9.08984375" style="28"/>
    <col min="6927" max="6927" width="25.26953125" style="28" bestFit="1" customWidth="1"/>
    <col min="6928" max="6928" width="4.7265625" style="28" bestFit="1" customWidth="1"/>
    <col min="6929" max="6929" width="1.36328125" style="28" bestFit="1" customWidth="1"/>
    <col min="6930" max="6930" width="4.26953125" style="28" bestFit="1" customWidth="1"/>
    <col min="6931" max="6931" width="1.36328125" style="28" bestFit="1" customWidth="1"/>
    <col min="6932" max="6932" width="5.6328125" style="28" bestFit="1" customWidth="1"/>
    <col min="6933" max="6933" width="1.36328125" style="28" bestFit="1" customWidth="1"/>
    <col min="6934" max="6934" width="6.81640625" style="28" bestFit="1" customWidth="1"/>
    <col min="6935" max="6935" width="13.08984375" style="28" bestFit="1" customWidth="1"/>
    <col min="6936" max="7151" width="9.08984375" style="28"/>
    <col min="7152" max="7152" width="2.81640625" style="28" bestFit="1" customWidth="1"/>
    <col min="7153" max="7153" width="6.81640625" style="28" bestFit="1" customWidth="1"/>
    <col min="7154" max="7154" width="4.36328125" style="28" bestFit="1" customWidth="1"/>
    <col min="7155" max="7155" width="5.6328125" style="28" bestFit="1" customWidth="1"/>
    <col min="7156" max="7156" width="4" style="28" bestFit="1" customWidth="1"/>
    <col min="7157" max="7157" width="5.6328125" style="28" bestFit="1" customWidth="1"/>
    <col min="7158" max="7158" width="9.26953125" style="28" bestFit="1" customWidth="1"/>
    <col min="7159" max="7159" width="1.81640625" style="28" bestFit="1" customWidth="1"/>
    <col min="7160" max="7160" width="6.81640625" style="28" bestFit="1" customWidth="1"/>
    <col min="7161" max="7161" width="10.81640625" style="28" bestFit="1" customWidth="1"/>
    <col min="7162" max="7162" width="8.7265625" style="28" bestFit="1" customWidth="1"/>
    <col min="7163" max="7163" width="9.6328125" style="28" bestFit="1" customWidth="1"/>
    <col min="7164" max="7164" width="12" style="28" bestFit="1" customWidth="1"/>
    <col min="7165" max="7176" width="8.7265625" style="28" bestFit="1" customWidth="1"/>
    <col min="7177" max="7177" width="9.6328125" style="28" bestFit="1" customWidth="1"/>
    <col min="7178" max="7178" width="12" style="28" bestFit="1" customWidth="1"/>
    <col min="7179" max="7179" width="11.81640625" style="28" bestFit="1" customWidth="1"/>
    <col min="7180" max="7180" width="13.7265625" style="28" bestFit="1" customWidth="1"/>
    <col min="7181" max="7181" width="14.08984375" style="28" bestFit="1" customWidth="1"/>
    <col min="7182" max="7182" width="9.08984375" style="28"/>
    <col min="7183" max="7183" width="25.26953125" style="28" bestFit="1" customWidth="1"/>
    <col min="7184" max="7184" width="4.7265625" style="28" bestFit="1" customWidth="1"/>
    <col min="7185" max="7185" width="1.36328125" style="28" bestFit="1" customWidth="1"/>
    <col min="7186" max="7186" width="4.26953125" style="28" bestFit="1" customWidth="1"/>
    <col min="7187" max="7187" width="1.36328125" style="28" bestFit="1" customWidth="1"/>
    <col min="7188" max="7188" width="5.6328125" style="28" bestFit="1" customWidth="1"/>
    <col min="7189" max="7189" width="1.36328125" style="28" bestFit="1" customWidth="1"/>
    <col min="7190" max="7190" width="6.81640625" style="28" bestFit="1" customWidth="1"/>
    <col min="7191" max="7191" width="13.08984375" style="28" bestFit="1" customWidth="1"/>
    <col min="7192" max="7407" width="9.08984375" style="28"/>
    <col min="7408" max="7408" width="2.81640625" style="28" bestFit="1" customWidth="1"/>
    <col min="7409" max="7409" width="6.81640625" style="28" bestFit="1" customWidth="1"/>
    <col min="7410" max="7410" width="4.36328125" style="28" bestFit="1" customWidth="1"/>
    <col min="7411" max="7411" width="5.6328125" style="28" bestFit="1" customWidth="1"/>
    <col min="7412" max="7412" width="4" style="28" bestFit="1" customWidth="1"/>
    <col min="7413" max="7413" width="5.6328125" style="28" bestFit="1" customWidth="1"/>
    <col min="7414" max="7414" width="9.26953125" style="28" bestFit="1" customWidth="1"/>
    <col min="7415" max="7415" width="1.81640625" style="28" bestFit="1" customWidth="1"/>
    <col min="7416" max="7416" width="6.81640625" style="28" bestFit="1" customWidth="1"/>
    <col min="7417" max="7417" width="10.81640625" style="28" bestFit="1" customWidth="1"/>
    <col min="7418" max="7418" width="8.7265625" style="28" bestFit="1" customWidth="1"/>
    <col min="7419" max="7419" width="9.6328125" style="28" bestFit="1" customWidth="1"/>
    <col min="7420" max="7420" width="12" style="28" bestFit="1" customWidth="1"/>
    <col min="7421" max="7432" width="8.7265625" style="28" bestFit="1" customWidth="1"/>
    <col min="7433" max="7433" width="9.6328125" style="28" bestFit="1" customWidth="1"/>
    <col min="7434" max="7434" width="12" style="28" bestFit="1" customWidth="1"/>
    <col min="7435" max="7435" width="11.81640625" style="28" bestFit="1" customWidth="1"/>
    <col min="7436" max="7436" width="13.7265625" style="28" bestFit="1" customWidth="1"/>
    <col min="7437" max="7437" width="14.08984375" style="28" bestFit="1" customWidth="1"/>
    <col min="7438" max="7438" width="9.08984375" style="28"/>
    <col min="7439" max="7439" width="25.26953125" style="28" bestFit="1" customWidth="1"/>
    <col min="7440" max="7440" width="4.7265625" style="28" bestFit="1" customWidth="1"/>
    <col min="7441" max="7441" width="1.36328125" style="28" bestFit="1" customWidth="1"/>
    <col min="7442" max="7442" width="4.26953125" style="28" bestFit="1" customWidth="1"/>
    <col min="7443" max="7443" width="1.36328125" style="28" bestFit="1" customWidth="1"/>
    <col min="7444" max="7444" width="5.6328125" style="28" bestFit="1" customWidth="1"/>
    <col min="7445" max="7445" width="1.36328125" style="28" bestFit="1" customWidth="1"/>
    <col min="7446" max="7446" width="6.81640625" style="28" bestFit="1" customWidth="1"/>
    <col min="7447" max="7447" width="13.08984375" style="28" bestFit="1" customWidth="1"/>
    <col min="7448" max="7663" width="9.08984375" style="28"/>
    <col min="7664" max="7664" width="2.81640625" style="28" bestFit="1" customWidth="1"/>
    <col min="7665" max="7665" width="6.81640625" style="28" bestFit="1" customWidth="1"/>
    <col min="7666" max="7666" width="4.36328125" style="28" bestFit="1" customWidth="1"/>
    <col min="7667" max="7667" width="5.6328125" style="28" bestFit="1" customWidth="1"/>
    <col min="7668" max="7668" width="4" style="28" bestFit="1" customWidth="1"/>
    <col min="7669" max="7669" width="5.6328125" style="28" bestFit="1" customWidth="1"/>
    <col min="7670" max="7670" width="9.26953125" style="28" bestFit="1" customWidth="1"/>
    <col min="7671" max="7671" width="1.81640625" style="28" bestFit="1" customWidth="1"/>
    <col min="7672" max="7672" width="6.81640625" style="28" bestFit="1" customWidth="1"/>
    <col min="7673" max="7673" width="10.81640625" style="28" bestFit="1" customWidth="1"/>
    <col min="7674" max="7674" width="8.7265625" style="28" bestFit="1" customWidth="1"/>
    <col min="7675" max="7675" width="9.6328125" style="28" bestFit="1" customWidth="1"/>
    <col min="7676" max="7676" width="12" style="28" bestFit="1" customWidth="1"/>
    <col min="7677" max="7688" width="8.7265625" style="28" bestFit="1" customWidth="1"/>
    <col min="7689" max="7689" width="9.6328125" style="28" bestFit="1" customWidth="1"/>
    <col min="7690" max="7690" width="12" style="28" bestFit="1" customWidth="1"/>
    <col min="7691" max="7691" width="11.81640625" style="28" bestFit="1" customWidth="1"/>
    <col min="7692" max="7692" width="13.7265625" style="28" bestFit="1" customWidth="1"/>
    <col min="7693" max="7693" width="14.08984375" style="28" bestFit="1" customWidth="1"/>
    <col min="7694" max="7694" width="9.08984375" style="28"/>
    <col min="7695" max="7695" width="25.26953125" style="28" bestFit="1" customWidth="1"/>
    <col min="7696" max="7696" width="4.7265625" style="28" bestFit="1" customWidth="1"/>
    <col min="7697" max="7697" width="1.36328125" style="28" bestFit="1" customWidth="1"/>
    <col min="7698" max="7698" width="4.26953125" style="28" bestFit="1" customWidth="1"/>
    <col min="7699" max="7699" width="1.36328125" style="28" bestFit="1" customWidth="1"/>
    <col min="7700" max="7700" width="5.6328125" style="28" bestFit="1" customWidth="1"/>
    <col min="7701" max="7701" width="1.36328125" style="28" bestFit="1" customWidth="1"/>
    <col min="7702" max="7702" width="6.81640625" style="28" bestFit="1" customWidth="1"/>
    <col min="7703" max="7703" width="13.08984375" style="28" bestFit="1" customWidth="1"/>
    <col min="7704" max="7919" width="9.08984375" style="28"/>
    <col min="7920" max="7920" width="2.81640625" style="28" bestFit="1" customWidth="1"/>
    <col min="7921" max="7921" width="6.81640625" style="28" bestFit="1" customWidth="1"/>
    <col min="7922" max="7922" width="4.36328125" style="28" bestFit="1" customWidth="1"/>
    <col min="7923" max="7923" width="5.6328125" style="28" bestFit="1" customWidth="1"/>
    <col min="7924" max="7924" width="4" style="28" bestFit="1" customWidth="1"/>
    <col min="7925" max="7925" width="5.6328125" style="28" bestFit="1" customWidth="1"/>
    <col min="7926" max="7926" width="9.26953125" style="28" bestFit="1" customWidth="1"/>
    <col min="7927" max="7927" width="1.81640625" style="28" bestFit="1" customWidth="1"/>
    <col min="7928" max="7928" width="6.81640625" style="28" bestFit="1" customWidth="1"/>
    <col min="7929" max="7929" width="10.81640625" style="28" bestFit="1" customWidth="1"/>
    <col min="7930" max="7930" width="8.7265625" style="28" bestFit="1" customWidth="1"/>
    <col min="7931" max="7931" width="9.6328125" style="28" bestFit="1" customWidth="1"/>
    <col min="7932" max="7932" width="12" style="28" bestFit="1" customWidth="1"/>
    <col min="7933" max="7944" width="8.7265625" style="28" bestFit="1" customWidth="1"/>
    <col min="7945" max="7945" width="9.6328125" style="28" bestFit="1" customWidth="1"/>
    <col min="7946" max="7946" width="12" style="28" bestFit="1" customWidth="1"/>
    <col min="7947" max="7947" width="11.81640625" style="28" bestFit="1" customWidth="1"/>
    <col min="7948" max="7948" width="13.7265625" style="28" bestFit="1" customWidth="1"/>
    <col min="7949" max="7949" width="14.08984375" style="28" bestFit="1" customWidth="1"/>
    <col min="7950" max="7950" width="9.08984375" style="28"/>
    <col min="7951" max="7951" width="25.26953125" style="28" bestFit="1" customWidth="1"/>
    <col min="7952" max="7952" width="4.7265625" style="28" bestFit="1" customWidth="1"/>
    <col min="7953" max="7953" width="1.36328125" style="28" bestFit="1" customWidth="1"/>
    <col min="7954" max="7954" width="4.26953125" style="28" bestFit="1" customWidth="1"/>
    <col min="7955" max="7955" width="1.36328125" style="28" bestFit="1" customWidth="1"/>
    <col min="7956" max="7956" width="5.6328125" style="28" bestFit="1" customWidth="1"/>
    <col min="7957" max="7957" width="1.36328125" style="28" bestFit="1" customWidth="1"/>
    <col min="7958" max="7958" width="6.81640625" style="28" bestFit="1" customWidth="1"/>
    <col min="7959" max="7959" width="13.08984375" style="28" bestFit="1" customWidth="1"/>
    <col min="7960" max="8175" width="9.08984375" style="28"/>
    <col min="8176" max="8176" width="2.81640625" style="28" bestFit="1" customWidth="1"/>
    <col min="8177" max="8177" width="6.81640625" style="28" bestFit="1" customWidth="1"/>
    <col min="8178" max="8178" width="4.36328125" style="28" bestFit="1" customWidth="1"/>
    <col min="8179" max="8179" width="5.6328125" style="28" bestFit="1" customWidth="1"/>
    <col min="8180" max="8180" width="4" style="28" bestFit="1" customWidth="1"/>
    <col min="8181" max="8181" width="5.6328125" style="28" bestFit="1" customWidth="1"/>
    <col min="8182" max="8182" width="9.26953125" style="28" bestFit="1" customWidth="1"/>
    <col min="8183" max="8183" width="1.81640625" style="28" bestFit="1" customWidth="1"/>
    <col min="8184" max="8184" width="6.81640625" style="28" bestFit="1" customWidth="1"/>
    <col min="8185" max="8185" width="10.81640625" style="28" bestFit="1" customWidth="1"/>
    <col min="8186" max="8186" width="8.7265625" style="28" bestFit="1" customWidth="1"/>
    <col min="8187" max="8187" width="9.6328125" style="28" bestFit="1" customWidth="1"/>
    <col min="8188" max="8188" width="12" style="28" bestFit="1" customWidth="1"/>
    <col min="8189" max="8200" width="8.7265625" style="28" bestFit="1" customWidth="1"/>
    <col min="8201" max="8201" width="9.6328125" style="28" bestFit="1" customWidth="1"/>
    <col min="8202" max="8202" width="12" style="28" bestFit="1" customWidth="1"/>
    <col min="8203" max="8203" width="11.81640625" style="28" bestFit="1" customWidth="1"/>
    <col min="8204" max="8204" width="13.7265625" style="28" bestFit="1" customWidth="1"/>
    <col min="8205" max="8205" width="14.08984375" style="28" bestFit="1" customWidth="1"/>
    <col min="8206" max="8206" width="9.08984375" style="28"/>
    <col min="8207" max="8207" width="25.26953125" style="28" bestFit="1" customWidth="1"/>
    <col min="8208" max="8208" width="4.7265625" style="28" bestFit="1" customWidth="1"/>
    <col min="8209" max="8209" width="1.36328125" style="28" bestFit="1" customWidth="1"/>
    <col min="8210" max="8210" width="4.26953125" style="28" bestFit="1" customWidth="1"/>
    <col min="8211" max="8211" width="1.36328125" style="28" bestFit="1" customWidth="1"/>
    <col min="8212" max="8212" width="5.6328125" style="28" bestFit="1" customWidth="1"/>
    <col min="8213" max="8213" width="1.36328125" style="28" bestFit="1" customWidth="1"/>
    <col min="8214" max="8214" width="6.81640625" style="28" bestFit="1" customWidth="1"/>
    <col min="8215" max="8215" width="13.08984375" style="28" bestFit="1" customWidth="1"/>
    <col min="8216" max="8431" width="9.08984375" style="28"/>
    <col min="8432" max="8432" width="2.81640625" style="28" bestFit="1" customWidth="1"/>
    <col min="8433" max="8433" width="6.81640625" style="28" bestFit="1" customWidth="1"/>
    <col min="8434" max="8434" width="4.36328125" style="28" bestFit="1" customWidth="1"/>
    <col min="8435" max="8435" width="5.6328125" style="28" bestFit="1" customWidth="1"/>
    <col min="8436" max="8436" width="4" style="28" bestFit="1" customWidth="1"/>
    <col min="8437" max="8437" width="5.6328125" style="28" bestFit="1" customWidth="1"/>
    <col min="8438" max="8438" width="9.26953125" style="28" bestFit="1" customWidth="1"/>
    <col min="8439" max="8439" width="1.81640625" style="28" bestFit="1" customWidth="1"/>
    <col min="8440" max="8440" width="6.81640625" style="28" bestFit="1" customWidth="1"/>
    <col min="8441" max="8441" width="10.81640625" style="28" bestFit="1" customWidth="1"/>
    <col min="8442" max="8442" width="8.7265625" style="28" bestFit="1" customWidth="1"/>
    <col min="8443" max="8443" width="9.6328125" style="28" bestFit="1" customWidth="1"/>
    <col min="8444" max="8444" width="12" style="28" bestFit="1" customWidth="1"/>
    <col min="8445" max="8456" width="8.7265625" style="28" bestFit="1" customWidth="1"/>
    <col min="8457" max="8457" width="9.6328125" style="28" bestFit="1" customWidth="1"/>
    <col min="8458" max="8458" width="12" style="28" bestFit="1" customWidth="1"/>
    <col min="8459" max="8459" width="11.81640625" style="28" bestFit="1" customWidth="1"/>
    <col min="8460" max="8460" width="13.7265625" style="28" bestFit="1" customWidth="1"/>
    <col min="8461" max="8461" width="14.08984375" style="28" bestFit="1" customWidth="1"/>
    <col min="8462" max="8462" width="9.08984375" style="28"/>
    <col min="8463" max="8463" width="25.26953125" style="28" bestFit="1" customWidth="1"/>
    <col min="8464" max="8464" width="4.7265625" style="28" bestFit="1" customWidth="1"/>
    <col min="8465" max="8465" width="1.36328125" style="28" bestFit="1" customWidth="1"/>
    <col min="8466" max="8466" width="4.26953125" style="28" bestFit="1" customWidth="1"/>
    <col min="8467" max="8467" width="1.36328125" style="28" bestFit="1" customWidth="1"/>
    <col min="8468" max="8468" width="5.6328125" style="28" bestFit="1" customWidth="1"/>
    <col min="8469" max="8469" width="1.36328125" style="28" bestFit="1" customWidth="1"/>
    <col min="8470" max="8470" width="6.81640625" style="28" bestFit="1" customWidth="1"/>
    <col min="8471" max="8471" width="13.08984375" style="28" bestFit="1" customWidth="1"/>
    <col min="8472" max="8687" width="9.08984375" style="28"/>
    <col min="8688" max="8688" width="2.81640625" style="28" bestFit="1" customWidth="1"/>
    <col min="8689" max="8689" width="6.81640625" style="28" bestFit="1" customWidth="1"/>
    <col min="8690" max="8690" width="4.36328125" style="28" bestFit="1" customWidth="1"/>
    <col min="8691" max="8691" width="5.6328125" style="28" bestFit="1" customWidth="1"/>
    <col min="8692" max="8692" width="4" style="28" bestFit="1" customWidth="1"/>
    <col min="8693" max="8693" width="5.6328125" style="28" bestFit="1" customWidth="1"/>
    <col min="8694" max="8694" width="9.26953125" style="28" bestFit="1" customWidth="1"/>
    <col min="8695" max="8695" width="1.81640625" style="28" bestFit="1" customWidth="1"/>
    <col min="8696" max="8696" width="6.81640625" style="28" bestFit="1" customWidth="1"/>
    <col min="8697" max="8697" width="10.81640625" style="28" bestFit="1" customWidth="1"/>
    <col min="8698" max="8698" width="8.7265625" style="28" bestFit="1" customWidth="1"/>
    <col min="8699" max="8699" width="9.6328125" style="28" bestFit="1" customWidth="1"/>
    <col min="8700" max="8700" width="12" style="28" bestFit="1" customWidth="1"/>
    <col min="8701" max="8712" width="8.7265625" style="28" bestFit="1" customWidth="1"/>
    <col min="8713" max="8713" width="9.6328125" style="28" bestFit="1" customWidth="1"/>
    <col min="8714" max="8714" width="12" style="28" bestFit="1" customWidth="1"/>
    <col min="8715" max="8715" width="11.81640625" style="28" bestFit="1" customWidth="1"/>
    <col min="8716" max="8716" width="13.7265625" style="28" bestFit="1" customWidth="1"/>
    <col min="8717" max="8717" width="14.08984375" style="28" bestFit="1" customWidth="1"/>
    <col min="8718" max="8718" width="9.08984375" style="28"/>
    <col min="8719" max="8719" width="25.26953125" style="28" bestFit="1" customWidth="1"/>
    <col min="8720" max="8720" width="4.7265625" style="28" bestFit="1" customWidth="1"/>
    <col min="8721" max="8721" width="1.36328125" style="28" bestFit="1" customWidth="1"/>
    <col min="8722" max="8722" width="4.26953125" style="28" bestFit="1" customWidth="1"/>
    <col min="8723" max="8723" width="1.36328125" style="28" bestFit="1" customWidth="1"/>
    <col min="8724" max="8724" width="5.6328125" style="28" bestFit="1" customWidth="1"/>
    <col min="8725" max="8725" width="1.36328125" style="28" bestFit="1" customWidth="1"/>
    <col min="8726" max="8726" width="6.81640625" style="28" bestFit="1" customWidth="1"/>
    <col min="8727" max="8727" width="13.08984375" style="28" bestFit="1" customWidth="1"/>
    <col min="8728" max="8943" width="9.08984375" style="28"/>
    <col min="8944" max="8944" width="2.81640625" style="28" bestFit="1" customWidth="1"/>
    <col min="8945" max="8945" width="6.81640625" style="28" bestFit="1" customWidth="1"/>
    <col min="8946" max="8946" width="4.36328125" style="28" bestFit="1" customWidth="1"/>
    <col min="8947" max="8947" width="5.6328125" style="28" bestFit="1" customWidth="1"/>
    <col min="8948" max="8948" width="4" style="28" bestFit="1" customWidth="1"/>
    <col min="8949" max="8949" width="5.6328125" style="28" bestFit="1" customWidth="1"/>
    <col min="8950" max="8950" width="9.26953125" style="28" bestFit="1" customWidth="1"/>
    <col min="8951" max="8951" width="1.81640625" style="28" bestFit="1" customWidth="1"/>
    <col min="8952" max="8952" width="6.81640625" style="28" bestFit="1" customWidth="1"/>
    <col min="8953" max="8953" width="10.81640625" style="28" bestFit="1" customWidth="1"/>
    <col min="8954" max="8954" width="8.7265625" style="28" bestFit="1" customWidth="1"/>
    <col min="8955" max="8955" width="9.6328125" style="28" bestFit="1" customWidth="1"/>
    <col min="8956" max="8956" width="12" style="28" bestFit="1" customWidth="1"/>
    <col min="8957" max="8968" width="8.7265625" style="28" bestFit="1" customWidth="1"/>
    <col min="8969" max="8969" width="9.6328125" style="28" bestFit="1" customWidth="1"/>
    <col min="8970" max="8970" width="12" style="28" bestFit="1" customWidth="1"/>
    <col min="8971" max="8971" width="11.81640625" style="28" bestFit="1" customWidth="1"/>
    <col min="8972" max="8972" width="13.7265625" style="28" bestFit="1" customWidth="1"/>
    <col min="8973" max="8973" width="14.08984375" style="28" bestFit="1" customWidth="1"/>
    <col min="8974" max="8974" width="9.08984375" style="28"/>
    <col min="8975" max="8975" width="25.26953125" style="28" bestFit="1" customWidth="1"/>
    <col min="8976" max="8976" width="4.7265625" style="28" bestFit="1" customWidth="1"/>
    <col min="8977" max="8977" width="1.36328125" style="28" bestFit="1" customWidth="1"/>
    <col min="8978" max="8978" width="4.26953125" style="28" bestFit="1" customWidth="1"/>
    <col min="8979" max="8979" width="1.36328125" style="28" bestFit="1" customWidth="1"/>
    <col min="8980" max="8980" width="5.6328125" style="28" bestFit="1" customWidth="1"/>
    <col min="8981" max="8981" width="1.36328125" style="28" bestFit="1" customWidth="1"/>
    <col min="8982" max="8982" width="6.81640625" style="28" bestFit="1" customWidth="1"/>
    <col min="8983" max="8983" width="13.08984375" style="28" bestFit="1" customWidth="1"/>
    <col min="8984" max="9199" width="9.08984375" style="28"/>
    <col min="9200" max="9200" width="2.81640625" style="28" bestFit="1" customWidth="1"/>
    <col min="9201" max="9201" width="6.81640625" style="28" bestFit="1" customWidth="1"/>
    <col min="9202" max="9202" width="4.36328125" style="28" bestFit="1" customWidth="1"/>
    <col min="9203" max="9203" width="5.6328125" style="28" bestFit="1" customWidth="1"/>
    <col min="9204" max="9204" width="4" style="28" bestFit="1" customWidth="1"/>
    <col min="9205" max="9205" width="5.6328125" style="28" bestFit="1" customWidth="1"/>
    <col min="9206" max="9206" width="9.26953125" style="28" bestFit="1" customWidth="1"/>
    <col min="9207" max="9207" width="1.81640625" style="28" bestFit="1" customWidth="1"/>
    <col min="9208" max="9208" width="6.81640625" style="28" bestFit="1" customWidth="1"/>
    <col min="9209" max="9209" width="10.81640625" style="28" bestFit="1" customWidth="1"/>
    <col min="9210" max="9210" width="8.7265625" style="28" bestFit="1" customWidth="1"/>
    <col min="9211" max="9211" width="9.6328125" style="28" bestFit="1" customWidth="1"/>
    <col min="9212" max="9212" width="12" style="28" bestFit="1" customWidth="1"/>
    <col min="9213" max="9224" width="8.7265625" style="28" bestFit="1" customWidth="1"/>
    <col min="9225" max="9225" width="9.6328125" style="28" bestFit="1" customWidth="1"/>
    <col min="9226" max="9226" width="12" style="28" bestFit="1" customWidth="1"/>
    <col min="9227" max="9227" width="11.81640625" style="28" bestFit="1" customWidth="1"/>
    <col min="9228" max="9228" width="13.7265625" style="28" bestFit="1" customWidth="1"/>
    <col min="9229" max="9229" width="14.08984375" style="28" bestFit="1" customWidth="1"/>
    <col min="9230" max="9230" width="9.08984375" style="28"/>
    <col min="9231" max="9231" width="25.26953125" style="28" bestFit="1" customWidth="1"/>
    <col min="9232" max="9232" width="4.7265625" style="28" bestFit="1" customWidth="1"/>
    <col min="9233" max="9233" width="1.36328125" style="28" bestFit="1" customWidth="1"/>
    <col min="9234" max="9234" width="4.26953125" style="28" bestFit="1" customWidth="1"/>
    <col min="9235" max="9235" width="1.36328125" style="28" bestFit="1" customWidth="1"/>
    <col min="9236" max="9236" width="5.6328125" style="28" bestFit="1" customWidth="1"/>
    <col min="9237" max="9237" width="1.36328125" style="28" bestFit="1" customWidth="1"/>
    <col min="9238" max="9238" width="6.81640625" style="28" bestFit="1" customWidth="1"/>
    <col min="9239" max="9239" width="13.08984375" style="28" bestFit="1" customWidth="1"/>
    <col min="9240" max="9455" width="9.08984375" style="28"/>
    <col min="9456" max="9456" width="2.81640625" style="28" bestFit="1" customWidth="1"/>
    <col min="9457" max="9457" width="6.81640625" style="28" bestFit="1" customWidth="1"/>
    <col min="9458" max="9458" width="4.36328125" style="28" bestFit="1" customWidth="1"/>
    <col min="9459" max="9459" width="5.6328125" style="28" bestFit="1" customWidth="1"/>
    <col min="9460" max="9460" width="4" style="28" bestFit="1" customWidth="1"/>
    <col min="9461" max="9461" width="5.6328125" style="28" bestFit="1" customWidth="1"/>
    <col min="9462" max="9462" width="9.26953125" style="28" bestFit="1" customWidth="1"/>
    <col min="9463" max="9463" width="1.81640625" style="28" bestFit="1" customWidth="1"/>
    <col min="9464" max="9464" width="6.81640625" style="28" bestFit="1" customWidth="1"/>
    <col min="9465" max="9465" width="10.81640625" style="28" bestFit="1" customWidth="1"/>
    <col min="9466" max="9466" width="8.7265625" style="28" bestFit="1" customWidth="1"/>
    <col min="9467" max="9467" width="9.6328125" style="28" bestFit="1" customWidth="1"/>
    <col min="9468" max="9468" width="12" style="28" bestFit="1" customWidth="1"/>
    <col min="9469" max="9480" width="8.7265625" style="28" bestFit="1" customWidth="1"/>
    <col min="9481" max="9481" width="9.6328125" style="28" bestFit="1" customWidth="1"/>
    <col min="9482" max="9482" width="12" style="28" bestFit="1" customWidth="1"/>
    <col min="9483" max="9483" width="11.81640625" style="28" bestFit="1" customWidth="1"/>
    <col min="9484" max="9484" width="13.7265625" style="28" bestFit="1" customWidth="1"/>
    <col min="9485" max="9485" width="14.08984375" style="28" bestFit="1" customWidth="1"/>
    <col min="9486" max="9486" width="9.08984375" style="28"/>
    <col min="9487" max="9487" width="25.26953125" style="28" bestFit="1" customWidth="1"/>
    <col min="9488" max="9488" width="4.7265625" style="28" bestFit="1" customWidth="1"/>
    <col min="9489" max="9489" width="1.36328125" style="28" bestFit="1" customWidth="1"/>
    <col min="9490" max="9490" width="4.26953125" style="28" bestFit="1" customWidth="1"/>
    <col min="9491" max="9491" width="1.36328125" style="28" bestFit="1" customWidth="1"/>
    <col min="9492" max="9492" width="5.6328125" style="28" bestFit="1" customWidth="1"/>
    <col min="9493" max="9493" width="1.36328125" style="28" bestFit="1" customWidth="1"/>
    <col min="9494" max="9494" width="6.81640625" style="28" bestFit="1" customWidth="1"/>
    <col min="9495" max="9495" width="13.08984375" style="28" bestFit="1" customWidth="1"/>
    <col min="9496" max="9711" width="9.08984375" style="28"/>
    <col min="9712" max="9712" width="2.81640625" style="28" bestFit="1" customWidth="1"/>
    <col min="9713" max="9713" width="6.81640625" style="28" bestFit="1" customWidth="1"/>
    <col min="9714" max="9714" width="4.36328125" style="28" bestFit="1" customWidth="1"/>
    <col min="9715" max="9715" width="5.6328125" style="28" bestFit="1" customWidth="1"/>
    <col min="9716" max="9716" width="4" style="28" bestFit="1" customWidth="1"/>
    <col min="9717" max="9717" width="5.6328125" style="28" bestFit="1" customWidth="1"/>
    <col min="9718" max="9718" width="9.26953125" style="28" bestFit="1" customWidth="1"/>
    <col min="9719" max="9719" width="1.81640625" style="28" bestFit="1" customWidth="1"/>
    <col min="9720" max="9720" width="6.81640625" style="28" bestFit="1" customWidth="1"/>
    <col min="9721" max="9721" width="10.81640625" style="28" bestFit="1" customWidth="1"/>
    <col min="9722" max="9722" width="8.7265625" style="28" bestFit="1" customWidth="1"/>
    <col min="9723" max="9723" width="9.6328125" style="28" bestFit="1" customWidth="1"/>
    <col min="9724" max="9724" width="12" style="28" bestFit="1" customWidth="1"/>
    <col min="9725" max="9736" width="8.7265625" style="28" bestFit="1" customWidth="1"/>
    <col min="9737" max="9737" width="9.6328125" style="28" bestFit="1" customWidth="1"/>
    <col min="9738" max="9738" width="12" style="28" bestFit="1" customWidth="1"/>
    <col min="9739" max="9739" width="11.81640625" style="28" bestFit="1" customWidth="1"/>
    <col min="9740" max="9740" width="13.7265625" style="28" bestFit="1" customWidth="1"/>
    <col min="9741" max="9741" width="14.08984375" style="28" bestFit="1" customWidth="1"/>
    <col min="9742" max="9742" width="9.08984375" style="28"/>
    <col min="9743" max="9743" width="25.26953125" style="28" bestFit="1" customWidth="1"/>
    <col min="9744" max="9744" width="4.7265625" style="28" bestFit="1" customWidth="1"/>
    <col min="9745" max="9745" width="1.36328125" style="28" bestFit="1" customWidth="1"/>
    <col min="9746" max="9746" width="4.26953125" style="28" bestFit="1" customWidth="1"/>
    <col min="9747" max="9747" width="1.36328125" style="28" bestFit="1" customWidth="1"/>
    <col min="9748" max="9748" width="5.6328125" style="28" bestFit="1" customWidth="1"/>
    <col min="9749" max="9749" width="1.36328125" style="28" bestFit="1" customWidth="1"/>
    <col min="9750" max="9750" width="6.81640625" style="28" bestFit="1" customWidth="1"/>
    <col min="9751" max="9751" width="13.08984375" style="28" bestFit="1" customWidth="1"/>
    <col min="9752" max="9967" width="9.08984375" style="28"/>
    <col min="9968" max="9968" width="2.81640625" style="28" bestFit="1" customWidth="1"/>
    <col min="9969" max="9969" width="6.81640625" style="28" bestFit="1" customWidth="1"/>
    <col min="9970" max="9970" width="4.36328125" style="28" bestFit="1" customWidth="1"/>
    <col min="9971" max="9971" width="5.6328125" style="28" bestFit="1" customWidth="1"/>
    <col min="9972" max="9972" width="4" style="28" bestFit="1" customWidth="1"/>
    <col min="9973" max="9973" width="5.6328125" style="28" bestFit="1" customWidth="1"/>
    <col min="9974" max="9974" width="9.26953125" style="28" bestFit="1" customWidth="1"/>
    <col min="9975" max="9975" width="1.81640625" style="28" bestFit="1" customWidth="1"/>
    <col min="9976" max="9976" width="6.81640625" style="28" bestFit="1" customWidth="1"/>
    <col min="9977" max="9977" width="10.81640625" style="28" bestFit="1" customWidth="1"/>
    <col min="9978" max="9978" width="8.7265625" style="28" bestFit="1" customWidth="1"/>
    <col min="9979" max="9979" width="9.6328125" style="28" bestFit="1" customWidth="1"/>
    <col min="9980" max="9980" width="12" style="28" bestFit="1" customWidth="1"/>
    <col min="9981" max="9992" width="8.7265625" style="28" bestFit="1" customWidth="1"/>
    <col min="9993" max="9993" width="9.6328125" style="28" bestFit="1" customWidth="1"/>
    <col min="9994" max="9994" width="12" style="28" bestFit="1" customWidth="1"/>
    <col min="9995" max="9995" width="11.81640625" style="28" bestFit="1" customWidth="1"/>
    <col min="9996" max="9996" width="13.7265625" style="28" bestFit="1" customWidth="1"/>
    <col min="9997" max="9997" width="14.08984375" style="28" bestFit="1" customWidth="1"/>
    <col min="9998" max="9998" width="9.08984375" style="28"/>
    <col min="9999" max="9999" width="25.26953125" style="28" bestFit="1" customWidth="1"/>
    <col min="10000" max="10000" width="4.7265625" style="28" bestFit="1" customWidth="1"/>
    <col min="10001" max="10001" width="1.36328125" style="28" bestFit="1" customWidth="1"/>
    <col min="10002" max="10002" width="4.26953125" style="28" bestFit="1" customWidth="1"/>
    <col min="10003" max="10003" width="1.36328125" style="28" bestFit="1" customWidth="1"/>
    <col min="10004" max="10004" width="5.6328125" style="28" bestFit="1" customWidth="1"/>
    <col min="10005" max="10005" width="1.36328125" style="28" bestFit="1" customWidth="1"/>
    <col min="10006" max="10006" width="6.81640625" style="28" bestFit="1" customWidth="1"/>
    <col min="10007" max="10007" width="13.08984375" style="28" bestFit="1" customWidth="1"/>
    <col min="10008" max="10223" width="9.08984375" style="28"/>
    <col min="10224" max="10224" width="2.81640625" style="28" bestFit="1" customWidth="1"/>
    <col min="10225" max="10225" width="6.81640625" style="28" bestFit="1" customWidth="1"/>
    <col min="10226" max="10226" width="4.36328125" style="28" bestFit="1" customWidth="1"/>
    <col min="10227" max="10227" width="5.6328125" style="28" bestFit="1" customWidth="1"/>
    <col min="10228" max="10228" width="4" style="28" bestFit="1" customWidth="1"/>
    <col min="10229" max="10229" width="5.6328125" style="28" bestFit="1" customWidth="1"/>
    <col min="10230" max="10230" width="9.26953125" style="28" bestFit="1" customWidth="1"/>
    <col min="10231" max="10231" width="1.81640625" style="28" bestFit="1" customWidth="1"/>
    <col min="10232" max="10232" width="6.81640625" style="28" bestFit="1" customWidth="1"/>
    <col min="10233" max="10233" width="10.81640625" style="28" bestFit="1" customWidth="1"/>
    <col min="10234" max="10234" width="8.7265625" style="28" bestFit="1" customWidth="1"/>
    <col min="10235" max="10235" width="9.6328125" style="28" bestFit="1" customWidth="1"/>
    <col min="10236" max="10236" width="12" style="28" bestFit="1" customWidth="1"/>
    <col min="10237" max="10248" width="8.7265625" style="28" bestFit="1" customWidth="1"/>
    <col min="10249" max="10249" width="9.6328125" style="28" bestFit="1" customWidth="1"/>
    <col min="10250" max="10250" width="12" style="28" bestFit="1" customWidth="1"/>
    <col min="10251" max="10251" width="11.81640625" style="28" bestFit="1" customWidth="1"/>
    <col min="10252" max="10252" width="13.7265625" style="28" bestFit="1" customWidth="1"/>
    <col min="10253" max="10253" width="14.08984375" style="28" bestFit="1" customWidth="1"/>
    <col min="10254" max="10254" width="9.08984375" style="28"/>
    <col min="10255" max="10255" width="25.26953125" style="28" bestFit="1" customWidth="1"/>
    <col min="10256" max="10256" width="4.7265625" style="28" bestFit="1" customWidth="1"/>
    <col min="10257" max="10257" width="1.36328125" style="28" bestFit="1" customWidth="1"/>
    <col min="10258" max="10258" width="4.26953125" style="28" bestFit="1" customWidth="1"/>
    <col min="10259" max="10259" width="1.36328125" style="28" bestFit="1" customWidth="1"/>
    <col min="10260" max="10260" width="5.6328125" style="28" bestFit="1" customWidth="1"/>
    <col min="10261" max="10261" width="1.36328125" style="28" bestFit="1" customWidth="1"/>
    <col min="10262" max="10262" width="6.81640625" style="28" bestFit="1" customWidth="1"/>
    <col min="10263" max="10263" width="13.08984375" style="28" bestFit="1" customWidth="1"/>
    <col min="10264" max="10479" width="9.08984375" style="28"/>
    <col min="10480" max="10480" width="2.81640625" style="28" bestFit="1" customWidth="1"/>
    <col min="10481" max="10481" width="6.81640625" style="28" bestFit="1" customWidth="1"/>
    <col min="10482" max="10482" width="4.36328125" style="28" bestFit="1" customWidth="1"/>
    <col min="10483" max="10483" width="5.6328125" style="28" bestFit="1" customWidth="1"/>
    <col min="10484" max="10484" width="4" style="28" bestFit="1" customWidth="1"/>
    <col min="10485" max="10485" width="5.6328125" style="28" bestFit="1" customWidth="1"/>
    <col min="10486" max="10486" width="9.26953125" style="28" bestFit="1" customWidth="1"/>
    <col min="10487" max="10487" width="1.81640625" style="28" bestFit="1" customWidth="1"/>
    <col min="10488" max="10488" width="6.81640625" style="28" bestFit="1" customWidth="1"/>
    <col min="10489" max="10489" width="10.81640625" style="28" bestFit="1" customWidth="1"/>
    <col min="10490" max="10490" width="8.7265625" style="28" bestFit="1" customWidth="1"/>
    <col min="10491" max="10491" width="9.6328125" style="28" bestFit="1" customWidth="1"/>
    <col min="10492" max="10492" width="12" style="28" bestFit="1" customWidth="1"/>
    <col min="10493" max="10504" width="8.7265625" style="28" bestFit="1" customWidth="1"/>
    <col min="10505" max="10505" width="9.6328125" style="28" bestFit="1" customWidth="1"/>
    <col min="10506" max="10506" width="12" style="28" bestFit="1" customWidth="1"/>
    <col min="10507" max="10507" width="11.81640625" style="28" bestFit="1" customWidth="1"/>
    <col min="10508" max="10508" width="13.7265625" style="28" bestFit="1" customWidth="1"/>
    <col min="10509" max="10509" width="14.08984375" style="28" bestFit="1" customWidth="1"/>
    <col min="10510" max="10510" width="9.08984375" style="28"/>
    <col min="10511" max="10511" width="25.26953125" style="28" bestFit="1" customWidth="1"/>
    <col min="10512" max="10512" width="4.7265625" style="28" bestFit="1" customWidth="1"/>
    <col min="10513" max="10513" width="1.36328125" style="28" bestFit="1" customWidth="1"/>
    <col min="10514" max="10514" width="4.26953125" style="28" bestFit="1" customWidth="1"/>
    <col min="10515" max="10515" width="1.36328125" style="28" bestFit="1" customWidth="1"/>
    <col min="10516" max="10516" width="5.6328125" style="28" bestFit="1" customWidth="1"/>
    <col min="10517" max="10517" width="1.36328125" style="28" bestFit="1" customWidth="1"/>
    <col min="10518" max="10518" width="6.81640625" style="28" bestFit="1" customWidth="1"/>
    <col min="10519" max="10519" width="13.08984375" style="28" bestFit="1" customWidth="1"/>
    <col min="10520" max="10735" width="9.08984375" style="28"/>
    <col min="10736" max="10736" width="2.81640625" style="28" bestFit="1" customWidth="1"/>
    <col min="10737" max="10737" width="6.81640625" style="28" bestFit="1" customWidth="1"/>
    <col min="10738" max="10738" width="4.36328125" style="28" bestFit="1" customWidth="1"/>
    <col min="10739" max="10739" width="5.6328125" style="28" bestFit="1" customWidth="1"/>
    <col min="10740" max="10740" width="4" style="28" bestFit="1" customWidth="1"/>
    <col min="10741" max="10741" width="5.6328125" style="28" bestFit="1" customWidth="1"/>
    <col min="10742" max="10742" width="9.26953125" style="28" bestFit="1" customWidth="1"/>
    <col min="10743" max="10743" width="1.81640625" style="28" bestFit="1" customWidth="1"/>
    <col min="10744" max="10744" width="6.81640625" style="28" bestFit="1" customWidth="1"/>
    <col min="10745" max="10745" width="10.81640625" style="28" bestFit="1" customWidth="1"/>
    <col min="10746" max="10746" width="8.7265625" style="28" bestFit="1" customWidth="1"/>
    <col min="10747" max="10747" width="9.6328125" style="28" bestFit="1" customWidth="1"/>
    <col min="10748" max="10748" width="12" style="28" bestFit="1" customWidth="1"/>
    <col min="10749" max="10760" width="8.7265625" style="28" bestFit="1" customWidth="1"/>
    <col min="10761" max="10761" width="9.6328125" style="28" bestFit="1" customWidth="1"/>
    <col min="10762" max="10762" width="12" style="28" bestFit="1" customWidth="1"/>
    <col min="10763" max="10763" width="11.81640625" style="28" bestFit="1" customWidth="1"/>
    <col min="10764" max="10764" width="13.7265625" style="28" bestFit="1" customWidth="1"/>
    <col min="10765" max="10765" width="14.08984375" style="28" bestFit="1" customWidth="1"/>
    <col min="10766" max="10766" width="9.08984375" style="28"/>
    <col min="10767" max="10767" width="25.26953125" style="28" bestFit="1" customWidth="1"/>
    <col min="10768" max="10768" width="4.7265625" style="28" bestFit="1" customWidth="1"/>
    <col min="10769" max="10769" width="1.36328125" style="28" bestFit="1" customWidth="1"/>
    <col min="10770" max="10770" width="4.26953125" style="28" bestFit="1" customWidth="1"/>
    <col min="10771" max="10771" width="1.36328125" style="28" bestFit="1" customWidth="1"/>
    <col min="10772" max="10772" width="5.6328125" style="28" bestFit="1" customWidth="1"/>
    <col min="10773" max="10773" width="1.36328125" style="28" bestFit="1" customWidth="1"/>
    <col min="10774" max="10774" width="6.81640625" style="28" bestFit="1" customWidth="1"/>
    <col min="10775" max="10775" width="13.08984375" style="28" bestFit="1" customWidth="1"/>
    <col min="10776" max="10991" width="9.08984375" style="28"/>
    <col min="10992" max="10992" width="2.81640625" style="28" bestFit="1" customWidth="1"/>
    <col min="10993" max="10993" width="6.81640625" style="28" bestFit="1" customWidth="1"/>
    <col min="10994" max="10994" width="4.36328125" style="28" bestFit="1" customWidth="1"/>
    <col min="10995" max="10995" width="5.6328125" style="28" bestFit="1" customWidth="1"/>
    <col min="10996" max="10996" width="4" style="28" bestFit="1" customWidth="1"/>
    <col min="10997" max="10997" width="5.6328125" style="28" bestFit="1" customWidth="1"/>
    <col min="10998" max="10998" width="9.26953125" style="28" bestFit="1" customWidth="1"/>
    <col min="10999" max="10999" width="1.81640625" style="28" bestFit="1" customWidth="1"/>
    <col min="11000" max="11000" width="6.81640625" style="28" bestFit="1" customWidth="1"/>
    <col min="11001" max="11001" width="10.81640625" style="28" bestFit="1" customWidth="1"/>
    <col min="11002" max="11002" width="8.7265625" style="28" bestFit="1" customWidth="1"/>
    <col min="11003" max="11003" width="9.6328125" style="28" bestFit="1" customWidth="1"/>
    <col min="11004" max="11004" width="12" style="28" bestFit="1" customWidth="1"/>
    <col min="11005" max="11016" width="8.7265625" style="28" bestFit="1" customWidth="1"/>
    <col min="11017" max="11017" width="9.6328125" style="28" bestFit="1" customWidth="1"/>
    <col min="11018" max="11018" width="12" style="28" bestFit="1" customWidth="1"/>
    <col min="11019" max="11019" width="11.81640625" style="28" bestFit="1" customWidth="1"/>
    <col min="11020" max="11020" width="13.7265625" style="28" bestFit="1" customWidth="1"/>
    <col min="11021" max="11021" width="14.08984375" style="28" bestFit="1" customWidth="1"/>
    <col min="11022" max="11022" width="9.08984375" style="28"/>
    <col min="11023" max="11023" width="25.26953125" style="28" bestFit="1" customWidth="1"/>
    <col min="11024" max="11024" width="4.7265625" style="28" bestFit="1" customWidth="1"/>
    <col min="11025" max="11025" width="1.36328125" style="28" bestFit="1" customWidth="1"/>
    <col min="11026" max="11026" width="4.26953125" style="28" bestFit="1" customWidth="1"/>
    <col min="11027" max="11027" width="1.36328125" style="28" bestFit="1" customWidth="1"/>
    <col min="11028" max="11028" width="5.6328125" style="28" bestFit="1" customWidth="1"/>
    <col min="11029" max="11029" width="1.36328125" style="28" bestFit="1" customWidth="1"/>
    <col min="11030" max="11030" width="6.81640625" style="28" bestFit="1" customWidth="1"/>
    <col min="11031" max="11031" width="13.08984375" style="28" bestFit="1" customWidth="1"/>
    <col min="11032" max="11247" width="9.08984375" style="28"/>
    <col min="11248" max="11248" width="2.81640625" style="28" bestFit="1" customWidth="1"/>
    <col min="11249" max="11249" width="6.81640625" style="28" bestFit="1" customWidth="1"/>
    <col min="11250" max="11250" width="4.36328125" style="28" bestFit="1" customWidth="1"/>
    <col min="11251" max="11251" width="5.6328125" style="28" bestFit="1" customWidth="1"/>
    <col min="11252" max="11252" width="4" style="28" bestFit="1" customWidth="1"/>
    <col min="11253" max="11253" width="5.6328125" style="28" bestFit="1" customWidth="1"/>
    <col min="11254" max="11254" width="9.26953125" style="28" bestFit="1" customWidth="1"/>
    <col min="11255" max="11255" width="1.81640625" style="28" bestFit="1" customWidth="1"/>
    <col min="11256" max="11256" width="6.81640625" style="28" bestFit="1" customWidth="1"/>
    <col min="11257" max="11257" width="10.81640625" style="28" bestFit="1" customWidth="1"/>
    <col min="11258" max="11258" width="8.7265625" style="28" bestFit="1" customWidth="1"/>
    <col min="11259" max="11259" width="9.6328125" style="28" bestFit="1" customWidth="1"/>
    <col min="11260" max="11260" width="12" style="28" bestFit="1" customWidth="1"/>
    <col min="11261" max="11272" width="8.7265625" style="28" bestFit="1" customWidth="1"/>
    <col min="11273" max="11273" width="9.6328125" style="28" bestFit="1" customWidth="1"/>
    <col min="11274" max="11274" width="12" style="28" bestFit="1" customWidth="1"/>
    <col min="11275" max="11275" width="11.81640625" style="28" bestFit="1" customWidth="1"/>
    <col min="11276" max="11276" width="13.7265625" style="28" bestFit="1" customWidth="1"/>
    <col min="11277" max="11277" width="14.08984375" style="28" bestFit="1" customWidth="1"/>
    <col min="11278" max="11278" width="9.08984375" style="28"/>
    <col min="11279" max="11279" width="25.26953125" style="28" bestFit="1" customWidth="1"/>
    <col min="11280" max="11280" width="4.7265625" style="28" bestFit="1" customWidth="1"/>
    <col min="11281" max="11281" width="1.36328125" style="28" bestFit="1" customWidth="1"/>
    <col min="11282" max="11282" width="4.26953125" style="28" bestFit="1" customWidth="1"/>
    <col min="11283" max="11283" width="1.36328125" style="28" bestFit="1" customWidth="1"/>
    <col min="11284" max="11284" width="5.6328125" style="28" bestFit="1" customWidth="1"/>
    <col min="11285" max="11285" width="1.36328125" style="28" bestFit="1" customWidth="1"/>
    <col min="11286" max="11286" width="6.81640625" style="28" bestFit="1" customWidth="1"/>
    <col min="11287" max="11287" width="13.08984375" style="28" bestFit="1" customWidth="1"/>
    <col min="11288" max="11503" width="9.08984375" style="28"/>
    <col min="11504" max="11504" width="2.81640625" style="28" bestFit="1" customWidth="1"/>
    <col min="11505" max="11505" width="6.81640625" style="28" bestFit="1" customWidth="1"/>
    <col min="11506" max="11506" width="4.36328125" style="28" bestFit="1" customWidth="1"/>
    <col min="11507" max="11507" width="5.6328125" style="28" bestFit="1" customWidth="1"/>
    <col min="11508" max="11508" width="4" style="28" bestFit="1" customWidth="1"/>
    <col min="11509" max="11509" width="5.6328125" style="28" bestFit="1" customWidth="1"/>
    <col min="11510" max="11510" width="9.26953125" style="28" bestFit="1" customWidth="1"/>
    <col min="11511" max="11511" width="1.81640625" style="28" bestFit="1" customWidth="1"/>
    <col min="11512" max="11512" width="6.81640625" style="28" bestFit="1" customWidth="1"/>
    <col min="11513" max="11513" width="10.81640625" style="28" bestFit="1" customWidth="1"/>
    <col min="11514" max="11514" width="8.7265625" style="28" bestFit="1" customWidth="1"/>
    <col min="11515" max="11515" width="9.6328125" style="28" bestFit="1" customWidth="1"/>
    <col min="11516" max="11516" width="12" style="28" bestFit="1" customWidth="1"/>
    <col min="11517" max="11528" width="8.7265625" style="28" bestFit="1" customWidth="1"/>
    <col min="11529" max="11529" width="9.6328125" style="28" bestFit="1" customWidth="1"/>
    <col min="11530" max="11530" width="12" style="28" bestFit="1" customWidth="1"/>
    <col min="11531" max="11531" width="11.81640625" style="28" bestFit="1" customWidth="1"/>
    <col min="11532" max="11532" width="13.7265625" style="28" bestFit="1" customWidth="1"/>
    <col min="11533" max="11533" width="14.08984375" style="28" bestFit="1" customWidth="1"/>
    <col min="11534" max="11534" width="9.08984375" style="28"/>
    <col min="11535" max="11535" width="25.26953125" style="28" bestFit="1" customWidth="1"/>
    <col min="11536" max="11536" width="4.7265625" style="28" bestFit="1" customWidth="1"/>
    <col min="11537" max="11537" width="1.36328125" style="28" bestFit="1" customWidth="1"/>
    <col min="11538" max="11538" width="4.26953125" style="28" bestFit="1" customWidth="1"/>
    <col min="11539" max="11539" width="1.36328125" style="28" bestFit="1" customWidth="1"/>
    <col min="11540" max="11540" width="5.6328125" style="28" bestFit="1" customWidth="1"/>
    <col min="11541" max="11541" width="1.36328125" style="28" bestFit="1" customWidth="1"/>
    <col min="11542" max="11542" width="6.81640625" style="28" bestFit="1" customWidth="1"/>
    <col min="11543" max="11543" width="13.08984375" style="28" bestFit="1" customWidth="1"/>
    <col min="11544" max="11759" width="9.08984375" style="28"/>
    <col min="11760" max="11760" width="2.81640625" style="28" bestFit="1" customWidth="1"/>
    <col min="11761" max="11761" width="6.81640625" style="28" bestFit="1" customWidth="1"/>
    <col min="11762" max="11762" width="4.36328125" style="28" bestFit="1" customWidth="1"/>
    <col min="11763" max="11763" width="5.6328125" style="28" bestFit="1" customWidth="1"/>
    <col min="11764" max="11764" width="4" style="28" bestFit="1" customWidth="1"/>
    <col min="11765" max="11765" width="5.6328125" style="28" bestFit="1" customWidth="1"/>
    <col min="11766" max="11766" width="9.26953125" style="28" bestFit="1" customWidth="1"/>
    <col min="11767" max="11767" width="1.81640625" style="28" bestFit="1" customWidth="1"/>
    <col min="11768" max="11768" width="6.81640625" style="28" bestFit="1" customWidth="1"/>
    <col min="11769" max="11769" width="10.81640625" style="28" bestFit="1" customWidth="1"/>
    <col min="11770" max="11770" width="8.7265625" style="28" bestFit="1" customWidth="1"/>
    <col min="11771" max="11771" width="9.6328125" style="28" bestFit="1" customWidth="1"/>
    <col min="11772" max="11772" width="12" style="28" bestFit="1" customWidth="1"/>
    <col min="11773" max="11784" width="8.7265625" style="28" bestFit="1" customWidth="1"/>
    <col min="11785" max="11785" width="9.6328125" style="28" bestFit="1" customWidth="1"/>
    <col min="11786" max="11786" width="12" style="28" bestFit="1" customWidth="1"/>
    <col min="11787" max="11787" width="11.81640625" style="28" bestFit="1" customWidth="1"/>
    <col min="11788" max="11788" width="13.7265625" style="28" bestFit="1" customWidth="1"/>
    <col min="11789" max="11789" width="14.08984375" style="28" bestFit="1" customWidth="1"/>
    <col min="11790" max="11790" width="9.08984375" style="28"/>
    <col min="11791" max="11791" width="25.26953125" style="28" bestFit="1" customWidth="1"/>
    <col min="11792" max="11792" width="4.7265625" style="28" bestFit="1" customWidth="1"/>
    <col min="11793" max="11793" width="1.36328125" style="28" bestFit="1" customWidth="1"/>
    <col min="11794" max="11794" width="4.26953125" style="28" bestFit="1" customWidth="1"/>
    <col min="11795" max="11795" width="1.36328125" style="28" bestFit="1" customWidth="1"/>
    <col min="11796" max="11796" width="5.6328125" style="28" bestFit="1" customWidth="1"/>
    <col min="11797" max="11797" width="1.36328125" style="28" bestFit="1" customWidth="1"/>
    <col min="11798" max="11798" width="6.81640625" style="28" bestFit="1" customWidth="1"/>
    <col min="11799" max="11799" width="13.08984375" style="28" bestFit="1" customWidth="1"/>
    <col min="11800" max="12015" width="9.08984375" style="28"/>
    <col min="12016" max="12016" width="2.81640625" style="28" bestFit="1" customWidth="1"/>
    <col min="12017" max="12017" width="6.81640625" style="28" bestFit="1" customWidth="1"/>
    <col min="12018" max="12018" width="4.36328125" style="28" bestFit="1" customWidth="1"/>
    <col min="12019" max="12019" width="5.6328125" style="28" bestFit="1" customWidth="1"/>
    <col min="12020" max="12020" width="4" style="28" bestFit="1" customWidth="1"/>
    <col min="12021" max="12021" width="5.6328125" style="28" bestFit="1" customWidth="1"/>
    <col min="12022" max="12022" width="9.26953125" style="28" bestFit="1" customWidth="1"/>
    <col min="12023" max="12023" width="1.81640625" style="28" bestFit="1" customWidth="1"/>
    <col min="12024" max="12024" width="6.81640625" style="28" bestFit="1" customWidth="1"/>
    <col min="12025" max="12025" width="10.81640625" style="28" bestFit="1" customWidth="1"/>
    <col min="12026" max="12026" width="8.7265625" style="28" bestFit="1" customWidth="1"/>
    <col min="12027" max="12027" width="9.6328125" style="28" bestFit="1" customWidth="1"/>
    <col min="12028" max="12028" width="12" style="28" bestFit="1" customWidth="1"/>
    <col min="12029" max="12040" width="8.7265625" style="28" bestFit="1" customWidth="1"/>
    <col min="12041" max="12041" width="9.6328125" style="28" bestFit="1" customWidth="1"/>
    <col min="12042" max="12042" width="12" style="28" bestFit="1" customWidth="1"/>
    <col min="12043" max="12043" width="11.81640625" style="28" bestFit="1" customWidth="1"/>
    <col min="12044" max="12044" width="13.7265625" style="28" bestFit="1" customWidth="1"/>
    <col min="12045" max="12045" width="14.08984375" style="28" bestFit="1" customWidth="1"/>
    <col min="12046" max="12046" width="9.08984375" style="28"/>
    <col min="12047" max="12047" width="25.26953125" style="28" bestFit="1" customWidth="1"/>
    <col min="12048" max="12048" width="4.7265625" style="28" bestFit="1" customWidth="1"/>
    <col min="12049" max="12049" width="1.36328125" style="28" bestFit="1" customWidth="1"/>
    <col min="12050" max="12050" width="4.26953125" style="28" bestFit="1" customWidth="1"/>
    <col min="12051" max="12051" width="1.36328125" style="28" bestFit="1" customWidth="1"/>
    <col min="12052" max="12052" width="5.6328125" style="28" bestFit="1" customWidth="1"/>
    <col min="12053" max="12053" width="1.36328125" style="28" bestFit="1" customWidth="1"/>
    <col min="12054" max="12054" width="6.81640625" style="28" bestFit="1" customWidth="1"/>
    <col min="12055" max="12055" width="13.08984375" style="28" bestFit="1" customWidth="1"/>
    <col min="12056" max="12271" width="9.08984375" style="28"/>
    <col min="12272" max="12272" width="2.81640625" style="28" bestFit="1" customWidth="1"/>
    <col min="12273" max="12273" width="6.81640625" style="28" bestFit="1" customWidth="1"/>
    <col min="12274" max="12274" width="4.36328125" style="28" bestFit="1" customWidth="1"/>
    <col min="12275" max="12275" width="5.6328125" style="28" bestFit="1" customWidth="1"/>
    <col min="12276" max="12276" width="4" style="28" bestFit="1" customWidth="1"/>
    <col min="12277" max="12277" width="5.6328125" style="28" bestFit="1" customWidth="1"/>
    <col min="12278" max="12278" width="9.26953125" style="28" bestFit="1" customWidth="1"/>
    <col min="12279" max="12279" width="1.81640625" style="28" bestFit="1" customWidth="1"/>
    <col min="12280" max="12280" width="6.81640625" style="28" bestFit="1" customWidth="1"/>
    <col min="12281" max="12281" width="10.81640625" style="28" bestFit="1" customWidth="1"/>
    <col min="12282" max="12282" width="8.7265625" style="28" bestFit="1" customWidth="1"/>
    <col min="12283" max="12283" width="9.6328125" style="28" bestFit="1" customWidth="1"/>
    <col min="12284" max="12284" width="12" style="28" bestFit="1" customWidth="1"/>
    <col min="12285" max="12296" width="8.7265625" style="28" bestFit="1" customWidth="1"/>
    <col min="12297" max="12297" width="9.6328125" style="28" bestFit="1" customWidth="1"/>
    <col min="12298" max="12298" width="12" style="28" bestFit="1" customWidth="1"/>
    <col min="12299" max="12299" width="11.81640625" style="28" bestFit="1" customWidth="1"/>
    <col min="12300" max="12300" width="13.7265625" style="28" bestFit="1" customWidth="1"/>
    <col min="12301" max="12301" width="14.08984375" style="28" bestFit="1" customWidth="1"/>
    <col min="12302" max="12302" width="9.08984375" style="28"/>
    <col min="12303" max="12303" width="25.26953125" style="28" bestFit="1" customWidth="1"/>
    <col min="12304" max="12304" width="4.7265625" style="28" bestFit="1" customWidth="1"/>
    <col min="12305" max="12305" width="1.36328125" style="28" bestFit="1" customWidth="1"/>
    <col min="12306" max="12306" width="4.26953125" style="28" bestFit="1" customWidth="1"/>
    <col min="12307" max="12307" width="1.36328125" style="28" bestFit="1" customWidth="1"/>
    <col min="12308" max="12308" width="5.6328125" style="28" bestFit="1" customWidth="1"/>
    <col min="12309" max="12309" width="1.36328125" style="28" bestFit="1" customWidth="1"/>
    <col min="12310" max="12310" width="6.81640625" style="28" bestFit="1" customWidth="1"/>
    <col min="12311" max="12311" width="13.08984375" style="28" bestFit="1" customWidth="1"/>
    <col min="12312" max="12527" width="9.08984375" style="28"/>
    <col min="12528" max="12528" width="2.81640625" style="28" bestFit="1" customWidth="1"/>
    <col min="12529" max="12529" width="6.81640625" style="28" bestFit="1" customWidth="1"/>
    <col min="12530" max="12530" width="4.36328125" style="28" bestFit="1" customWidth="1"/>
    <col min="12531" max="12531" width="5.6328125" style="28" bestFit="1" customWidth="1"/>
    <col min="12532" max="12532" width="4" style="28" bestFit="1" customWidth="1"/>
    <col min="12533" max="12533" width="5.6328125" style="28" bestFit="1" customWidth="1"/>
    <col min="12534" max="12534" width="9.26953125" style="28" bestFit="1" customWidth="1"/>
    <col min="12535" max="12535" width="1.81640625" style="28" bestFit="1" customWidth="1"/>
    <col min="12536" max="12536" width="6.81640625" style="28" bestFit="1" customWidth="1"/>
    <col min="12537" max="12537" width="10.81640625" style="28" bestFit="1" customWidth="1"/>
    <col min="12538" max="12538" width="8.7265625" style="28" bestFit="1" customWidth="1"/>
    <col min="12539" max="12539" width="9.6328125" style="28" bestFit="1" customWidth="1"/>
    <col min="12540" max="12540" width="12" style="28" bestFit="1" customWidth="1"/>
    <col min="12541" max="12552" width="8.7265625" style="28" bestFit="1" customWidth="1"/>
    <col min="12553" max="12553" width="9.6328125" style="28" bestFit="1" customWidth="1"/>
    <col min="12554" max="12554" width="12" style="28" bestFit="1" customWidth="1"/>
    <col min="12555" max="12555" width="11.81640625" style="28" bestFit="1" customWidth="1"/>
    <col min="12556" max="12556" width="13.7265625" style="28" bestFit="1" customWidth="1"/>
    <col min="12557" max="12557" width="14.08984375" style="28" bestFit="1" customWidth="1"/>
    <col min="12558" max="12558" width="9.08984375" style="28"/>
    <col min="12559" max="12559" width="25.26953125" style="28" bestFit="1" customWidth="1"/>
    <col min="12560" max="12560" width="4.7265625" style="28" bestFit="1" customWidth="1"/>
    <col min="12561" max="12561" width="1.36328125" style="28" bestFit="1" customWidth="1"/>
    <col min="12562" max="12562" width="4.26953125" style="28" bestFit="1" customWidth="1"/>
    <col min="12563" max="12563" width="1.36328125" style="28" bestFit="1" customWidth="1"/>
    <col min="12564" max="12564" width="5.6328125" style="28" bestFit="1" customWidth="1"/>
    <col min="12565" max="12565" width="1.36328125" style="28" bestFit="1" customWidth="1"/>
    <col min="12566" max="12566" width="6.81640625" style="28" bestFit="1" customWidth="1"/>
    <col min="12567" max="12567" width="13.08984375" style="28" bestFit="1" customWidth="1"/>
    <col min="12568" max="12783" width="9.08984375" style="28"/>
    <col min="12784" max="12784" width="2.81640625" style="28" bestFit="1" customWidth="1"/>
    <col min="12785" max="12785" width="6.81640625" style="28" bestFit="1" customWidth="1"/>
    <col min="12786" max="12786" width="4.36328125" style="28" bestFit="1" customWidth="1"/>
    <col min="12787" max="12787" width="5.6328125" style="28" bestFit="1" customWidth="1"/>
    <col min="12788" max="12788" width="4" style="28" bestFit="1" customWidth="1"/>
    <col min="12789" max="12789" width="5.6328125" style="28" bestFit="1" customWidth="1"/>
    <col min="12790" max="12790" width="9.26953125" style="28" bestFit="1" customWidth="1"/>
    <col min="12791" max="12791" width="1.81640625" style="28" bestFit="1" customWidth="1"/>
    <col min="12792" max="12792" width="6.81640625" style="28" bestFit="1" customWidth="1"/>
    <col min="12793" max="12793" width="10.81640625" style="28" bestFit="1" customWidth="1"/>
    <col min="12794" max="12794" width="8.7265625" style="28" bestFit="1" customWidth="1"/>
    <col min="12795" max="12795" width="9.6328125" style="28" bestFit="1" customWidth="1"/>
    <col min="12796" max="12796" width="12" style="28" bestFit="1" customWidth="1"/>
    <col min="12797" max="12808" width="8.7265625" style="28" bestFit="1" customWidth="1"/>
    <col min="12809" max="12809" width="9.6328125" style="28" bestFit="1" customWidth="1"/>
    <col min="12810" max="12810" width="12" style="28" bestFit="1" customWidth="1"/>
    <col min="12811" max="12811" width="11.81640625" style="28" bestFit="1" customWidth="1"/>
    <col min="12812" max="12812" width="13.7265625" style="28" bestFit="1" customWidth="1"/>
    <col min="12813" max="12813" width="14.08984375" style="28" bestFit="1" customWidth="1"/>
    <col min="12814" max="12814" width="9.08984375" style="28"/>
    <col min="12815" max="12815" width="25.26953125" style="28" bestFit="1" customWidth="1"/>
    <col min="12816" max="12816" width="4.7265625" style="28" bestFit="1" customWidth="1"/>
    <col min="12817" max="12817" width="1.36328125" style="28" bestFit="1" customWidth="1"/>
    <col min="12818" max="12818" width="4.26953125" style="28" bestFit="1" customWidth="1"/>
    <col min="12819" max="12819" width="1.36328125" style="28" bestFit="1" customWidth="1"/>
    <col min="12820" max="12820" width="5.6328125" style="28" bestFit="1" customWidth="1"/>
    <col min="12821" max="12821" width="1.36328125" style="28" bestFit="1" customWidth="1"/>
    <col min="12822" max="12822" width="6.81640625" style="28" bestFit="1" customWidth="1"/>
    <col min="12823" max="12823" width="13.08984375" style="28" bestFit="1" customWidth="1"/>
    <col min="12824" max="13039" width="9.08984375" style="28"/>
    <col min="13040" max="13040" width="2.81640625" style="28" bestFit="1" customWidth="1"/>
    <col min="13041" max="13041" width="6.81640625" style="28" bestFit="1" customWidth="1"/>
    <col min="13042" max="13042" width="4.36328125" style="28" bestFit="1" customWidth="1"/>
    <col min="13043" max="13043" width="5.6328125" style="28" bestFit="1" customWidth="1"/>
    <col min="13044" max="13044" width="4" style="28" bestFit="1" customWidth="1"/>
    <col min="13045" max="13045" width="5.6328125" style="28" bestFit="1" customWidth="1"/>
    <col min="13046" max="13046" width="9.26953125" style="28" bestFit="1" customWidth="1"/>
    <col min="13047" max="13047" width="1.81640625" style="28" bestFit="1" customWidth="1"/>
    <col min="13048" max="13048" width="6.81640625" style="28" bestFit="1" customWidth="1"/>
    <col min="13049" max="13049" width="10.81640625" style="28" bestFit="1" customWidth="1"/>
    <col min="13050" max="13050" width="8.7265625" style="28" bestFit="1" customWidth="1"/>
    <col min="13051" max="13051" width="9.6328125" style="28" bestFit="1" customWidth="1"/>
    <col min="13052" max="13052" width="12" style="28" bestFit="1" customWidth="1"/>
    <col min="13053" max="13064" width="8.7265625" style="28" bestFit="1" customWidth="1"/>
    <col min="13065" max="13065" width="9.6328125" style="28" bestFit="1" customWidth="1"/>
    <col min="13066" max="13066" width="12" style="28" bestFit="1" customWidth="1"/>
    <col min="13067" max="13067" width="11.81640625" style="28" bestFit="1" customWidth="1"/>
    <col min="13068" max="13068" width="13.7265625" style="28" bestFit="1" customWidth="1"/>
    <col min="13069" max="13069" width="14.08984375" style="28" bestFit="1" customWidth="1"/>
    <col min="13070" max="13070" width="9.08984375" style="28"/>
    <col min="13071" max="13071" width="25.26953125" style="28" bestFit="1" customWidth="1"/>
    <col min="13072" max="13072" width="4.7265625" style="28" bestFit="1" customWidth="1"/>
    <col min="13073" max="13073" width="1.36328125" style="28" bestFit="1" customWidth="1"/>
    <col min="13074" max="13074" width="4.26953125" style="28" bestFit="1" customWidth="1"/>
    <col min="13075" max="13075" width="1.36328125" style="28" bestFit="1" customWidth="1"/>
    <col min="13076" max="13076" width="5.6328125" style="28" bestFit="1" customWidth="1"/>
    <col min="13077" max="13077" width="1.36328125" style="28" bestFit="1" customWidth="1"/>
    <col min="13078" max="13078" width="6.81640625" style="28" bestFit="1" customWidth="1"/>
    <col min="13079" max="13079" width="13.08984375" style="28" bestFit="1" customWidth="1"/>
    <col min="13080" max="13295" width="9.08984375" style="28"/>
    <col min="13296" max="13296" width="2.81640625" style="28" bestFit="1" customWidth="1"/>
    <col min="13297" max="13297" width="6.81640625" style="28" bestFit="1" customWidth="1"/>
    <col min="13298" max="13298" width="4.36328125" style="28" bestFit="1" customWidth="1"/>
    <col min="13299" max="13299" width="5.6328125" style="28" bestFit="1" customWidth="1"/>
    <col min="13300" max="13300" width="4" style="28" bestFit="1" customWidth="1"/>
    <col min="13301" max="13301" width="5.6328125" style="28" bestFit="1" customWidth="1"/>
    <col min="13302" max="13302" width="9.26953125" style="28" bestFit="1" customWidth="1"/>
    <col min="13303" max="13303" width="1.81640625" style="28" bestFit="1" customWidth="1"/>
    <col min="13304" max="13304" width="6.81640625" style="28" bestFit="1" customWidth="1"/>
    <col min="13305" max="13305" width="10.81640625" style="28" bestFit="1" customWidth="1"/>
    <col min="13306" max="13306" width="8.7265625" style="28" bestFit="1" customWidth="1"/>
    <col min="13307" max="13307" width="9.6328125" style="28" bestFit="1" customWidth="1"/>
    <col min="13308" max="13308" width="12" style="28" bestFit="1" customWidth="1"/>
    <col min="13309" max="13320" width="8.7265625" style="28" bestFit="1" customWidth="1"/>
    <col min="13321" max="13321" width="9.6328125" style="28" bestFit="1" customWidth="1"/>
    <col min="13322" max="13322" width="12" style="28" bestFit="1" customWidth="1"/>
    <col min="13323" max="13323" width="11.81640625" style="28" bestFit="1" customWidth="1"/>
    <col min="13324" max="13324" width="13.7265625" style="28" bestFit="1" customWidth="1"/>
    <col min="13325" max="13325" width="14.08984375" style="28" bestFit="1" customWidth="1"/>
    <col min="13326" max="13326" width="9.08984375" style="28"/>
    <col min="13327" max="13327" width="25.26953125" style="28" bestFit="1" customWidth="1"/>
    <col min="13328" max="13328" width="4.7265625" style="28" bestFit="1" customWidth="1"/>
    <col min="13329" max="13329" width="1.36328125" style="28" bestFit="1" customWidth="1"/>
    <col min="13330" max="13330" width="4.26953125" style="28" bestFit="1" customWidth="1"/>
    <col min="13331" max="13331" width="1.36328125" style="28" bestFit="1" customWidth="1"/>
    <col min="13332" max="13332" width="5.6328125" style="28" bestFit="1" customWidth="1"/>
    <col min="13333" max="13333" width="1.36328125" style="28" bestFit="1" customWidth="1"/>
    <col min="13334" max="13334" width="6.81640625" style="28" bestFit="1" customWidth="1"/>
    <col min="13335" max="13335" width="13.08984375" style="28" bestFit="1" customWidth="1"/>
    <col min="13336" max="13551" width="9.08984375" style="28"/>
    <col min="13552" max="13552" width="2.81640625" style="28" bestFit="1" customWidth="1"/>
    <col min="13553" max="13553" width="6.81640625" style="28" bestFit="1" customWidth="1"/>
    <col min="13554" max="13554" width="4.36328125" style="28" bestFit="1" customWidth="1"/>
    <col min="13555" max="13555" width="5.6328125" style="28" bestFit="1" customWidth="1"/>
    <col min="13556" max="13556" width="4" style="28" bestFit="1" customWidth="1"/>
    <col min="13557" max="13557" width="5.6328125" style="28" bestFit="1" customWidth="1"/>
    <col min="13558" max="13558" width="9.26953125" style="28" bestFit="1" customWidth="1"/>
    <col min="13559" max="13559" width="1.81640625" style="28" bestFit="1" customWidth="1"/>
    <col min="13560" max="13560" width="6.81640625" style="28" bestFit="1" customWidth="1"/>
    <col min="13561" max="13561" width="10.81640625" style="28" bestFit="1" customWidth="1"/>
    <col min="13562" max="13562" width="8.7265625" style="28" bestFit="1" customWidth="1"/>
    <col min="13563" max="13563" width="9.6328125" style="28" bestFit="1" customWidth="1"/>
    <col min="13564" max="13564" width="12" style="28" bestFit="1" customWidth="1"/>
    <col min="13565" max="13576" width="8.7265625" style="28" bestFit="1" customWidth="1"/>
    <col min="13577" max="13577" width="9.6328125" style="28" bestFit="1" customWidth="1"/>
    <col min="13578" max="13578" width="12" style="28" bestFit="1" customWidth="1"/>
    <col min="13579" max="13579" width="11.81640625" style="28" bestFit="1" customWidth="1"/>
    <col min="13580" max="13580" width="13.7265625" style="28" bestFit="1" customWidth="1"/>
    <col min="13581" max="13581" width="14.08984375" style="28" bestFit="1" customWidth="1"/>
    <col min="13582" max="13582" width="9.08984375" style="28"/>
    <col min="13583" max="13583" width="25.26953125" style="28" bestFit="1" customWidth="1"/>
    <col min="13584" max="13584" width="4.7265625" style="28" bestFit="1" customWidth="1"/>
    <col min="13585" max="13585" width="1.36328125" style="28" bestFit="1" customWidth="1"/>
    <col min="13586" max="13586" width="4.26953125" style="28" bestFit="1" customWidth="1"/>
    <col min="13587" max="13587" width="1.36328125" style="28" bestFit="1" customWidth="1"/>
    <col min="13588" max="13588" width="5.6328125" style="28" bestFit="1" customWidth="1"/>
    <col min="13589" max="13589" width="1.36328125" style="28" bestFit="1" customWidth="1"/>
    <col min="13590" max="13590" width="6.81640625" style="28" bestFit="1" customWidth="1"/>
    <col min="13591" max="13591" width="13.08984375" style="28" bestFit="1" customWidth="1"/>
    <col min="13592" max="13807" width="9.08984375" style="28"/>
    <col min="13808" max="13808" width="2.81640625" style="28" bestFit="1" customWidth="1"/>
    <col min="13809" max="13809" width="6.81640625" style="28" bestFit="1" customWidth="1"/>
    <col min="13810" max="13810" width="4.36328125" style="28" bestFit="1" customWidth="1"/>
    <col min="13811" max="13811" width="5.6328125" style="28" bestFit="1" customWidth="1"/>
    <col min="13812" max="13812" width="4" style="28" bestFit="1" customWidth="1"/>
    <col min="13813" max="13813" width="5.6328125" style="28" bestFit="1" customWidth="1"/>
    <col min="13814" max="13814" width="9.26953125" style="28" bestFit="1" customWidth="1"/>
    <col min="13815" max="13815" width="1.81640625" style="28" bestFit="1" customWidth="1"/>
    <col min="13816" max="13816" width="6.81640625" style="28" bestFit="1" customWidth="1"/>
    <col min="13817" max="13817" width="10.81640625" style="28" bestFit="1" customWidth="1"/>
    <col min="13818" max="13818" width="8.7265625" style="28" bestFit="1" customWidth="1"/>
    <col min="13819" max="13819" width="9.6328125" style="28" bestFit="1" customWidth="1"/>
    <col min="13820" max="13820" width="12" style="28" bestFit="1" customWidth="1"/>
    <col min="13821" max="13832" width="8.7265625" style="28" bestFit="1" customWidth="1"/>
    <col min="13833" max="13833" width="9.6328125" style="28" bestFit="1" customWidth="1"/>
    <col min="13834" max="13834" width="12" style="28" bestFit="1" customWidth="1"/>
    <col min="13835" max="13835" width="11.81640625" style="28" bestFit="1" customWidth="1"/>
    <col min="13836" max="13836" width="13.7265625" style="28" bestFit="1" customWidth="1"/>
    <col min="13837" max="13837" width="14.08984375" style="28" bestFit="1" customWidth="1"/>
    <col min="13838" max="13838" width="9.08984375" style="28"/>
    <col min="13839" max="13839" width="25.26953125" style="28" bestFit="1" customWidth="1"/>
    <col min="13840" max="13840" width="4.7265625" style="28" bestFit="1" customWidth="1"/>
    <col min="13841" max="13841" width="1.36328125" style="28" bestFit="1" customWidth="1"/>
    <col min="13842" max="13842" width="4.26953125" style="28" bestFit="1" customWidth="1"/>
    <col min="13843" max="13843" width="1.36328125" style="28" bestFit="1" customWidth="1"/>
    <col min="13844" max="13844" width="5.6328125" style="28" bestFit="1" customWidth="1"/>
    <col min="13845" max="13845" width="1.36328125" style="28" bestFit="1" customWidth="1"/>
    <col min="13846" max="13846" width="6.81640625" style="28" bestFit="1" customWidth="1"/>
    <col min="13847" max="13847" width="13.08984375" style="28" bestFit="1" customWidth="1"/>
    <col min="13848" max="14063" width="9.08984375" style="28"/>
    <col min="14064" max="14064" width="2.81640625" style="28" bestFit="1" customWidth="1"/>
    <col min="14065" max="14065" width="6.81640625" style="28" bestFit="1" customWidth="1"/>
    <col min="14066" max="14066" width="4.36328125" style="28" bestFit="1" customWidth="1"/>
    <col min="14067" max="14067" width="5.6328125" style="28" bestFit="1" customWidth="1"/>
    <col min="14068" max="14068" width="4" style="28" bestFit="1" customWidth="1"/>
    <col min="14069" max="14069" width="5.6328125" style="28" bestFit="1" customWidth="1"/>
    <col min="14070" max="14070" width="9.26953125" style="28" bestFit="1" customWidth="1"/>
    <col min="14071" max="14071" width="1.81640625" style="28" bestFit="1" customWidth="1"/>
    <col min="14072" max="14072" width="6.81640625" style="28" bestFit="1" customWidth="1"/>
    <col min="14073" max="14073" width="10.81640625" style="28" bestFit="1" customWidth="1"/>
    <col min="14074" max="14074" width="8.7265625" style="28" bestFit="1" customWidth="1"/>
    <col min="14075" max="14075" width="9.6328125" style="28" bestFit="1" customWidth="1"/>
    <col min="14076" max="14076" width="12" style="28" bestFit="1" customWidth="1"/>
    <col min="14077" max="14088" width="8.7265625" style="28" bestFit="1" customWidth="1"/>
    <col min="14089" max="14089" width="9.6328125" style="28" bestFit="1" customWidth="1"/>
    <col min="14090" max="14090" width="12" style="28" bestFit="1" customWidth="1"/>
    <col min="14091" max="14091" width="11.81640625" style="28" bestFit="1" customWidth="1"/>
    <col min="14092" max="14092" width="13.7265625" style="28" bestFit="1" customWidth="1"/>
    <col min="14093" max="14093" width="14.08984375" style="28" bestFit="1" customWidth="1"/>
    <col min="14094" max="14094" width="9.08984375" style="28"/>
    <col min="14095" max="14095" width="25.26953125" style="28" bestFit="1" customWidth="1"/>
    <col min="14096" max="14096" width="4.7265625" style="28" bestFit="1" customWidth="1"/>
    <col min="14097" max="14097" width="1.36328125" style="28" bestFit="1" customWidth="1"/>
    <col min="14098" max="14098" width="4.26953125" style="28" bestFit="1" customWidth="1"/>
    <col min="14099" max="14099" width="1.36328125" style="28" bestFit="1" customWidth="1"/>
    <col min="14100" max="14100" width="5.6328125" style="28" bestFit="1" customWidth="1"/>
    <col min="14101" max="14101" width="1.36328125" style="28" bestFit="1" customWidth="1"/>
    <col min="14102" max="14102" width="6.81640625" style="28" bestFit="1" customWidth="1"/>
    <col min="14103" max="14103" width="13.08984375" style="28" bestFit="1" customWidth="1"/>
    <col min="14104" max="14319" width="9.08984375" style="28"/>
    <col min="14320" max="14320" width="2.81640625" style="28" bestFit="1" customWidth="1"/>
    <col min="14321" max="14321" width="6.81640625" style="28" bestFit="1" customWidth="1"/>
    <col min="14322" max="14322" width="4.36328125" style="28" bestFit="1" customWidth="1"/>
    <col min="14323" max="14323" width="5.6328125" style="28" bestFit="1" customWidth="1"/>
    <col min="14324" max="14324" width="4" style="28" bestFit="1" customWidth="1"/>
    <col min="14325" max="14325" width="5.6328125" style="28" bestFit="1" customWidth="1"/>
    <col min="14326" max="14326" width="9.26953125" style="28" bestFit="1" customWidth="1"/>
    <col min="14327" max="14327" width="1.81640625" style="28" bestFit="1" customWidth="1"/>
    <col min="14328" max="14328" width="6.81640625" style="28" bestFit="1" customWidth="1"/>
    <col min="14329" max="14329" width="10.81640625" style="28" bestFit="1" customWidth="1"/>
    <col min="14330" max="14330" width="8.7265625" style="28" bestFit="1" customWidth="1"/>
    <col min="14331" max="14331" width="9.6328125" style="28" bestFit="1" customWidth="1"/>
    <col min="14332" max="14332" width="12" style="28" bestFit="1" customWidth="1"/>
    <col min="14333" max="14344" width="8.7265625" style="28" bestFit="1" customWidth="1"/>
    <col min="14345" max="14345" width="9.6328125" style="28" bestFit="1" customWidth="1"/>
    <col min="14346" max="14346" width="12" style="28" bestFit="1" customWidth="1"/>
    <col min="14347" max="14347" width="11.81640625" style="28" bestFit="1" customWidth="1"/>
    <col min="14348" max="14348" width="13.7265625" style="28" bestFit="1" customWidth="1"/>
    <col min="14349" max="14349" width="14.08984375" style="28" bestFit="1" customWidth="1"/>
    <col min="14350" max="14350" width="9.08984375" style="28"/>
    <col min="14351" max="14351" width="25.26953125" style="28" bestFit="1" customWidth="1"/>
    <col min="14352" max="14352" width="4.7265625" style="28" bestFit="1" customWidth="1"/>
    <col min="14353" max="14353" width="1.36328125" style="28" bestFit="1" customWidth="1"/>
    <col min="14354" max="14354" width="4.26953125" style="28" bestFit="1" customWidth="1"/>
    <col min="14355" max="14355" width="1.36328125" style="28" bestFit="1" customWidth="1"/>
    <col min="14356" max="14356" width="5.6328125" style="28" bestFit="1" customWidth="1"/>
    <col min="14357" max="14357" width="1.36328125" style="28" bestFit="1" customWidth="1"/>
    <col min="14358" max="14358" width="6.81640625" style="28" bestFit="1" customWidth="1"/>
    <col min="14359" max="14359" width="13.08984375" style="28" bestFit="1" customWidth="1"/>
    <col min="14360" max="14575" width="9.08984375" style="28"/>
    <col min="14576" max="14576" width="2.81640625" style="28" bestFit="1" customWidth="1"/>
    <col min="14577" max="14577" width="6.81640625" style="28" bestFit="1" customWidth="1"/>
    <col min="14578" max="14578" width="4.36328125" style="28" bestFit="1" customWidth="1"/>
    <col min="14579" max="14579" width="5.6328125" style="28" bestFit="1" customWidth="1"/>
    <col min="14580" max="14580" width="4" style="28" bestFit="1" customWidth="1"/>
    <col min="14581" max="14581" width="5.6328125" style="28" bestFit="1" customWidth="1"/>
    <col min="14582" max="14582" width="9.26953125" style="28" bestFit="1" customWidth="1"/>
    <col min="14583" max="14583" width="1.81640625" style="28" bestFit="1" customWidth="1"/>
    <col min="14584" max="14584" width="6.81640625" style="28" bestFit="1" customWidth="1"/>
    <col min="14585" max="14585" width="10.81640625" style="28" bestFit="1" customWidth="1"/>
    <col min="14586" max="14586" width="8.7265625" style="28" bestFit="1" customWidth="1"/>
    <col min="14587" max="14587" width="9.6328125" style="28" bestFit="1" customWidth="1"/>
    <col min="14588" max="14588" width="12" style="28" bestFit="1" customWidth="1"/>
    <col min="14589" max="14600" width="8.7265625" style="28" bestFit="1" customWidth="1"/>
    <col min="14601" max="14601" width="9.6328125" style="28" bestFit="1" customWidth="1"/>
    <col min="14602" max="14602" width="12" style="28" bestFit="1" customWidth="1"/>
    <col min="14603" max="14603" width="11.81640625" style="28" bestFit="1" customWidth="1"/>
    <col min="14604" max="14604" width="13.7265625" style="28" bestFit="1" customWidth="1"/>
    <col min="14605" max="14605" width="14.08984375" style="28" bestFit="1" customWidth="1"/>
    <col min="14606" max="14606" width="9.08984375" style="28"/>
    <col min="14607" max="14607" width="25.26953125" style="28" bestFit="1" customWidth="1"/>
    <col min="14608" max="14608" width="4.7265625" style="28" bestFit="1" customWidth="1"/>
    <col min="14609" max="14609" width="1.36328125" style="28" bestFit="1" customWidth="1"/>
    <col min="14610" max="14610" width="4.26953125" style="28" bestFit="1" customWidth="1"/>
    <col min="14611" max="14611" width="1.36328125" style="28" bestFit="1" customWidth="1"/>
    <col min="14612" max="14612" width="5.6328125" style="28" bestFit="1" customWidth="1"/>
    <col min="14613" max="14613" width="1.36328125" style="28" bestFit="1" customWidth="1"/>
    <col min="14614" max="14614" width="6.81640625" style="28" bestFit="1" customWidth="1"/>
    <col min="14615" max="14615" width="13.08984375" style="28" bestFit="1" customWidth="1"/>
    <col min="14616" max="14831" width="9.08984375" style="28"/>
    <col min="14832" max="14832" width="2.81640625" style="28" bestFit="1" customWidth="1"/>
    <col min="14833" max="14833" width="6.81640625" style="28" bestFit="1" customWidth="1"/>
    <col min="14834" max="14834" width="4.36328125" style="28" bestFit="1" customWidth="1"/>
    <col min="14835" max="14835" width="5.6328125" style="28" bestFit="1" customWidth="1"/>
    <col min="14836" max="14836" width="4" style="28" bestFit="1" customWidth="1"/>
    <col min="14837" max="14837" width="5.6328125" style="28" bestFit="1" customWidth="1"/>
    <col min="14838" max="14838" width="9.26953125" style="28" bestFit="1" customWidth="1"/>
    <col min="14839" max="14839" width="1.81640625" style="28" bestFit="1" customWidth="1"/>
    <col min="14840" max="14840" width="6.81640625" style="28" bestFit="1" customWidth="1"/>
    <col min="14841" max="14841" width="10.81640625" style="28" bestFit="1" customWidth="1"/>
    <col min="14842" max="14842" width="8.7265625" style="28" bestFit="1" customWidth="1"/>
    <col min="14843" max="14843" width="9.6328125" style="28" bestFit="1" customWidth="1"/>
    <col min="14844" max="14844" width="12" style="28" bestFit="1" customWidth="1"/>
    <col min="14845" max="14856" width="8.7265625" style="28" bestFit="1" customWidth="1"/>
    <col min="14857" max="14857" width="9.6328125" style="28" bestFit="1" customWidth="1"/>
    <col min="14858" max="14858" width="12" style="28" bestFit="1" customWidth="1"/>
    <col min="14859" max="14859" width="11.81640625" style="28" bestFit="1" customWidth="1"/>
    <col min="14860" max="14860" width="13.7265625" style="28" bestFit="1" customWidth="1"/>
    <col min="14861" max="14861" width="14.08984375" style="28" bestFit="1" customWidth="1"/>
    <col min="14862" max="14862" width="9.08984375" style="28"/>
    <col min="14863" max="14863" width="25.26953125" style="28" bestFit="1" customWidth="1"/>
    <col min="14864" max="14864" width="4.7265625" style="28" bestFit="1" customWidth="1"/>
    <col min="14865" max="14865" width="1.36328125" style="28" bestFit="1" customWidth="1"/>
    <col min="14866" max="14866" width="4.26953125" style="28" bestFit="1" customWidth="1"/>
    <col min="14867" max="14867" width="1.36328125" style="28" bestFit="1" customWidth="1"/>
    <col min="14868" max="14868" width="5.6328125" style="28" bestFit="1" customWidth="1"/>
    <col min="14869" max="14869" width="1.36328125" style="28" bestFit="1" customWidth="1"/>
    <col min="14870" max="14870" width="6.81640625" style="28" bestFit="1" customWidth="1"/>
    <col min="14871" max="14871" width="13.08984375" style="28" bestFit="1" customWidth="1"/>
    <col min="14872" max="15087" width="9.08984375" style="28"/>
    <col min="15088" max="15088" width="2.81640625" style="28" bestFit="1" customWidth="1"/>
    <col min="15089" max="15089" width="6.81640625" style="28" bestFit="1" customWidth="1"/>
    <col min="15090" max="15090" width="4.36328125" style="28" bestFit="1" customWidth="1"/>
    <col min="15091" max="15091" width="5.6328125" style="28" bestFit="1" customWidth="1"/>
    <col min="15092" max="15092" width="4" style="28" bestFit="1" customWidth="1"/>
    <col min="15093" max="15093" width="5.6328125" style="28" bestFit="1" customWidth="1"/>
    <col min="15094" max="15094" width="9.26953125" style="28" bestFit="1" customWidth="1"/>
    <col min="15095" max="15095" width="1.81640625" style="28" bestFit="1" customWidth="1"/>
    <col min="15096" max="15096" width="6.81640625" style="28" bestFit="1" customWidth="1"/>
    <col min="15097" max="15097" width="10.81640625" style="28" bestFit="1" customWidth="1"/>
    <col min="15098" max="15098" width="8.7265625" style="28" bestFit="1" customWidth="1"/>
    <col min="15099" max="15099" width="9.6328125" style="28" bestFit="1" customWidth="1"/>
    <col min="15100" max="15100" width="12" style="28" bestFit="1" customWidth="1"/>
    <col min="15101" max="15112" width="8.7265625" style="28" bestFit="1" customWidth="1"/>
    <col min="15113" max="15113" width="9.6328125" style="28" bestFit="1" customWidth="1"/>
    <col min="15114" max="15114" width="12" style="28" bestFit="1" customWidth="1"/>
    <col min="15115" max="15115" width="11.81640625" style="28" bestFit="1" customWidth="1"/>
    <col min="15116" max="15116" width="13.7265625" style="28" bestFit="1" customWidth="1"/>
    <col min="15117" max="15117" width="14.08984375" style="28" bestFit="1" customWidth="1"/>
    <col min="15118" max="15118" width="9.08984375" style="28"/>
    <col min="15119" max="15119" width="25.26953125" style="28" bestFit="1" customWidth="1"/>
    <col min="15120" max="15120" width="4.7265625" style="28" bestFit="1" customWidth="1"/>
    <col min="15121" max="15121" width="1.36328125" style="28" bestFit="1" customWidth="1"/>
    <col min="15122" max="15122" width="4.26953125" style="28" bestFit="1" customWidth="1"/>
    <col min="15123" max="15123" width="1.36328125" style="28" bestFit="1" customWidth="1"/>
    <col min="15124" max="15124" width="5.6328125" style="28" bestFit="1" customWidth="1"/>
    <col min="15125" max="15125" width="1.36328125" style="28" bestFit="1" customWidth="1"/>
    <col min="15126" max="15126" width="6.81640625" style="28" bestFit="1" customWidth="1"/>
    <col min="15127" max="15127" width="13.08984375" style="28" bestFit="1" customWidth="1"/>
    <col min="15128" max="15343" width="9.08984375" style="28"/>
    <col min="15344" max="15344" width="2.81640625" style="28" bestFit="1" customWidth="1"/>
    <col min="15345" max="15345" width="6.81640625" style="28" bestFit="1" customWidth="1"/>
    <col min="15346" max="15346" width="4.36328125" style="28" bestFit="1" customWidth="1"/>
    <col min="15347" max="15347" width="5.6328125" style="28" bestFit="1" customWidth="1"/>
    <col min="15348" max="15348" width="4" style="28" bestFit="1" customWidth="1"/>
    <col min="15349" max="15349" width="5.6328125" style="28" bestFit="1" customWidth="1"/>
    <col min="15350" max="15350" width="9.26953125" style="28" bestFit="1" customWidth="1"/>
    <col min="15351" max="15351" width="1.81640625" style="28" bestFit="1" customWidth="1"/>
    <col min="15352" max="15352" width="6.81640625" style="28" bestFit="1" customWidth="1"/>
    <col min="15353" max="15353" width="10.81640625" style="28" bestFit="1" customWidth="1"/>
    <col min="15354" max="15354" width="8.7265625" style="28" bestFit="1" customWidth="1"/>
    <col min="15355" max="15355" width="9.6328125" style="28" bestFit="1" customWidth="1"/>
    <col min="15356" max="15356" width="12" style="28" bestFit="1" customWidth="1"/>
    <col min="15357" max="15368" width="8.7265625" style="28" bestFit="1" customWidth="1"/>
    <col min="15369" max="15369" width="9.6328125" style="28" bestFit="1" customWidth="1"/>
    <col min="15370" max="15370" width="12" style="28" bestFit="1" customWidth="1"/>
    <col min="15371" max="15371" width="11.81640625" style="28" bestFit="1" customWidth="1"/>
    <col min="15372" max="15372" width="13.7265625" style="28" bestFit="1" customWidth="1"/>
    <col min="15373" max="15373" width="14.08984375" style="28" bestFit="1" customWidth="1"/>
    <col min="15374" max="15374" width="9.08984375" style="28"/>
    <col min="15375" max="15375" width="25.26953125" style="28" bestFit="1" customWidth="1"/>
    <col min="15376" max="15376" width="4.7265625" style="28" bestFit="1" customWidth="1"/>
    <col min="15377" max="15377" width="1.36328125" style="28" bestFit="1" customWidth="1"/>
    <col min="15378" max="15378" width="4.26953125" style="28" bestFit="1" customWidth="1"/>
    <col min="15379" max="15379" width="1.36328125" style="28" bestFit="1" customWidth="1"/>
    <col min="15380" max="15380" width="5.6328125" style="28" bestFit="1" customWidth="1"/>
    <col min="15381" max="15381" width="1.36328125" style="28" bestFit="1" customWidth="1"/>
    <col min="15382" max="15382" width="6.81640625" style="28" bestFit="1" customWidth="1"/>
    <col min="15383" max="15383" width="13.08984375" style="28" bestFit="1" customWidth="1"/>
    <col min="15384" max="15599" width="9.08984375" style="28"/>
    <col min="15600" max="15600" width="2.81640625" style="28" bestFit="1" customWidth="1"/>
    <col min="15601" max="15601" width="6.81640625" style="28" bestFit="1" customWidth="1"/>
    <col min="15602" max="15602" width="4.36328125" style="28" bestFit="1" customWidth="1"/>
    <col min="15603" max="15603" width="5.6328125" style="28" bestFit="1" customWidth="1"/>
    <col min="15604" max="15604" width="4" style="28" bestFit="1" customWidth="1"/>
    <col min="15605" max="15605" width="5.6328125" style="28" bestFit="1" customWidth="1"/>
    <col min="15606" max="15606" width="9.26953125" style="28" bestFit="1" customWidth="1"/>
    <col min="15607" max="15607" width="1.81640625" style="28" bestFit="1" customWidth="1"/>
    <col min="15608" max="15608" width="6.81640625" style="28" bestFit="1" customWidth="1"/>
    <col min="15609" max="15609" width="10.81640625" style="28" bestFit="1" customWidth="1"/>
    <col min="15610" max="15610" width="8.7265625" style="28" bestFit="1" customWidth="1"/>
    <col min="15611" max="15611" width="9.6328125" style="28" bestFit="1" customWidth="1"/>
    <col min="15612" max="15612" width="12" style="28" bestFit="1" customWidth="1"/>
    <col min="15613" max="15624" width="8.7265625" style="28" bestFit="1" customWidth="1"/>
    <col min="15625" max="15625" width="9.6328125" style="28" bestFit="1" customWidth="1"/>
    <col min="15626" max="15626" width="12" style="28" bestFit="1" customWidth="1"/>
    <col min="15627" max="15627" width="11.81640625" style="28" bestFit="1" customWidth="1"/>
    <col min="15628" max="15628" width="13.7265625" style="28" bestFit="1" customWidth="1"/>
    <col min="15629" max="15629" width="14.08984375" style="28" bestFit="1" customWidth="1"/>
    <col min="15630" max="15630" width="9.08984375" style="28"/>
    <col min="15631" max="15631" width="25.26953125" style="28" bestFit="1" customWidth="1"/>
    <col min="15632" max="15632" width="4.7265625" style="28" bestFit="1" customWidth="1"/>
    <col min="15633" max="15633" width="1.36328125" style="28" bestFit="1" customWidth="1"/>
    <col min="15634" max="15634" width="4.26953125" style="28" bestFit="1" customWidth="1"/>
    <col min="15635" max="15635" width="1.36328125" style="28" bestFit="1" customWidth="1"/>
    <col min="15636" max="15636" width="5.6328125" style="28" bestFit="1" customWidth="1"/>
    <col min="15637" max="15637" width="1.36328125" style="28" bestFit="1" customWidth="1"/>
    <col min="15638" max="15638" width="6.81640625" style="28" bestFit="1" customWidth="1"/>
    <col min="15639" max="15639" width="13.08984375" style="28" bestFit="1" customWidth="1"/>
    <col min="15640" max="15855" width="9.08984375" style="28"/>
    <col min="15856" max="15856" width="2.81640625" style="28" bestFit="1" customWidth="1"/>
    <col min="15857" max="15857" width="6.81640625" style="28" bestFit="1" customWidth="1"/>
    <col min="15858" max="15858" width="4.36328125" style="28" bestFit="1" customWidth="1"/>
    <col min="15859" max="15859" width="5.6328125" style="28" bestFit="1" customWidth="1"/>
    <col min="15860" max="15860" width="4" style="28" bestFit="1" customWidth="1"/>
    <col min="15861" max="15861" width="5.6328125" style="28" bestFit="1" customWidth="1"/>
    <col min="15862" max="15862" width="9.26953125" style="28" bestFit="1" customWidth="1"/>
    <col min="15863" max="15863" width="1.81640625" style="28" bestFit="1" customWidth="1"/>
    <col min="15864" max="15864" width="6.81640625" style="28" bestFit="1" customWidth="1"/>
    <col min="15865" max="15865" width="10.81640625" style="28" bestFit="1" customWidth="1"/>
    <col min="15866" max="15866" width="8.7265625" style="28" bestFit="1" customWidth="1"/>
    <col min="15867" max="15867" width="9.6328125" style="28" bestFit="1" customWidth="1"/>
    <col min="15868" max="15868" width="12" style="28" bestFit="1" customWidth="1"/>
    <col min="15869" max="15880" width="8.7265625" style="28" bestFit="1" customWidth="1"/>
    <col min="15881" max="15881" width="9.6328125" style="28" bestFit="1" customWidth="1"/>
    <col min="15882" max="15882" width="12" style="28" bestFit="1" customWidth="1"/>
    <col min="15883" max="15883" width="11.81640625" style="28" bestFit="1" customWidth="1"/>
    <col min="15884" max="15884" width="13.7265625" style="28" bestFit="1" customWidth="1"/>
    <col min="15885" max="15885" width="14.08984375" style="28" bestFit="1" customWidth="1"/>
    <col min="15886" max="15886" width="9.08984375" style="28"/>
    <col min="15887" max="15887" width="25.26953125" style="28" bestFit="1" customWidth="1"/>
    <col min="15888" max="15888" width="4.7265625" style="28" bestFit="1" customWidth="1"/>
    <col min="15889" max="15889" width="1.36328125" style="28" bestFit="1" customWidth="1"/>
    <col min="15890" max="15890" width="4.26953125" style="28" bestFit="1" customWidth="1"/>
    <col min="15891" max="15891" width="1.36328125" style="28" bestFit="1" customWidth="1"/>
    <col min="15892" max="15892" width="5.6328125" style="28" bestFit="1" customWidth="1"/>
    <col min="15893" max="15893" width="1.36328125" style="28" bestFit="1" customWidth="1"/>
    <col min="15894" max="15894" width="6.81640625" style="28" bestFit="1" customWidth="1"/>
    <col min="15895" max="15895" width="13.08984375" style="28" bestFit="1" customWidth="1"/>
    <col min="15896" max="16111" width="9.08984375" style="28"/>
    <col min="16112" max="16112" width="2.81640625" style="28" bestFit="1" customWidth="1"/>
    <col min="16113" max="16113" width="6.81640625" style="28" bestFit="1" customWidth="1"/>
    <col min="16114" max="16114" width="4.36328125" style="28" bestFit="1" customWidth="1"/>
    <col min="16115" max="16115" width="5.6328125" style="28" bestFit="1" customWidth="1"/>
    <col min="16116" max="16116" width="4" style="28" bestFit="1" customWidth="1"/>
    <col min="16117" max="16117" width="5.6328125" style="28" bestFit="1" customWidth="1"/>
    <col min="16118" max="16118" width="9.26953125" style="28" bestFit="1" customWidth="1"/>
    <col min="16119" max="16119" width="1.81640625" style="28" bestFit="1" customWidth="1"/>
    <col min="16120" max="16120" width="6.81640625" style="28" bestFit="1" customWidth="1"/>
    <col min="16121" max="16121" width="10.81640625" style="28" bestFit="1" customWidth="1"/>
    <col min="16122" max="16122" width="8.7265625" style="28" bestFit="1" customWidth="1"/>
    <col min="16123" max="16123" width="9.6328125" style="28" bestFit="1" customWidth="1"/>
    <col min="16124" max="16124" width="12" style="28" bestFit="1" customWidth="1"/>
    <col min="16125" max="16136" width="8.7265625" style="28" bestFit="1" customWidth="1"/>
    <col min="16137" max="16137" width="9.6328125" style="28" bestFit="1" customWidth="1"/>
    <col min="16138" max="16138" width="12" style="28" bestFit="1" customWidth="1"/>
    <col min="16139" max="16139" width="11.81640625" style="28" bestFit="1" customWidth="1"/>
    <col min="16140" max="16140" width="13.7265625" style="28" bestFit="1" customWidth="1"/>
    <col min="16141" max="16141" width="14.08984375" style="28" bestFit="1" customWidth="1"/>
    <col min="16142" max="16142" width="9.08984375" style="28"/>
    <col min="16143" max="16143" width="25.26953125" style="28" bestFit="1" customWidth="1"/>
    <col min="16144" max="16144" width="4.7265625" style="28" bestFit="1" customWidth="1"/>
    <col min="16145" max="16145" width="1.36328125" style="28" bestFit="1" customWidth="1"/>
    <col min="16146" max="16146" width="4.26953125" style="28" bestFit="1" customWidth="1"/>
    <col min="16147" max="16147" width="1.36328125" style="28" bestFit="1" customWidth="1"/>
    <col min="16148" max="16148" width="5.6328125" style="28" bestFit="1" customWidth="1"/>
    <col min="16149" max="16149" width="1.36328125" style="28" bestFit="1" customWidth="1"/>
    <col min="16150" max="16150" width="6.81640625" style="28" bestFit="1" customWidth="1"/>
    <col min="16151" max="16151" width="13.08984375" style="28" bestFit="1" customWidth="1"/>
    <col min="16152" max="16384" width="9.08984375" style="28"/>
  </cols>
  <sheetData>
    <row r="1" spans="1:23" x14ac:dyDescent="0.35">
      <c r="A1" s="28" t="s">
        <v>595</v>
      </c>
    </row>
    <row r="2" spans="1:23" x14ac:dyDescent="0.35">
      <c r="A2" s="28" t="s">
        <v>794</v>
      </c>
    </row>
    <row r="3" spans="1:23" x14ac:dyDescent="0.35">
      <c r="A3" s="28" t="s">
        <v>596</v>
      </c>
    </row>
    <row r="5" spans="1:23" s="99" customFormat="1" x14ac:dyDescent="0.35">
      <c r="A5" s="334" t="s">
        <v>673</v>
      </c>
      <c r="B5" s="335" t="s">
        <v>805</v>
      </c>
      <c r="C5" s="335" t="s">
        <v>803</v>
      </c>
      <c r="D5" s="337" t="s">
        <v>685</v>
      </c>
      <c r="E5" s="338"/>
      <c r="F5" s="338"/>
      <c r="G5" s="339"/>
      <c r="H5" s="333" t="s">
        <v>794</v>
      </c>
    </row>
    <row r="6" spans="1:23" s="99" customFormat="1" x14ac:dyDescent="0.35">
      <c r="A6" s="334"/>
      <c r="B6" s="336"/>
      <c r="C6" s="336"/>
      <c r="D6" s="167" t="s">
        <v>670</v>
      </c>
      <c r="E6" s="167" t="s">
        <v>686</v>
      </c>
      <c r="F6" s="167" t="s">
        <v>899</v>
      </c>
      <c r="G6" s="167" t="s">
        <v>671</v>
      </c>
      <c r="H6" s="333"/>
    </row>
    <row r="7" spans="1:23" x14ac:dyDescent="0.35">
      <c r="A7" s="167"/>
      <c r="B7" s="148"/>
      <c r="C7" s="148"/>
      <c r="D7" s="148"/>
      <c r="E7" s="148"/>
      <c r="F7" s="148"/>
      <c r="G7" s="148"/>
      <c r="H7" s="142"/>
    </row>
    <row r="8" spans="1:23" x14ac:dyDescent="0.35">
      <c r="A8" s="167">
        <v>1</v>
      </c>
      <c r="B8" s="148" t="s">
        <v>807</v>
      </c>
      <c r="C8" s="170">
        <v>130000</v>
      </c>
      <c r="D8" s="148">
        <v>100</v>
      </c>
      <c r="E8" s="148">
        <v>100</v>
      </c>
      <c r="F8" s="148">
        <v>100</v>
      </c>
      <c r="G8" s="148">
        <f t="shared" ref="G8:G25" si="0">D8+E8-F8</f>
        <v>100</v>
      </c>
      <c r="H8" s="171">
        <f>C8*G8</f>
        <v>13000000</v>
      </c>
    </row>
    <row r="9" spans="1:23" x14ac:dyDescent="0.35">
      <c r="A9" s="167"/>
      <c r="B9" s="148" t="s">
        <v>807</v>
      </c>
      <c r="C9" s="170">
        <v>150000</v>
      </c>
      <c r="D9" s="148">
        <v>50</v>
      </c>
      <c r="E9" s="148">
        <v>50</v>
      </c>
      <c r="F9" s="148">
        <v>50</v>
      </c>
      <c r="G9" s="148">
        <f t="shared" si="0"/>
        <v>50</v>
      </c>
      <c r="H9" s="171">
        <f>C9*G9</f>
        <v>7500000</v>
      </c>
    </row>
    <row r="10" spans="1:23" x14ac:dyDescent="0.35">
      <c r="A10" s="167">
        <v>2</v>
      </c>
      <c r="B10" s="148" t="s">
        <v>808</v>
      </c>
      <c r="C10" s="170">
        <v>110000</v>
      </c>
      <c r="D10" s="148">
        <v>40</v>
      </c>
      <c r="E10" s="148">
        <v>40</v>
      </c>
      <c r="F10" s="148">
        <v>40</v>
      </c>
      <c r="G10" s="148">
        <f t="shared" si="0"/>
        <v>40</v>
      </c>
      <c r="H10" s="171">
        <f t="shared" ref="H10:H25" si="1">C10*G10</f>
        <v>4400000</v>
      </c>
    </row>
    <row r="11" spans="1:23" x14ac:dyDescent="0.35">
      <c r="A11" s="167"/>
      <c r="B11" s="148" t="s">
        <v>808</v>
      </c>
      <c r="C11" s="170">
        <v>130000</v>
      </c>
      <c r="D11" s="148">
        <v>50</v>
      </c>
      <c r="E11" s="148">
        <v>50</v>
      </c>
      <c r="F11" s="148">
        <v>50</v>
      </c>
      <c r="G11" s="148">
        <f t="shared" si="0"/>
        <v>50</v>
      </c>
      <c r="H11" s="171">
        <f t="shared" si="1"/>
        <v>6500000</v>
      </c>
    </row>
    <row r="12" spans="1:23" x14ac:dyDescent="0.35">
      <c r="A12" s="167"/>
      <c r="B12" s="148"/>
      <c r="C12" s="170"/>
      <c r="D12" s="148"/>
      <c r="E12" s="148"/>
      <c r="F12" s="148"/>
      <c r="G12" s="148">
        <f t="shared" si="0"/>
        <v>0</v>
      </c>
      <c r="H12" s="171">
        <f t="shared" si="1"/>
        <v>0</v>
      </c>
    </row>
    <row r="13" spans="1:23" x14ac:dyDescent="0.35">
      <c r="A13" s="167"/>
      <c r="B13" s="148"/>
      <c r="C13" s="170"/>
      <c r="D13" s="148"/>
      <c r="E13" s="148"/>
      <c r="F13" s="148"/>
      <c r="G13" s="148">
        <f t="shared" si="0"/>
        <v>0</v>
      </c>
      <c r="H13" s="171">
        <f t="shared" si="1"/>
        <v>0</v>
      </c>
    </row>
    <row r="14" spans="1:23" s="99" customFormat="1" x14ac:dyDescent="0.35">
      <c r="A14" s="167"/>
      <c r="B14" s="148"/>
      <c r="C14" s="170"/>
      <c r="D14" s="148"/>
      <c r="E14" s="148"/>
      <c r="F14" s="148"/>
      <c r="G14" s="148">
        <f t="shared" si="0"/>
        <v>0</v>
      </c>
      <c r="H14" s="171">
        <f t="shared" si="1"/>
        <v>0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s="99" customFormat="1" x14ac:dyDescent="0.35">
      <c r="A15" s="167"/>
      <c r="B15" s="148"/>
      <c r="C15" s="170"/>
      <c r="D15" s="148"/>
      <c r="E15" s="148"/>
      <c r="F15" s="148"/>
      <c r="G15" s="148">
        <f t="shared" si="0"/>
        <v>0</v>
      </c>
      <c r="H15" s="171">
        <f t="shared" si="1"/>
        <v>0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s="99" customFormat="1" x14ac:dyDescent="0.35">
      <c r="A16" s="167"/>
      <c r="B16" s="148"/>
      <c r="C16" s="170"/>
      <c r="D16" s="148"/>
      <c r="E16" s="148"/>
      <c r="F16" s="148"/>
      <c r="G16" s="148">
        <f t="shared" si="0"/>
        <v>0</v>
      </c>
      <c r="H16" s="171">
        <f t="shared" si="1"/>
        <v>0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1:23" s="99" customFormat="1" x14ac:dyDescent="0.35">
      <c r="A17" s="167"/>
      <c r="B17" s="148"/>
      <c r="C17" s="170"/>
      <c r="D17" s="148"/>
      <c r="E17" s="148"/>
      <c r="F17" s="148"/>
      <c r="G17" s="148">
        <f t="shared" si="0"/>
        <v>0</v>
      </c>
      <c r="H17" s="171">
        <f t="shared" si="1"/>
        <v>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x14ac:dyDescent="0.35">
      <c r="A18" s="167"/>
      <c r="B18" s="148"/>
      <c r="C18" s="170"/>
      <c r="D18" s="148"/>
      <c r="E18" s="148"/>
      <c r="F18" s="148"/>
      <c r="G18" s="148">
        <f t="shared" si="0"/>
        <v>0</v>
      </c>
      <c r="H18" s="171">
        <f t="shared" si="1"/>
        <v>0</v>
      </c>
    </row>
    <row r="19" spans="1:23" s="99" customFormat="1" x14ac:dyDescent="0.35">
      <c r="A19" s="167"/>
      <c r="B19" s="148"/>
      <c r="C19" s="170"/>
      <c r="D19" s="148"/>
      <c r="E19" s="148"/>
      <c r="F19" s="148"/>
      <c r="G19" s="148">
        <f t="shared" si="0"/>
        <v>0</v>
      </c>
      <c r="H19" s="171">
        <f t="shared" si="1"/>
        <v>0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3" s="99" customFormat="1" x14ac:dyDescent="0.35">
      <c r="A20" s="167"/>
      <c r="B20" s="148"/>
      <c r="C20" s="170"/>
      <c r="D20" s="148"/>
      <c r="E20" s="148"/>
      <c r="F20" s="148"/>
      <c r="G20" s="148">
        <f t="shared" si="0"/>
        <v>0</v>
      </c>
      <c r="H20" s="171">
        <f t="shared" si="1"/>
        <v>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spans="1:23" s="99" customFormat="1" x14ac:dyDescent="0.35">
      <c r="A21" s="167"/>
      <c r="B21" s="148"/>
      <c r="C21" s="170"/>
      <c r="D21" s="148"/>
      <c r="E21" s="148"/>
      <c r="F21" s="148"/>
      <c r="G21" s="148">
        <f t="shared" si="0"/>
        <v>0</v>
      </c>
      <c r="H21" s="171">
        <f t="shared" si="1"/>
        <v>0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1:23" s="99" customFormat="1" x14ac:dyDescent="0.35">
      <c r="A22" s="167"/>
      <c r="B22" s="148"/>
      <c r="C22" s="170"/>
      <c r="D22" s="148"/>
      <c r="E22" s="148"/>
      <c r="F22" s="148"/>
      <c r="G22" s="148">
        <f t="shared" si="0"/>
        <v>0</v>
      </c>
      <c r="H22" s="171">
        <f t="shared" si="1"/>
        <v>0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spans="1:23" s="99" customFormat="1" x14ac:dyDescent="0.35">
      <c r="A23" s="167"/>
      <c r="B23" s="148"/>
      <c r="C23" s="170"/>
      <c r="D23" s="148"/>
      <c r="E23" s="148"/>
      <c r="F23" s="148"/>
      <c r="G23" s="148">
        <f t="shared" si="0"/>
        <v>0</v>
      </c>
      <c r="H23" s="171">
        <f t="shared" si="1"/>
        <v>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3" s="99" customFormat="1" x14ac:dyDescent="0.35">
      <c r="A24" s="167"/>
      <c r="B24" s="148"/>
      <c r="C24" s="170"/>
      <c r="D24" s="148"/>
      <c r="E24" s="148"/>
      <c r="F24" s="148"/>
      <c r="G24" s="148">
        <f t="shared" si="0"/>
        <v>0</v>
      </c>
      <c r="H24" s="171">
        <f t="shared" si="1"/>
        <v>0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spans="1:23" s="99" customFormat="1" x14ac:dyDescent="0.35">
      <c r="A25" s="167"/>
      <c r="B25" s="148"/>
      <c r="C25" s="170"/>
      <c r="D25" s="148"/>
      <c r="E25" s="148"/>
      <c r="F25" s="148"/>
      <c r="G25" s="148">
        <f t="shared" si="0"/>
        <v>0</v>
      </c>
      <c r="H25" s="171">
        <f t="shared" si="1"/>
        <v>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spans="1:23" s="99" customFormat="1" x14ac:dyDescent="0.35">
      <c r="A26" s="172"/>
      <c r="B26" s="173"/>
      <c r="C26" s="174"/>
      <c r="D26" s="148">
        <f>SUM(D7:D25)</f>
        <v>240</v>
      </c>
      <c r="E26" s="148">
        <f>SUM(E7:E25)</f>
        <v>240</v>
      </c>
      <c r="F26" s="148">
        <f>SUM(F7:F25)</f>
        <v>240</v>
      </c>
      <c r="G26" s="148">
        <f>SUM(G7:G25)</f>
        <v>240</v>
      </c>
      <c r="H26" s="170">
        <f>SUM(H7:H25)</f>
        <v>31400000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spans="1:23" s="99" customFormat="1" x14ac:dyDescent="0.35">
      <c r="A27" s="28"/>
      <c r="B27" s="28"/>
      <c r="C27" s="28"/>
      <c r="D27" s="28"/>
      <c r="E27" s="28"/>
      <c r="F27" s="28"/>
      <c r="G27" s="28"/>
      <c r="H27" s="4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spans="1:23" x14ac:dyDescent="0.35">
      <c r="B28" s="28" t="s">
        <v>806</v>
      </c>
    </row>
  </sheetData>
  <mergeCells count="5">
    <mergeCell ref="H5:H6"/>
    <mergeCell ref="A5:A6"/>
    <mergeCell ref="B5:B6"/>
    <mergeCell ref="C5:C6"/>
    <mergeCell ref="D5:G5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N46"/>
  <sheetViews>
    <sheetView workbookViewId="0">
      <pane xSplit="13" ySplit="8" topLeftCell="N9" activePane="bottomRight" state="frozen"/>
      <selection pane="topRight" activeCell="N1" sqref="N1"/>
      <selection pane="bottomLeft" activeCell="A8" sqref="A8"/>
      <selection pane="bottomRight" activeCell="O29" sqref="O29"/>
    </sheetView>
  </sheetViews>
  <sheetFormatPr defaultRowHeight="10.5" x14ac:dyDescent="0.35"/>
  <cols>
    <col min="1" max="1" width="2.81640625" style="28" bestFit="1" customWidth="1"/>
    <col min="2" max="2" width="6.81640625" style="28" bestFit="1" customWidth="1"/>
    <col min="3" max="3" width="4.36328125" style="28" bestFit="1" customWidth="1"/>
    <col min="4" max="4" width="5.6328125" style="28" bestFit="1" customWidth="1"/>
    <col min="5" max="5" width="4" style="28" bestFit="1" customWidth="1"/>
    <col min="6" max="6" width="5.6328125" style="28" bestFit="1" customWidth="1"/>
    <col min="7" max="7" width="9.26953125" style="28" bestFit="1" customWidth="1"/>
    <col min="8" max="8" width="1.81640625" style="28" bestFit="1" customWidth="1"/>
    <col min="9" max="9" width="6.81640625" style="28" bestFit="1" customWidth="1"/>
    <col min="10" max="10" width="12.26953125" style="28" customWidth="1"/>
    <col min="11" max="11" width="11.6328125" style="28" customWidth="1"/>
    <col min="12" max="12" width="9.6328125" style="28" bestFit="1" customWidth="1"/>
    <col min="13" max="13" width="12" style="28" bestFit="1" customWidth="1"/>
    <col min="14" max="14" width="10" style="28" customWidth="1"/>
    <col min="15" max="15" width="11.08984375" style="28" customWidth="1"/>
    <col min="16" max="16" width="11.26953125" style="28" customWidth="1"/>
    <col min="17" max="17" width="10.36328125" style="28" customWidth="1"/>
    <col min="18" max="18" width="11.08984375" style="28" customWidth="1"/>
    <col min="19" max="19" width="9.08984375" style="28" customWidth="1"/>
    <col min="20" max="20" width="10.26953125" style="28" customWidth="1"/>
    <col min="21" max="21" width="11" style="28" customWidth="1"/>
    <col min="22" max="22" width="10.7265625" style="28" customWidth="1"/>
    <col min="23" max="23" width="9.36328125" style="28" customWidth="1"/>
    <col min="24" max="24" width="9.81640625" style="28" customWidth="1"/>
    <col min="25" max="25" width="9.26953125" style="28" customWidth="1"/>
    <col min="26" max="26" width="10" style="28" customWidth="1"/>
    <col min="27" max="27" width="13.81640625" style="28" bestFit="1" customWidth="1"/>
    <col min="28" max="28" width="11.81640625" style="28" bestFit="1" customWidth="1"/>
    <col min="29" max="29" width="9.7265625" style="28" bestFit="1" customWidth="1"/>
    <col min="30" max="30" width="14.08984375" style="28" bestFit="1" customWidth="1"/>
    <col min="31" max="31" width="9.08984375" style="28"/>
    <col min="32" max="32" width="25.26953125" style="28" bestFit="1" customWidth="1"/>
    <col min="33" max="33" width="4.7265625" style="99" bestFit="1" customWidth="1"/>
    <col min="34" max="34" width="1.36328125" style="99" bestFit="1" customWidth="1"/>
    <col min="35" max="35" width="4.26953125" style="99" bestFit="1" customWidth="1"/>
    <col min="36" max="36" width="1.36328125" style="99" bestFit="1" customWidth="1"/>
    <col min="37" max="37" width="5.6328125" style="99" bestFit="1" customWidth="1"/>
    <col min="38" max="38" width="1.36328125" style="99" bestFit="1" customWidth="1"/>
    <col min="39" max="39" width="6.81640625" style="99" bestFit="1" customWidth="1"/>
    <col min="40" max="40" width="14.08984375" style="228" bestFit="1" customWidth="1"/>
    <col min="41" max="256" width="9.08984375" style="28"/>
    <col min="257" max="257" width="2.81640625" style="28" bestFit="1" customWidth="1"/>
    <col min="258" max="258" width="6.81640625" style="28" bestFit="1" customWidth="1"/>
    <col min="259" max="259" width="4.36328125" style="28" bestFit="1" customWidth="1"/>
    <col min="260" max="260" width="5.6328125" style="28" bestFit="1" customWidth="1"/>
    <col min="261" max="261" width="4" style="28" bestFit="1" customWidth="1"/>
    <col min="262" max="262" width="5.6328125" style="28" bestFit="1" customWidth="1"/>
    <col min="263" max="263" width="9.26953125" style="28" bestFit="1" customWidth="1"/>
    <col min="264" max="264" width="1.81640625" style="28" bestFit="1" customWidth="1"/>
    <col min="265" max="265" width="6.81640625" style="28" bestFit="1" customWidth="1"/>
    <col min="266" max="266" width="10.81640625" style="28" bestFit="1" customWidth="1"/>
    <col min="267" max="267" width="8.7265625" style="28" bestFit="1" customWidth="1"/>
    <col min="268" max="268" width="9.6328125" style="28" bestFit="1" customWidth="1"/>
    <col min="269" max="269" width="12" style="28" bestFit="1" customWidth="1"/>
    <col min="270" max="281" width="8.7265625" style="28" bestFit="1" customWidth="1"/>
    <col min="282" max="282" width="9.6328125" style="28" bestFit="1" customWidth="1"/>
    <col min="283" max="283" width="12" style="28" bestFit="1" customWidth="1"/>
    <col min="284" max="284" width="11.81640625" style="28" bestFit="1" customWidth="1"/>
    <col min="285" max="285" width="13.7265625" style="28" bestFit="1" customWidth="1"/>
    <col min="286" max="286" width="14.08984375" style="28" bestFit="1" customWidth="1"/>
    <col min="287" max="287" width="9.08984375" style="28"/>
    <col min="288" max="288" width="25.26953125" style="28" bestFit="1" customWidth="1"/>
    <col min="289" max="289" width="4.7265625" style="28" bestFit="1" customWidth="1"/>
    <col min="290" max="290" width="1.36328125" style="28" bestFit="1" customWidth="1"/>
    <col min="291" max="291" width="4.26953125" style="28" bestFit="1" customWidth="1"/>
    <col min="292" max="292" width="1.36328125" style="28" bestFit="1" customWidth="1"/>
    <col min="293" max="293" width="5.6328125" style="28" bestFit="1" customWidth="1"/>
    <col min="294" max="294" width="1.36328125" style="28" bestFit="1" customWidth="1"/>
    <col min="295" max="295" width="6.81640625" style="28" bestFit="1" customWidth="1"/>
    <col min="296" max="296" width="13.08984375" style="28" bestFit="1" customWidth="1"/>
    <col min="297" max="512" width="9.08984375" style="28"/>
    <col min="513" max="513" width="2.81640625" style="28" bestFit="1" customWidth="1"/>
    <col min="514" max="514" width="6.81640625" style="28" bestFit="1" customWidth="1"/>
    <col min="515" max="515" width="4.36328125" style="28" bestFit="1" customWidth="1"/>
    <col min="516" max="516" width="5.6328125" style="28" bestFit="1" customWidth="1"/>
    <col min="517" max="517" width="4" style="28" bestFit="1" customWidth="1"/>
    <col min="518" max="518" width="5.6328125" style="28" bestFit="1" customWidth="1"/>
    <col min="519" max="519" width="9.26953125" style="28" bestFit="1" customWidth="1"/>
    <col min="520" max="520" width="1.81640625" style="28" bestFit="1" customWidth="1"/>
    <col min="521" max="521" width="6.81640625" style="28" bestFit="1" customWidth="1"/>
    <col min="522" max="522" width="10.81640625" style="28" bestFit="1" customWidth="1"/>
    <col min="523" max="523" width="8.7265625" style="28" bestFit="1" customWidth="1"/>
    <col min="524" max="524" width="9.6328125" style="28" bestFit="1" customWidth="1"/>
    <col min="525" max="525" width="12" style="28" bestFit="1" customWidth="1"/>
    <col min="526" max="537" width="8.7265625" style="28" bestFit="1" customWidth="1"/>
    <col min="538" max="538" width="9.6328125" style="28" bestFit="1" customWidth="1"/>
    <col min="539" max="539" width="12" style="28" bestFit="1" customWidth="1"/>
    <col min="540" max="540" width="11.81640625" style="28" bestFit="1" customWidth="1"/>
    <col min="541" max="541" width="13.7265625" style="28" bestFit="1" customWidth="1"/>
    <col min="542" max="542" width="14.08984375" style="28" bestFit="1" customWidth="1"/>
    <col min="543" max="543" width="9.08984375" style="28"/>
    <col min="544" max="544" width="25.26953125" style="28" bestFit="1" customWidth="1"/>
    <col min="545" max="545" width="4.7265625" style="28" bestFit="1" customWidth="1"/>
    <col min="546" max="546" width="1.36328125" style="28" bestFit="1" customWidth="1"/>
    <col min="547" max="547" width="4.26953125" style="28" bestFit="1" customWidth="1"/>
    <col min="548" max="548" width="1.36328125" style="28" bestFit="1" customWidth="1"/>
    <col min="549" max="549" width="5.6328125" style="28" bestFit="1" customWidth="1"/>
    <col min="550" max="550" width="1.36328125" style="28" bestFit="1" customWidth="1"/>
    <col min="551" max="551" width="6.81640625" style="28" bestFit="1" customWidth="1"/>
    <col min="552" max="552" width="13.08984375" style="28" bestFit="1" customWidth="1"/>
    <col min="553" max="768" width="9.08984375" style="28"/>
    <col min="769" max="769" width="2.81640625" style="28" bestFit="1" customWidth="1"/>
    <col min="770" max="770" width="6.81640625" style="28" bestFit="1" customWidth="1"/>
    <col min="771" max="771" width="4.36328125" style="28" bestFit="1" customWidth="1"/>
    <col min="772" max="772" width="5.6328125" style="28" bestFit="1" customWidth="1"/>
    <col min="773" max="773" width="4" style="28" bestFit="1" customWidth="1"/>
    <col min="774" max="774" width="5.6328125" style="28" bestFit="1" customWidth="1"/>
    <col min="775" max="775" width="9.26953125" style="28" bestFit="1" customWidth="1"/>
    <col min="776" max="776" width="1.81640625" style="28" bestFit="1" customWidth="1"/>
    <col min="777" max="777" width="6.81640625" style="28" bestFit="1" customWidth="1"/>
    <col min="778" max="778" width="10.81640625" style="28" bestFit="1" customWidth="1"/>
    <col min="779" max="779" width="8.7265625" style="28" bestFit="1" customWidth="1"/>
    <col min="780" max="780" width="9.6328125" style="28" bestFit="1" customWidth="1"/>
    <col min="781" max="781" width="12" style="28" bestFit="1" customWidth="1"/>
    <col min="782" max="793" width="8.7265625" style="28" bestFit="1" customWidth="1"/>
    <col min="794" max="794" width="9.6328125" style="28" bestFit="1" customWidth="1"/>
    <col min="795" max="795" width="12" style="28" bestFit="1" customWidth="1"/>
    <col min="796" max="796" width="11.81640625" style="28" bestFit="1" customWidth="1"/>
    <col min="797" max="797" width="13.7265625" style="28" bestFit="1" customWidth="1"/>
    <col min="798" max="798" width="14.08984375" style="28" bestFit="1" customWidth="1"/>
    <col min="799" max="799" width="9.08984375" style="28"/>
    <col min="800" max="800" width="25.26953125" style="28" bestFit="1" customWidth="1"/>
    <col min="801" max="801" width="4.7265625" style="28" bestFit="1" customWidth="1"/>
    <col min="802" max="802" width="1.36328125" style="28" bestFit="1" customWidth="1"/>
    <col min="803" max="803" width="4.26953125" style="28" bestFit="1" customWidth="1"/>
    <col min="804" max="804" width="1.36328125" style="28" bestFit="1" customWidth="1"/>
    <col min="805" max="805" width="5.6328125" style="28" bestFit="1" customWidth="1"/>
    <col min="806" max="806" width="1.36328125" style="28" bestFit="1" customWidth="1"/>
    <col min="807" max="807" width="6.81640625" style="28" bestFit="1" customWidth="1"/>
    <col min="808" max="808" width="13.08984375" style="28" bestFit="1" customWidth="1"/>
    <col min="809" max="1024" width="9.08984375" style="28"/>
    <col min="1025" max="1025" width="2.81640625" style="28" bestFit="1" customWidth="1"/>
    <col min="1026" max="1026" width="6.81640625" style="28" bestFit="1" customWidth="1"/>
    <col min="1027" max="1027" width="4.36328125" style="28" bestFit="1" customWidth="1"/>
    <col min="1028" max="1028" width="5.6328125" style="28" bestFit="1" customWidth="1"/>
    <col min="1029" max="1029" width="4" style="28" bestFit="1" customWidth="1"/>
    <col min="1030" max="1030" width="5.6328125" style="28" bestFit="1" customWidth="1"/>
    <col min="1031" max="1031" width="9.26953125" style="28" bestFit="1" customWidth="1"/>
    <col min="1032" max="1032" width="1.81640625" style="28" bestFit="1" customWidth="1"/>
    <col min="1033" max="1033" width="6.81640625" style="28" bestFit="1" customWidth="1"/>
    <col min="1034" max="1034" width="10.81640625" style="28" bestFit="1" customWidth="1"/>
    <col min="1035" max="1035" width="8.7265625" style="28" bestFit="1" customWidth="1"/>
    <col min="1036" max="1036" width="9.6328125" style="28" bestFit="1" customWidth="1"/>
    <col min="1037" max="1037" width="12" style="28" bestFit="1" customWidth="1"/>
    <col min="1038" max="1049" width="8.7265625" style="28" bestFit="1" customWidth="1"/>
    <col min="1050" max="1050" width="9.6328125" style="28" bestFit="1" customWidth="1"/>
    <col min="1051" max="1051" width="12" style="28" bestFit="1" customWidth="1"/>
    <col min="1052" max="1052" width="11.81640625" style="28" bestFit="1" customWidth="1"/>
    <col min="1053" max="1053" width="13.7265625" style="28" bestFit="1" customWidth="1"/>
    <col min="1054" max="1054" width="14.08984375" style="28" bestFit="1" customWidth="1"/>
    <col min="1055" max="1055" width="9.08984375" style="28"/>
    <col min="1056" max="1056" width="25.26953125" style="28" bestFit="1" customWidth="1"/>
    <col min="1057" max="1057" width="4.7265625" style="28" bestFit="1" customWidth="1"/>
    <col min="1058" max="1058" width="1.36328125" style="28" bestFit="1" customWidth="1"/>
    <col min="1059" max="1059" width="4.26953125" style="28" bestFit="1" customWidth="1"/>
    <col min="1060" max="1060" width="1.36328125" style="28" bestFit="1" customWidth="1"/>
    <col min="1061" max="1061" width="5.6328125" style="28" bestFit="1" customWidth="1"/>
    <col min="1062" max="1062" width="1.36328125" style="28" bestFit="1" customWidth="1"/>
    <col min="1063" max="1063" width="6.81640625" style="28" bestFit="1" customWidth="1"/>
    <col min="1064" max="1064" width="13.08984375" style="28" bestFit="1" customWidth="1"/>
    <col min="1065" max="1280" width="9.08984375" style="28"/>
    <col min="1281" max="1281" width="2.81640625" style="28" bestFit="1" customWidth="1"/>
    <col min="1282" max="1282" width="6.81640625" style="28" bestFit="1" customWidth="1"/>
    <col min="1283" max="1283" width="4.36328125" style="28" bestFit="1" customWidth="1"/>
    <col min="1284" max="1284" width="5.6328125" style="28" bestFit="1" customWidth="1"/>
    <col min="1285" max="1285" width="4" style="28" bestFit="1" customWidth="1"/>
    <col min="1286" max="1286" width="5.6328125" style="28" bestFit="1" customWidth="1"/>
    <col min="1287" max="1287" width="9.26953125" style="28" bestFit="1" customWidth="1"/>
    <col min="1288" max="1288" width="1.81640625" style="28" bestFit="1" customWidth="1"/>
    <col min="1289" max="1289" width="6.81640625" style="28" bestFit="1" customWidth="1"/>
    <col min="1290" max="1290" width="10.81640625" style="28" bestFit="1" customWidth="1"/>
    <col min="1291" max="1291" width="8.7265625" style="28" bestFit="1" customWidth="1"/>
    <col min="1292" max="1292" width="9.6328125" style="28" bestFit="1" customWidth="1"/>
    <col min="1293" max="1293" width="12" style="28" bestFit="1" customWidth="1"/>
    <col min="1294" max="1305" width="8.7265625" style="28" bestFit="1" customWidth="1"/>
    <col min="1306" max="1306" width="9.6328125" style="28" bestFit="1" customWidth="1"/>
    <col min="1307" max="1307" width="12" style="28" bestFit="1" customWidth="1"/>
    <col min="1308" max="1308" width="11.81640625" style="28" bestFit="1" customWidth="1"/>
    <col min="1309" max="1309" width="13.7265625" style="28" bestFit="1" customWidth="1"/>
    <col min="1310" max="1310" width="14.08984375" style="28" bestFit="1" customWidth="1"/>
    <col min="1311" max="1311" width="9.08984375" style="28"/>
    <col min="1312" max="1312" width="25.26953125" style="28" bestFit="1" customWidth="1"/>
    <col min="1313" max="1313" width="4.7265625" style="28" bestFit="1" customWidth="1"/>
    <col min="1314" max="1314" width="1.36328125" style="28" bestFit="1" customWidth="1"/>
    <col min="1315" max="1315" width="4.26953125" style="28" bestFit="1" customWidth="1"/>
    <col min="1316" max="1316" width="1.36328125" style="28" bestFit="1" customWidth="1"/>
    <col min="1317" max="1317" width="5.6328125" style="28" bestFit="1" customWidth="1"/>
    <col min="1318" max="1318" width="1.36328125" style="28" bestFit="1" customWidth="1"/>
    <col min="1319" max="1319" width="6.81640625" style="28" bestFit="1" customWidth="1"/>
    <col min="1320" max="1320" width="13.08984375" style="28" bestFit="1" customWidth="1"/>
    <col min="1321" max="1536" width="9.08984375" style="28"/>
    <col min="1537" max="1537" width="2.81640625" style="28" bestFit="1" customWidth="1"/>
    <col min="1538" max="1538" width="6.81640625" style="28" bestFit="1" customWidth="1"/>
    <col min="1539" max="1539" width="4.36328125" style="28" bestFit="1" customWidth="1"/>
    <col min="1540" max="1540" width="5.6328125" style="28" bestFit="1" customWidth="1"/>
    <col min="1541" max="1541" width="4" style="28" bestFit="1" customWidth="1"/>
    <col min="1542" max="1542" width="5.6328125" style="28" bestFit="1" customWidth="1"/>
    <col min="1543" max="1543" width="9.26953125" style="28" bestFit="1" customWidth="1"/>
    <col min="1544" max="1544" width="1.81640625" style="28" bestFit="1" customWidth="1"/>
    <col min="1545" max="1545" width="6.81640625" style="28" bestFit="1" customWidth="1"/>
    <col min="1546" max="1546" width="10.81640625" style="28" bestFit="1" customWidth="1"/>
    <col min="1547" max="1547" width="8.7265625" style="28" bestFit="1" customWidth="1"/>
    <col min="1548" max="1548" width="9.6328125" style="28" bestFit="1" customWidth="1"/>
    <col min="1549" max="1549" width="12" style="28" bestFit="1" customWidth="1"/>
    <col min="1550" max="1561" width="8.7265625" style="28" bestFit="1" customWidth="1"/>
    <col min="1562" max="1562" width="9.6328125" style="28" bestFit="1" customWidth="1"/>
    <col min="1563" max="1563" width="12" style="28" bestFit="1" customWidth="1"/>
    <col min="1564" max="1564" width="11.81640625" style="28" bestFit="1" customWidth="1"/>
    <col min="1565" max="1565" width="13.7265625" style="28" bestFit="1" customWidth="1"/>
    <col min="1566" max="1566" width="14.08984375" style="28" bestFit="1" customWidth="1"/>
    <col min="1567" max="1567" width="9.08984375" style="28"/>
    <col min="1568" max="1568" width="25.26953125" style="28" bestFit="1" customWidth="1"/>
    <col min="1569" max="1569" width="4.7265625" style="28" bestFit="1" customWidth="1"/>
    <col min="1570" max="1570" width="1.36328125" style="28" bestFit="1" customWidth="1"/>
    <col min="1571" max="1571" width="4.26953125" style="28" bestFit="1" customWidth="1"/>
    <col min="1572" max="1572" width="1.36328125" style="28" bestFit="1" customWidth="1"/>
    <col min="1573" max="1573" width="5.6328125" style="28" bestFit="1" customWidth="1"/>
    <col min="1574" max="1574" width="1.36328125" style="28" bestFit="1" customWidth="1"/>
    <col min="1575" max="1575" width="6.81640625" style="28" bestFit="1" customWidth="1"/>
    <col min="1576" max="1576" width="13.08984375" style="28" bestFit="1" customWidth="1"/>
    <col min="1577" max="1792" width="9.08984375" style="28"/>
    <col min="1793" max="1793" width="2.81640625" style="28" bestFit="1" customWidth="1"/>
    <col min="1794" max="1794" width="6.81640625" style="28" bestFit="1" customWidth="1"/>
    <col min="1795" max="1795" width="4.36328125" style="28" bestFit="1" customWidth="1"/>
    <col min="1796" max="1796" width="5.6328125" style="28" bestFit="1" customWidth="1"/>
    <col min="1797" max="1797" width="4" style="28" bestFit="1" customWidth="1"/>
    <col min="1798" max="1798" width="5.6328125" style="28" bestFit="1" customWidth="1"/>
    <col min="1799" max="1799" width="9.26953125" style="28" bestFit="1" customWidth="1"/>
    <col min="1800" max="1800" width="1.81640625" style="28" bestFit="1" customWidth="1"/>
    <col min="1801" max="1801" width="6.81640625" style="28" bestFit="1" customWidth="1"/>
    <col min="1802" max="1802" width="10.81640625" style="28" bestFit="1" customWidth="1"/>
    <col min="1803" max="1803" width="8.7265625" style="28" bestFit="1" customWidth="1"/>
    <col min="1804" max="1804" width="9.6328125" style="28" bestFit="1" customWidth="1"/>
    <col min="1805" max="1805" width="12" style="28" bestFit="1" customWidth="1"/>
    <col min="1806" max="1817" width="8.7265625" style="28" bestFit="1" customWidth="1"/>
    <col min="1818" max="1818" width="9.6328125" style="28" bestFit="1" customWidth="1"/>
    <col min="1819" max="1819" width="12" style="28" bestFit="1" customWidth="1"/>
    <col min="1820" max="1820" width="11.81640625" style="28" bestFit="1" customWidth="1"/>
    <col min="1821" max="1821" width="13.7265625" style="28" bestFit="1" customWidth="1"/>
    <col min="1822" max="1822" width="14.08984375" style="28" bestFit="1" customWidth="1"/>
    <col min="1823" max="1823" width="9.08984375" style="28"/>
    <col min="1824" max="1824" width="25.26953125" style="28" bestFit="1" customWidth="1"/>
    <col min="1825" max="1825" width="4.7265625" style="28" bestFit="1" customWidth="1"/>
    <col min="1826" max="1826" width="1.36328125" style="28" bestFit="1" customWidth="1"/>
    <col min="1827" max="1827" width="4.26953125" style="28" bestFit="1" customWidth="1"/>
    <col min="1828" max="1828" width="1.36328125" style="28" bestFit="1" customWidth="1"/>
    <col min="1829" max="1829" width="5.6328125" style="28" bestFit="1" customWidth="1"/>
    <col min="1830" max="1830" width="1.36328125" style="28" bestFit="1" customWidth="1"/>
    <col min="1831" max="1831" width="6.81640625" style="28" bestFit="1" customWidth="1"/>
    <col min="1832" max="1832" width="13.08984375" style="28" bestFit="1" customWidth="1"/>
    <col min="1833" max="2048" width="9.08984375" style="28"/>
    <col min="2049" max="2049" width="2.81640625" style="28" bestFit="1" customWidth="1"/>
    <col min="2050" max="2050" width="6.81640625" style="28" bestFit="1" customWidth="1"/>
    <col min="2051" max="2051" width="4.36328125" style="28" bestFit="1" customWidth="1"/>
    <col min="2052" max="2052" width="5.6328125" style="28" bestFit="1" customWidth="1"/>
    <col min="2053" max="2053" width="4" style="28" bestFit="1" customWidth="1"/>
    <col min="2054" max="2054" width="5.6328125" style="28" bestFit="1" customWidth="1"/>
    <col min="2055" max="2055" width="9.26953125" style="28" bestFit="1" customWidth="1"/>
    <col min="2056" max="2056" width="1.81640625" style="28" bestFit="1" customWidth="1"/>
    <col min="2057" max="2057" width="6.81640625" style="28" bestFit="1" customWidth="1"/>
    <col min="2058" max="2058" width="10.81640625" style="28" bestFit="1" customWidth="1"/>
    <col min="2059" max="2059" width="8.7265625" style="28" bestFit="1" customWidth="1"/>
    <col min="2060" max="2060" width="9.6328125" style="28" bestFit="1" customWidth="1"/>
    <col min="2061" max="2061" width="12" style="28" bestFit="1" customWidth="1"/>
    <col min="2062" max="2073" width="8.7265625" style="28" bestFit="1" customWidth="1"/>
    <col min="2074" max="2074" width="9.6328125" style="28" bestFit="1" customWidth="1"/>
    <col min="2075" max="2075" width="12" style="28" bestFit="1" customWidth="1"/>
    <col min="2076" max="2076" width="11.81640625" style="28" bestFit="1" customWidth="1"/>
    <col min="2077" max="2077" width="13.7265625" style="28" bestFit="1" customWidth="1"/>
    <col min="2078" max="2078" width="14.08984375" style="28" bestFit="1" customWidth="1"/>
    <col min="2079" max="2079" width="9.08984375" style="28"/>
    <col min="2080" max="2080" width="25.26953125" style="28" bestFit="1" customWidth="1"/>
    <col min="2081" max="2081" width="4.7265625" style="28" bestFit="1" customWidth="1"/>
    <col min="2082" max="2082" width="1.36328125" style="28" bestFit="1" customWidth="1"/>
    <col min="2083" max="2083" width="4.26953125" style="28" bestFit="1" customWidth="1"/>
    <col min="2084" max="2084" width="1.36328125" style="28" bestFit="1" customWidth="1"/>
    <col min="2085" max="2085" width="5.6328125" style="28" bestFit="1" customWidth="1"/>
    <col min="2086" max="2086" width="1.36328125" style="28" bestFit="1" customWidth="1"/>
    <col min="2087" max="2087" width="6.81640625" style="28" bestFit="1" customWidth="1"/>
    <col min="2088" max="2088" width="13.08984375" style="28" bestFit="1" customWidth="1"/>
    <col min="2089" max="2304" width="9.08984375" style="28"/>
    <col min="2305" max="2305" width="2.81640625" style="28" bestFit="1" customWidth="1"/>
    <col min="2306" max="2306" width="6.81640625" style="28" bestFit="1" customWidth="1"/>
    <col min="2307" max="2307" width="4.36328125" style="28" bestFit="1" customWidth="1"/>
    <col min="2308" max="2308" width="5.6328125" style="28" bestFit="1" customWidth="1"/>
    <col min="2309" max="2309" width="4" style="28" bestFit="1" customWidth="1"/>
    <col min="2310" max="2310" width="5.6328125" style="28" bestFit="1" customWidth="1"/>
    <col min="2311" max="2311" width="9.26953125" style="28" bestFit="1" customWidth="1"/>
    <col min="2312" max="2312" width="1.81640625" style="28" bestFit="1" customWidth="1"/>
    <col min="2313" max="2313" width="6.81640625" style="28" bestFit="1" customWidth="1"/>
    <col min="2314" max="2314" width="10.81640625" style="28" bestFit="1" customWidth="1"/>
    <col min="2315" max="2315" width="8.7265625" style="28" bestFit="1" customWidth="1"/>
    <col min="2316" max="2316" width="9.6328125" style="28" bestFit="1" customWidth="1"/>
    <col min="2317" max="2317" width="12" style="28" bestFit="1" customWidth="1"/>
    <col min="2318" max="2329" width="8.7265625" style="28" bestFit="1" customWidth="1"/>
    <col min="2330" max="2330" width="9.6328125" style="28" bestFit="1" customWidth="1"/>
    <col min="2331" max="2331" width="12" style="28" bestFit="1" customWidth="1"/>
    <col min="2332" max="2332" width="11.81640625" style="28" bestFit="1" customWidth="1"/>
    <col min="2333" max="2333" width="13.7265625" style="28" bestFit="1" customWidth="1"/>
    <col min="2334" max="2334" width="14.08984375" style="28" bestFit="1" customWidth="1"/>
    <col min="2335" max="2335" width="9.08984375" style="28"/>
    <col min="2336" max="2336" width="25.26953125" style="28" bestFit="1" customWidth="1"/>
    <col min="2337" max="2337" width="4.7265625" style="28" bestFit="1" customWidth="1"/>
    <col min="2338" max="2338" width="1.36328125" style="28" bestFit="1" customWidth="1"/>
    <col min="2339" max="2339" width="4.26953125" style="28" bestFit="1" customWidth="1"/>
    <col min="2340" max="2340" width="1.36328125" style="28" bestFit="1" customWidth="1"/>
    <col min="2341" max="2341" width="5.6328125" style="28" bestFit="1" customWidth="1"/>
    <col min="2342" max="2342" width="1.36328125" style="28" bestFit="1" customWidth="1"/>
    <col min="2343" max="2343" width="6.81640625" style="28" bestFit="1" customWidth="1"/>
    <col min="2344" max="2344" width="13.08984375" style="28" bestFit="1" customWidth="1"/>
    <col min="2345" max="2560" width="9.08984375" style="28"/>
    <col min="2561" max="2561" width="2.81640625" style="28" bestFit="1" customWidth="1"/>
    <col min="2562" max="2562" width="6.81640625" style="28" bestFit="1" customWidth="1"/>
    <col min="2563" max="2563" width="4.36328125" style="28" bestFit="1" customWidth="1"/>
    <col min="2564" max="2564" width="5.6328125" style="28" bestFit="1" customWidth="1"/>
    <col min="2565" max="2565" width="4" style="28" bestFit="1" customWidth="1"/>
    <col min="2566" max="2566" width="5.6328125" style="28" bestFit="1" customWidth="1"/>
    <col min="2567" max="2567" width="9.26953125" style="28" bestFit="1" customWidth="1"/>
    <col min="2568" max="2568" width="1.81640625" style="28" bestFit="1" customWidth="1"/>
    <col min="2569" max="2569" width="6.81640625" style="28" bestFit="1" customWidth="1"/>
    <col min="2570" max="2570" width="10.81640625" style="28" bestFit="1" customWidth="1"/>
    <col min="2571" max="2571" width="8.7265625" style="28" bestFit="1" customWidth="1"/>
    <col min="2572" max="2572" width="9.6328125" style="28" bestFit="1" customWidth="1"/>
    <col min="2573" max="2573" width="12" style="28" bestFit="1" customWidth="1"/>
    <col min="2574" max="2585" width="8.7265625" style="28" bestFit="1" customWidth="1"/>
    <col min="2586" max="2586" width="9.6328125" style="28" bestFit="1" customWidth="1"/>
    <col min="2587" max="2587" width="12" style="28" bestFit="1" customWidth="1"/>
    <col min="2588" max="2588" width="11.81640625" style="28" bestFit="1" customWidth="1"/>
    <col min="2589" max="2589" width="13.7265625" style="28" bestFit="1" customWidth="1"/>
    <col min="2590" max="2590" width="14.08984375" style="28" bestFit="1" customWidth="1"/>
    <col min="2591" max="2591" width="9.08984375" style="28"/>
    <col min="2592" max="2592" width="25.26953125" style="28" bestFit="1" customWidth="1"/>
    <col min="2593" max="2593" width="4.7265625" style="28" bestFit="1" customWidth="1"/>
    <col min="2594" max="2594" width="1.36328125" style="28" bestFit="1" customWidth="1"/>
    <col min="2595" max="2595" width="4.26953125" style="28" bestFit="1" customWidth="1"/>
    <col min="2596" max="2596" width="1.36328125" style="28" bestFit="1" customWidth="1"/>
    <col min="2597" max="2597" width="5.6328125" style="28" bestFit="1" customWidth="1"/>
    <col min="2598" max="2598" width="1.36328125" style="28" bestFit="1" customWidth="1"/>
    <col min="2599" max="2599" width="6.81640625" style="28" bestFit="1" customWidth="1"/>
    <col min="2600" max="2600" width="13.08984375" style="28" bestFit="1" customWidth="1"/>
    <col min="2601" max="2816" width="9.08984375" style="28"/>
    <col min="2817" max="2817" width="2.81640625" style="28" bestFit="1" customWidth="1"/>
    <col min="2818" max="2818" width="6.81640625" style="28" bestFit="1" customWidth="1"/>
    <col min="2819" max="2819" width="4.36328125" style="28" bestFit="1" customWidth="1"/>
    <col min="2820" max="2820" width="5.6328125" style="28" bestFit="1" customWidth="1"/>
    <col min="2821" max="2821" width="4" style="28" bestFit="1" customWidth="1"/>
    <col min="2822" max="2822" width="5.6328125" style="28" bestFit="1" customWidth="1"/>
    <col min="2823" max="2823" width="9.26953125" style="28" bestFit="1" customWidth="1"/>
    <col min="2824" max="2824" width="1.81640625" style="28" bestFit="1" customWidth="1"/>
    <col min="2825" max="2825" width="6.81640625" style="28" bestFit="1" customWidth="1"/>
    <col min="2826" max="2826" width="10.81640625" style="28" bestFit="1" customWidth="1"/>
    <col min="2827" max="2827" width="8.7265625" style="28" bestFit="1" customWidth="1"/>
    <col min="2828" max="2828" width="9.6328125" style="28" bestFit="1" customWidth="1"/>
    <col min="2829" max="2829" width="12" style="28" bestFit="1" customWidth="1"/>
    <col min="2830" max="2841" width="8.7265625" style="28" bestFit="1" customWidth="1"/>
    <col min="2842" max="2842" width="9.6328125" style="28" bestFit="1" customWidth="1"/>
    <col min="2843" max="2843" width="12" style="28" bestFit="1" customWidth="1"/>
    <col min="2844" max="2844" width="11.81640625" style="28" bestFit="1" customWidth="1"/>
    <col min="2845" max="2845" width="13.7265625" style="28" bestFit="1" customWidth="1"/>
    <col min="2846" max="2846" width="14.08984375" style="28" bestFit="1" customWidth="1"/>
    <col min="2847" max="2847" width="9.08984375" style="28"/>
    <col min="2848" max="2848" width="25.26953125" style="28" bestFit="1" customWidth="1"/>
    <col min="2849" max="2849" width="4.7265625" style="28" bestFit="1" customWidth="1"/>
    <col min="2850" max="2850" width="1.36328125" style="28" bestFit="1" customWidth="1"/>
    <col min="2851" max="2851" width="4.26953125" style="28" bestFit="1" customWidth="1"/>
    <col min="2852" max="2852" width="1.36328125" style="28" bestFit="1" customWidth="1"/>
    <col min="2853" max="2853" width="5.6328125" style="28" bestFit="1" customWidth="1"/>
    <col min="2854" max="2854" width="1.36328125" style="28" bestFit="1" customWidth="1"/>
    <col min="2855" max="2855" width="6.81640625" style="28" bestFit="1" customWidth="1"/>
    <col min="2856" max="2856" width="13.08984375" style="28" bestFit="1" customWidth="1"/>
    <col min="2857" max="3072" width="9.08984375" style="28"/>
    <col min="3073" max="3073" width="2.81640625" style="28" bestFit="1" customWidth="1"/>
    <col min="3074" max="3074" width="6.81640625" style="28" bestFit="1" customWidth="1"/>
    <col min="3075" max="3075" width="4.36328125" style="28" bestFit="1" customWidth="1"/>
    <col min="3076" max="3076" width="5.6328125" style="28" bestFit="1" customWidth="1"/>
    <col min="3077" max="3077" width="4" style="28" bestFit="1" customWidth="1"/>
    <col min="3078" max="3078" width="5.6328125" style="28" bestFit="1" customWidth="1"/>
    <col min="3079" max="3079" width="9.26953125" style="28" bestFit="1" customWidth="1"/>
    <col min="3080" max="3080" width="1.81640625" style="28" bestFit="1" customWidth="1"/>
    <col min="3081" max="3081" width="6.81640625" style="28" bestFit="1" customWidth="1"/>
    <col min="3082" max="3082" width="10.81640625" style="28" bestFit="1" customWidth="1"/>
    <col min="3083" max="3083" width="8.7265625" style="28" bestFit="1" customWidth="1"/>
    <col min="3084" max="3084" width="9.6328125" style="28" bestFit="1" customWidth="1"/>
    <col min="3085" max="3085" width="12" style="28" bestFit="1" customWidth="1"/>
    <col min="3086" max="3097" width="8.7265625" style="28" bestFit="1" customWidth="1"/>
    <col min="3098" max="3098" width="9.6328125" style="28" bestFit="1" customWidth="1"/>
    <col min="3099" max="3099" width="12" style="28" bestFit="1" customWidth="1"/>
    <col min="3100" max="3100" width="11.81640625" style="28" bestFit="1" customWidth="1"/>
    <col min="3101" max="3101" width="13.7265625" style="28" bestFit="1" customWidth="1"/>
    <col min="3102" max="3102" width="14.08984375" style="28" bestFit="1" customWidth="1"/>
    <col min="3103" max="3103" width="9.08984375" style="28"/>
    <col min="3104" max="3104" width="25.26953125" style="28" bestFit="1" customWidth="1"/>
    <col min="3105" max="3105" width="4.7265625" style="28" bestFit="1" customWidth="1"/>
    <col min="3106" max="3106" width="1.36328125" style="28" bestFit="1" customWidth="1"/>
    <col min="3107" max="3107" width="4.26953125" style="28" bestFit="1" customWidth="1"/>
    <col min="3108" max="3108" width="1.36328125" style="28" bestFit="1" customWidth="1"/>
    <col min="3109" max="3109" width="5.6328125" style="28" bestFit="1" customWidth="1"/>
    <col min="3110" max="3110" width="1.36328125" style="28" bestFit="1" customWidth="1"/>
    <col min="3111" max="3111" width="6.81640625" style="28" bestFit="1" customWidth="1"/>
    <col min="3112" max="3112" width="13.08984375" style="28" bestFit="1" customWidth="1"/>
    <col min="3113" max="3328" width="9.08984375" style="28"/>
    <col min="3329" max="3329" width="2.81640625" style="28" bestFit="1" customWidth="1"/>
    <col min="3330" max="3330" width="6.81640625" style="28" bestFit="1" customWidth="1"/>
    <col min="3331" max="3331" width="4.36328125" style="28" bestFit="1" customWidth="1"/>
    <col min="3332" max="3332" width="5.6328125" style="28" bestFit="1" customWidth="1"/>
    <col min="3333" max="3333" width="4" style="28" bestFit="1" customWidth="1"/>
    <col min="3334" max="3334" width="5.6328125" style="28" bestFit="1" customWidth="1"/>
    <col min="3335" max="3335" width="9.26953125" style="28" bestFit="1" customWidth="1"/>
    <col min="3336" max="3336" width="1.81640625" style="28" bestFit="1" customWidth="1"/>
    <col min="3337" max="3337" width="6.81640625" style="28" bestFit="1" customWidth="1"/>
    <col min="3338" max="3338" width="10.81640625" style="28" bestFit="1" customWidth="1"/>
    <col min="3339" max="3339" width="8.7265625" style="28" bestFit="1" customWidth="1"/>
    <col min="3340" max="3340" width="9.6328125" style="28" bestFit="1" customWidth="1"/>
    <col min="3341" max="3341" width="12" style="28" bestFit="1" customWidth="1"/>
    <col min="3342" max="3353" width="8.7265625" style="28" bestFit="1" customWidth="1"/>
    <col min="3354" max="3354" width="9.6328125" style="28" bestFit="1" customWidth="1"/>
    <col min="3355" max="3355" width="12" style="28" bestFit="1" customWidth="1"/>
    <col min="3356" max="3356" width="11.81640625" style="28" bestFit="1" customWidth="1"/>
    <col min="3357" max="3357" width="13.7265625" style="28" bestFit="1" customWidth="1"/>
    <col min="3358" max="3358" width="14.08984375" style="28" bestFit="1" customWidth="1"/>
    <col min="3359" max="3359" width="9.08984375" style="28"/>
    <col min="3360" max="3360" width="25.26953125" style="28" bestFit="1" customWidth="1"/>
    <col min="3361" max="3361" width="4.7265625" style="28" bestFit="1" customWidth="1"/>
    <col min="3362" max="3362" width="1.36328125" style="28" bestFit="1" customWidth="1"/>
    <col min="3363" max="3363" width="4.26953125" style="28" bestFit="1" customWidth="1"/>
    <col min="3364" max="3364" width="1.36328125" style="28" bestFit="1" customWidth="1"/>
    <col min="3365" max="3365" width="5.6328125" style="28" bestFit="1" customWidth="1"/>
    <col min="3366" max="3366" width="1.36328125" style="28" bestFit="1" customWidth="1"/>
    <col min="3367" max="3367" width="6.81640625" style="28" bestFit="1" customWidth="1"/>
    <col min="3368" max="3368" width="13.08984375" style="28" bestFit="1" customWidth="1"/>
    <col min="3369" max="3584" width="9.08984375" style="28"/>
    <col min="3585" max="3585" width="2.81640625" style="28" bestFit="1" customWidth="1"/>
    <col min="3586" max="3586" width="6.81640625" style="28" bestFit="1" customWidth="1"/>
    <col min="3587" max="3587" width="4.36328125" style="28" bestFit="1" customWidth="1"/>
    <col min="3588" max="3588" width="5.6328125" style="28" bestFit="1" customWidth="1"/>
    <col min="3589" max="3589" width="4" style="28" bestFit="1" customWidth="1"/>
    <col min="3590" max="3590" width="5.6328125" style="28" bestFit="1" customWidth="1"/>
    <col min="3591" max="3591" width="9.26953125" style="28" bestFit="1" customWidth="1"/>
    <col min="3592" max="3592" width="1.81640625" style="28" bestFit="1" customWidth="1"/>
    <col min="3593" max="3593" width="6.81640625" style="28" bestFit="1" customWidth="1"/>
    <col min="3594" max="3594" width="10.81640625" style="28" bestFit="1" customWidth="1"/>
    <col min="3595" max="3595" width="8.7265625" style="28" bestFit="1" customWidth="1"/>
    <col min="3596" max="3596" width="9.6328125" style="28" bestFit="1" customWidth="1"/>
    <col min="3597" max="3597" width="12" style="28" bestFit="1" customWidth="1"/>
    <col min="3598" max="3609" width="8.7265625" style="28" bestFit="1" customWidth="1"/>
    <col min="3610" max="3610" width="9.6328125" style="28" bestFit="1" customWidth="1"/>
    <col min="3611" max="3611" width="12" style="28" bestFit="1" customWidth="1"/>
    <col min="3612" max="3612" width="11.81640625" style="28" bestFit="1" customWidth="1"/>
    <col min="3613" max="3613" width="13.7265625" style="28" bestFit="1" customWidth="1"/>
    <col min="3614" max="3614" width="14.08984375" style="28" bestFit="1" customWidth="1"/>
    <col min="3615" max="3615" width="9.08984375" style="28"/>
    <col min="3616" max="3616" width="25.26953125" style="28" bestFit="1" customWidth="1"/>
    <col min="3617" max="3617" width="4.7265625" style="28" bestFit="1" customWidth="1"/>
    <col min="3618" max="3618" width="1.36328125" style="28" bestFit="1" customWidth="1"/>
    <col min="3619" max="3619" width="4.26953125" style="28" bestFit="1" customWidth="1"/>
    <col min="3620" max="3620" width="1.36328125" style="28" bestFit="1" customWidth="1"/>
    <col min="3621" max="3621" width="5.6328125" style="28" bestFit="1" customWidth="1"/>
    <col min="3622" max="3622" width="1.36328125" style="28" bestFit="1" customWidth="1"/>
    <col min="3623" max="3623" width="6.81640625" style="28" bestFit="1" customWidth="1"/>
    <col min="3624" max="3624" width="13.08984375" style="28" bestFit="1" customWidth="1"/>
    <col min="3625" max="3840" width="9.08984375" style="28"/>
    <col min="3841" max="3841" width="2.81640625" style="28" bestFit="1" customWidth="1"/>
    <col min="3842" max="3842" width="6.81640625" style="28" bestFit="1" customWidth="1"/>
    <col min="3843" max="3843" width="4.36328125" style="28" bestFit="1" customWidth="1"/>
    <col min="3844" max="3844" width="5.6328125" style="28" bestFit="1" customWidth="1"/>
    <col min="3845" max="3845" width="4" style="28" bestFit="1" customWidth="1"/>
    <col min="3846" max="3846" width="5.6328125" style="28" bestFit="1" customWidth="1"/>
    <col min="3847" max="3847" width="9.26953125" style="28" bestFit="1" customWidth="1"/>
    <col min="3848" max="3848" width="1.81640625" style="28" bestFit="1" customWidth="1"/>
    <col min="3849" max="3849" width="6.81640625" style="28" bestFit="1" customWidth="1"/>
    <col min="3850" max="3850" width="10.81640625" style="28" bestFit="1" customWidth="1"/>
    <col min="3851" max="3851" width="8.7265625" style="28" bestFit="1" customWidth="1"/>
    <col min="3852" max="3852" width="9.6328125" style="28" bestFit="1" customWidth="1"/>
    <col min="3853" max="3853" width="12" style="28" bestFit="1" customWidth="1"/>
    <col min="3854" max="3865" width="8.7265625" style="28" bestFit="1" customWidth="1"/>
    <col min="3866" max="3866" width="9.6328125" style="28" bestFit="1" customWidth="1"/>
    <col min="3867" max="3867" width="12" style="28" bestFit="1" customWidth="1"/>
    <col min="3868" max="3868" width="11.81640625" style="28" bestFit="1" customWidth="1"/>
    <col min="3869" max="3869" width="13.7265625" style="28" bestFit="1" customWidth="1"/>
    <col min="3870" max="3870" width="14.08984375" style="28" bestFit="1" customWidth="1"/>
    <col min="3871" max="3871" width="9.08984375" style="28"/>
    <col min="3872" max="3872" width="25.26953125" style="28" bestFit="1" customWidth="1"/>
    <col min="3873" max="3873" width="4.7265625" style="28" bestFit="1" customWidth="1"/>
    <col min="3874" max="3874" width="1.36328125" style="28" bestFit="1" customWidth="1"/>
    <col min="3875" max="3875" width="4.26953125" style="28" bestFit="1" customWidth="1"/>
    <col min="3876" max="3876" width="1.36328125" style="28" bestFit="1" customWidth="1"/>
    <col min="3877" max="3877" width="5.6328125" style="28" bestFit="1" customWidth="1"/>
    <col min="3878" max="3878" width="1.36328125" style="28" bestFit="1" customWidth="1"/>
    <col min="3879" max="3879" width="6.81640625" style="28" bestFit="1" customWidth="1"/>
    <col min="3880" max="3880" width="13.08984375" style="28" bestFit="1" customWidth="1"/>
    <col min="3881" max="4096" width="9.08984375" style="28"/>
    <col min="4097" max="4097" width="2.81640625" style="28" bestFit="1" customWidth="1"/>
    <col min="4098" max="4098" width="6.81640625" style="28" bestFit="1" customWidth="1"/>
    <col min="4099" max="4099" width="4.36328125" style="28" bestFit="1" customWidth="1"/>
    <col min="4100" max="4100" width="5.6328125" style="28" bestFit="1" customWidth="1"/>
    <col min="4101" max="4101" width="4" style="28" bestFit="1" customWidth="1"/>
    <col min="4102" max="4102" width="5.6328125" style="28" bestFit="1" customWidth="1"/>
    <col min="4103" max="4103" width="9.26953125" style="28" bestFit="1" customWidth="1"/>
    <col min="4104" max="4104" width="1.81640625" style="28" bestFit="1" customWidth="1"/>
    <col min="4105" max="4105" width="6.81640625" style="28" bestFit="1" customWidth="1"/>
    <col min="4106" max="4106" width="10.81640625" style="28" bestFit="1" customWidth="1"/>
    <col min="4107" max="4107" width="8.7265625" style="28" bestFit="1" customWidth="1"/>
    <col min="4108" max="4108" width="9.6328125" style="28" bestFit="1" customWidth="1"/>
    <col min="4109" max="4109" width="12" style="28" bestFit="1" customWidth="1"/>
    <col min="4110" max="4121" width="8.7265625" style="28" bestFit="1" customWidth="1"/>
    <col min="4122" max="4122" width="9.6328125" style="28" bestFit="1" customWidth="1"/>
    <col min="4123" max="4123" width="12" style="28" bestFit="1" customWidth="1"/>
    <col min="4124" max="4124" width="11.81640625" style="28" bestFit="1" customWidth="1"/>
    <col min="4125" max="4125" width="13.7265625" style="28" bestFit="1" customWidth="1"/>
    <col min="4126" max="4126" width="14.08984375" style="28" bestFit="1" customWidth="1"/>
    <col min="4127" max="4127" width="9.08984375" style="28"/>
    <col min="4128" max="4128" width="25.26953125" style="28" bestFit="1" customWidth="1"/>
    <col min="4129" max="4129" width="4.7265625" style="28" bestFit="1" customWidth="1"/>
    <col min="4130" max="4130" width="1.36328125" style="28" bestFit="1" customWidth="1"/>
    <col min="4131" max="4131" width="4.26953125" style="28" bestFit="1" customWidth="1"/>
    <col min="4132" max="4132" width="1.36328125" style="28" bestFit="1" customWidth="1"/>
    <col min="4133" max="4133" width="5.6328125" style="28" bestFit="1" customWidth="1"/>
    <col min="4134" max="4134" width="1.36328125" style="28" bestFit="1" customWidth="1"/>
    <col min="4135" max="4135" width="6.81640625" style="28" bestFit="1" customWidth="1"/>
    <col min="4136" max="4136" width="13.08984375" style="28" bestFit="1" customWidth="1"/>
    <col min="4137" max="4352" width="9.08984375" style="28"/>
    <col min="4353" max="4353" width="2.81640625" style="28" bestFit="1" customWidth="1"/>
    <col min="4354" max="4354" width="6.81640625" style="28" bestFit="1" customWidth="1"/>
    <col min="4355" max="4355" width="4.36328125" style="28" bestFit="1" customWidth="1"/>
    <col min="4356" max="4356" width="5.6328125" style="28" bestFit="1" customWidth="1"/>
    <col min="4357" max="4357" width="4" style="28" bestFit="1" customWidth="1"/>
    <col min="4358" max="4358" width="5.6328125" style="28" bestFit="1" customWidth="1"/>
    <col min="4359" max="4359" width="9.26953125" style="28" bestFit="1" customWidth="1"/>
    <col min="4360" max="4360" width="1.81640625" style="28" bestFit="1" customWidth="1"/>
    <col min="4361" max="4361" width="6.81640625" style="28" bestFit="1" customWidth="1"/>
    <col min="4362" max="4362" width="10.81640625" style="28" bestFit="1" customWidth="1"/>
    <col min="4363" max="4363" width="8.7265625" style="28" bestFit="1" customWidth="1"/>
    <col min="4364" max="4364" width="9.6328125" style="28" bestFit="1" customWidth="1"/>
    <col min="4365" max="4365" width="12" style="28" bestFit="1" customWidth="1"/>
    <col min="4366" max="4377" width="8.7265625" style="28" bestFit="1" customWidth="1"/>
    <col min="4378" max="4378" width="9.6328125" style="28" bestFit="1" customWidth="1"/>
    <col min="4379" max="4379" width="12" style="28" bestFit="1" customWidth="1"/>
    <col min="4380" max="4380" width="11.81640625" style="28" bestFit="1" customWidth="1"/>
    <col min="4381" max="4381" width="13.7265625" style="28" bestFit="1" customWidth="1"/>
    <col min="4382" max="4382" width="14.08984375" style="28" bestFit="1" customWidth="1"/>
    <col min="4383" max="4383" width="9.08984375" style="28"/>
    <col min="4384" max="4384" width="25.26953125" style="28" bestFit="1" customWidth="1"/>
    <col min="4385" max="4385" width="4.7265625" style="28" bestFit="1" customWidth="1"/>
    <col min="4386" max="4386" width="1.36328125" style="28" bestFit="1" customWidth="1"/>
    <col min="4387" max="4387" width="4.26953125" style="28" bestFit="1" customWidth="1"/>
    <col min="4388" max="4388" width="1.36328125" style="28" bestFit="1" customWidth="1"/>
    <col min="4389" max="4389" width="5.6328125" style="28" bestFit="1" customWidth="1"/>
    <col min="4390" max="4390" width="1.36328125" style="28" bestFit="1" customWidth="1"/>
    <col min="4391" max="4391" width="6.81640625" style="28" bestFit="1" customWidth="1"/>
    <col min="4392" max="4392" width="13.08984375" style="28" bestFit="1" customWidth="1"/>
    <col min="4393" max="4608" width="9.08984375" style="28"/>
    <col min="4609" max="4609" width="2.81640625" style="28" bestFit="1" customWidth="1"/>
    <col min="4610" max="4610" width="6.81640625" style="28" bestFit="1" customWidth="1"/>
    <col min="4611" max="4611" width="4.36328125" style="28" bestFit="1" customWidth="1"/>
    <col min="4612" max="4612" width="5.6328125" style="28" bestFit="1" customWidth="1"/>
    <col min="4613" max="4613" width="4" style="28" bestFit="1" customWidth="1"/>
    <col min="4614" max="4614" width="5.6328125" style="28" bestFit="1" customWidth="1"/>
    <col min="4615" max="4615" width="9.26953125" style="28" bestFit="1" customWidth="1"/>
    <col min="4616" max="4616" width="1.81640625" style="28" bestFit="1" customWidth="1"/>
    <col min="4617" max="4617" width="6.81640625" style="28" bestFit="1" customWidth="1"/>
    <col min="4618" max="4618" width="10.81640625" style="28" bestFit="1" customWidth="1"/>
    <col min="4619" max="4619" width="8.7265625" style="28" bestFit="1" customWidth="1"/>
    <col min="4620" max="4620" width="9.6328125" style="28" bestFit="1" customWidth="1"/>
    <col min="4621" max="4621" width="12" style="28" bestFit="1" customWidth="1"/>
    <col min="4622" max="4633" width="8.7265625" style="28" bestFit="1" customWidth="1"/>
    <col min="4634" max="4634" width="9.6328125" style="28" bestFit="1" customWidth="1"/>
    <col min="4635" max="4635" width="12" style="28" bestFit="1" customWidth="1"/>
    <col min="4636" max="4636" width="11.81640625" style="28" bestFit="1" customWidth="1"/>
    <col min="4637" max="4637" width="13.7265625" style="28" bestFit="1" customWidth="1"/>
    <col min="4638" max="4638" width="14.08984375" style="28" bestFit="1" customWidth="1"/>
    <col min="4639" max="4639" width="9.08984375" style="28"/>
    <col min="4640" max="4640" width="25.26953125" style="28" bestFit="1" customWidth="1"/>
    <col min="4641" max="4641" width="4.7265625" style="28" bestFit="1" customWidth="1"/>
    <col min="4642" max="4642" width="1.36328125" style="28" bestFit="1" customWidth="1"/>
    <col min="4643" max="4643" width="4.26953125" style="28" bestFit="1" customWidth="1"/>
    <col min="4644" max="4644" width="1.36328125" style="28" bestFit="1" customWidth="1"/>
    <col min="4645" max="4645" width="5.6328125" style="28" bestFit="1" customWidth="1"/>
    <col min="4646" max="4646" width="1.36328125" style="28" bestFit="1" customWidth="1"/>
    <col min="4647" max="4647" width="6.81640625" style="28" bestFit="1" customWidth="1"/>
    <col min="4648" max="4648" width="13.08984375" style="28" bestFit="1" customWidth="1"/>
    <col min="4649" max="4864" width="9.08984375" style="28"/>
    <col min="4865" max="4865" width="2.81640625" style="28" bestFit="1" customWidth="1"/>
    <col min="4866" max="4866" width="6.81640625" style="28" bestFit="1" customWidth="1"/>
    <col min="4867" max="4867" width="4.36328125" style="28" bestFit="1" customWidth="1"/>
    <col min="4868" max="4868" width="5.6328125" style="28" bestFit="1" customWidth="1"/>
    <col min="4869" max="4869" width="4" style="28" bestFit="1" customWidth="1"/>
    <col min="4870" max="4870" width="5.6328125" style="28" bestFit="1" customWidth="1"/>
    <col min="4871" max="4871" width="9.26953125" style="28" bestFit="1" customWidth="1"/>
    <col min="4872" max="4872" width="1.81640625" style="28" bestFit="1" customWidth="1"/>
    <col min="4873" max="4873" width="6.81640625" style="28" bestFit="1" customWidth="1"/>
    <col min="4874" max="4874" width="10.81640625" style="28" bestFit="1" customWidth="1"/>
    <col min="4875" max="4875" width="8.7265625" style="28" bestFit="1" customWidth="1"/>
    <col min="4876" max="4876" width="9.6328125" style="28" bestFit="1" customWidth="1"/>
    <col min="4877" max="4877" width="12" style="28" bestFit="1" customWidth="1"/>
    <col min="4878" max="4889" width="8.7265625" style="28" bestFit="1" customWidth="1"/>
    <col min="4890" max="4890" width="9.6328125" style="28" bestFit="1" customWidth="1"/>
    <col min="4891" max="4891" width="12" style="28" bestFit="1" customWidth="1"/>
    <col min="4892" max="4892" width="11.81640625" style="28" bestFit="1" customWidth="1"/>
    <col min="4893" max="4893" width="13.7265625" style="28" bestFit="1" customWidth="1"/>
    <col min="4894" max="4894" width="14.08984375" style="28" bestFit="1" customWidth="1"/>
    <col min="4895" max="4895" width="9.08984375" style="28"/>
    <col min="4896" max="4896" width="25.26953125" style="28" bestFit="1" customWidth="1"/>
    <col min="4897" max="4897" width="4.7265625" style="28" bestFit="1" customWidth="1"/>
    <col min="4898" max="4898" width="1.36328125" style="28" bestFit="1" customWidth="1"/>
    <col min="4899" max="4899" width="4.26953125" style="28" bestFit="1" customWidth="1"/>
    <col min="4900" max="4900" width="1.36328125" style="28" bestFit="1" customWidth="1"/>
    <col min="4901" max="4901" width="5.6328125" style="28" bestFit="1" customWidth="1"/>
    <col min="4902" max="4902" width="1.36328125" style="28" bestFit="1" customWidth="1"/>
    <col min="4903" max="4903" width="6.81640625" style="28" bestFit="1" customWidth="1"/>
    <col min="4904" max="4904" width="13.08984375" style="28" bestFit="1" customWidth="1"/>
    <col min="4905" max="5120" width="9.08984375" style="28"/>
    <col min="5121" max="5121" width="2.81640625" style="28" bestFit="1" customWidth="1"/>
    <col min="5122" max="5122" width="6.81640625" style="28" bestFit="1" customWidth="1"/>
    <col min="5123" max="5123" width="4.36328125" style="28" bestFit="1" customWidth="1"/>
    <col min="5124" max="5124" width="5.6328125" style="28" bestFit="1" customWidth="1"/>
    <col min="5125" max="5125" width="4" style="28" bestFit="1" customWidth="1"/>
    <col min="5126" max="5126" width="5.6328125" style="28" bestFit="1" customWidth="1"/>
    <col min="5127" max="5127" width="9.26953125" style="28" bestFit="1" customWidth="1"/>
    <col min="5128" max="5128" width="1.81640625" style="28" bestFit="1" customWidth="1"/>
    <col min="5129" max="5129" width="6.81640625" style="28" bestFit="1" customWidth="1"/>
    <col min="5130" max="5130" width="10.81640625" style="28" bestFit="1" customWidth="1"/>
    <col min="5131" max="5131" width="8.7265625" style="28" bestFit="1" customWidth="1"/>
    <col min="5132" max="5132" width="9.6328125" style="28" bestFit="1" customWidth="1"/>
    <col min="5133" max="5133" width="12" style="28" bestFit="1" customWidth="1"/>
    <col min="5134" max="5145" width="8.7265625" style="28" bestFit="1" customWidth="1"/>
    <col min="5146" max="5146" width="9.6328125" style="28" bestFit="1" customWidth="1"/>
    <col min="5147" max="5147" width="12" style="28" bestFit="1" customWidth="1"/>
    <col min="5148" max="5148" width="11.81640625" style="28" bestFit="1" customWidth="1"/>
    <col min="5149" max="5149" width="13.7265625" style="28" bestFit="1" customWidth="1"/>
    <col min="5150" max="5150" width="14.08984375" style="28" bestFit="1" customWidth="1"/>
    <col min="5151" max="5151" width="9.08984375" style="28"/>
    <col min="5152" max="5152" width="25.26953125" style="28" bestFit="1" customWidth="1"/>
    <col min="5153" max="5153" width="4.7265625" style="28" bestFit="1" customWidth="1"/>
    <col min="5154" max="5154" width="1.36328125" style="28" bestFit="1" customWidth="1"/>
    <col min="5155" max="5155" width="4.26953125" style="28" bestFit="1" customWidth="1"/>
    <col min="5156" max="5156" width="1.36328125" style="28" bestFit="1" customWidth="1"/>
    <col min="5157" max="5157" width="5.6328125" style="28" bestFit="1" customWidth="1"/>
    <col min="5158" max="5158" width="1.36328125" style="28" bestFit="1" customWidth="1"/>
    <col min="5159" max="5159" width="6.81640625" style="28" bestFit="1" customWidth="1"/>
    <col min="5160" max="5160" width="13.08984375" style="28" bestFit="1" customWidth="1"/>
    <col min="5161" max="5376" width="9.08984375" style="28"/>
    <col min="5377" max="5377" width="2.81640625" style="28" bestFit="1" customWidth="1"/>
    <col min="5378" max="5378" width="6.81640625" style="28" bestFit="1" customWidth="1"/>
    <col min="5379" max="5379" width="4.36328125" style="28" bestFit="1" customWidth="1"/>
    <col min="5380" max="5380" width="5.6328125" style="28" bestFit="1" customWidth="1"/>
    <col min="5381" max="5381" width="4" style="28" bestFit="1" customWidth="1"/>
    <col min="5382" max="5382" width="5.6328125" style="28" bestFit="1" customWidth="1"/>
    <col min="5383" max="5383" width="9.26953125" style="28" bestFit="1" customWidth="1"/>
    <col min="5384" max="5384" width="1.81640625" style="28" bestFit="1" customWidth="1"/>
    <col min="5385" max="5385" width="6.81640625" style="28" bestFit="1" customWidth="1"/>
    <col min="5386" max="5386" width="10.81640625" style="28" bestFit="1" customWidth="1"/>
    <col min="5387" max="5387" width="8.7265625" style="28" bestFit="1" customWidth="1"/>
    <col min="5388" max="5388" width="9.6328125" style="28" bestFit="1" customWidth="1"/>
    <col min="5389" max="5389" width="12" style="28" bestFit="1" customWidth="1"/>
    <col min="5390" max="5401" width="8.7265625" style="28" bestFit="1" customWidth="1"/>
    <col min="5402" max="5402" width="9.6328125" style="28" bestFit="1" customWidth="1"/>
    <col min="5403" max="5403" width="12" style="28" bestFit="1" customWidth="1"/>
    <col min="5404" max="5404" width="11.81640625" style="28" bestFit="1" customWidth="1"/>
    <col min="5405" max="5405" width="13.7265625" style="28" bestFit="1" customWidth="1"/>
    <col min="5406" max="5406" width="14.08984375" style="28" bestFit="1" customWidth="1"/>
    <col min="5407" max="5407" width="9.08984375" style="28"/>
    <col min="5408" max="5408" width="25.26953125" style="28" bestFit="1" customWidth="1"/>
    <col min="5409" max="5409" width="4.7265625" style="28" bestFit="1" customWidth="1"/>
    <col min="5410" max="5410" width="1.36328125" style="28" bestFit="1" customWidth="1"/>
    <col min="5411" max="5411" width="4.26953125" style="28" bestFit="1" customWidth="1"/>
    <col min="5412" max="5412" width="1.36328125" style="28" bestFit="1" customWidth="1"/>
    <col min="5413" max="5413" width="5.6328125" style="28" bestFit="1" customWidth="1"/>
    <col min="5414" max="5414" width="1.36328125" style="28" bestFit="1" customWidth="1"/>
    <col min="5415" max="5415" width="6.81640625" style="28" bestFit="1" customWidth="1"/>
    <col min="5416" max="5416" width="13.08984375" style="28" bestFit="1" customWidth="1"/>
    <col min="5417" max="5632" width="9.08984375" style="28"/>
    <col min="5633" max="5633" width="2.81640625" style="28" bestFit="1" customWidth="1"/>
    <col min="5634" max="5634" width="6.81640625" style="28" bestFit="1" customWidth="1"/>
    <col min="5635" max="5635" width="4.36328125" style="28" bestFit="1" customWidth="1"/>
    <col min="5636" max="5636" width="5.6328125" style="28" bestFit="1" customWidth="1"/>
    <col min="5637" max="5637" width="4" style="28" bestFit="1" customWidth="1"/>
    <col min="5638" max="5638" width="5.6328125" style="28" bestFit="1" customWidth="1"/>
    <col min="5639" max="5639" width="9.26953125" style="28" bestFit="1" customWidth="1"/>
    <col min="5640" max="5640" width="1.81640625" style="28" bestFit="1" customWidth="1"/>
    <col min="5641" max="5641" width="6.81640625" style="28" bestFit="1" customWidth="1"/>
    <col min="5642" max="5642" width="10.81640625" style="28" bestFit="1" customWidth="1"/>
    <col min="5643" max="5643" width="8.7265625" style="28" bestFit="1" customWidth="1"/>
    <col min="5644" max="5644" width="9.6328125" style="28" bestFit="1" customWidth="1"/>
    <col min="5645" max="5645" width="12" style="28" bestFit="1" customWidth="1"/>
    <col min="5646" max="5657" width="8.7265625" style="28" bestFit="1" customWidth="1"/>
    <col min="5658" max="5658" width="9.6328125" style="28" bestFit="1" customWidth="1"/>
    <col min="5659" max="5659" width="12" style="28" bestFit="1" customWidth="1"/>
    <col min="5660" max="5660" width="11.81640625" style="28" bestFit="1" customWidth="1"/>
    <col min="5661" max="5661" width="13.7265625" style="28" bestFit="1" customWidth="1"/>
    <col min="5662" max="5662" width="14.08984375" style="28" bestFit="1" customWidth="1"/>
    <col min="5663" max="5663" width="9.08984375" style="28"/>
    <col min="5664" max="5664" width="25.26953125" style="28" bestFit="1" customWidth="1"/>
    <col min="5665" max="5665" width="4.7265625" style="28" bestFit="1" customWidth="1"/>
    <col min="5666" max="5666" width="1.36328125" style="28" bestFit="1" customWidth="1"/>
    <col min="5667" max="5667" width="4.26953125" style="28" bestFit="1" customWidth="1"/>
    <col min="5668" max="5668" width="1.36328125" style="28" bestFit="1" customWidth="1"/>
    <col min="5669" max="5669" width="5.6328125" style="28" bestFit="1" customWidth="1"/>
    <col min="5670" max="5670" width="1.36328125" style="28" bestFit="1" customWidth="1"/>
    <col min="5671" max="5671" width="6.81640625" style="28" bestFit="1" customWidth="1"/>
    <col min="5672" max="5672" width="13.08984375" style="28" bestFit="1" customWidth="1"/>
    <col min="5673" max="5888" width="9.08984375" style="28"/>
    <col min="5889" max="5889" width="2.81640625" style="28" bestFit="1" customWidth="1"/>
    <col min="5890" max="5890" width="6.81640625" style="28" bestFit="1" customWidth="1"/>
    <col min="5891" max="5891" width="4.36328125" style="28" bestFit="1" customWidth="1"/>
    <col min="5892" max="5892" width="5.6328125" style="28" bestFit="1" customWidth="1"/>
    <col min="5893" max="5893" width="4" style="28" bestFit="1" customWidth="1"/>
    <col min="5894" max="5894" width="5.6328125" style="28" bestFit="1" customWidth="1"/>
    <col min="5895" max="5895" width="9.26953125" style="28" bestFit="1" customWidth="1"/>
    <col min="5896" max="5896" width="1.81640625" style="28" bestFit="1" customWidth="1"/>
    <col min="5897" max="5897" width="6.81640625" style="28" bestFit="1" customWidth="1"/>
    <col min="5898" max="5898" width="10.81640625" style="28" bestFit="1" customWidth="1"/>
    <col min="5899" max="5899" width="8.7265625" style="28" bestFit="1" customWidth="1"/>
    <col min="5900" max="5900" width="9.6328125" style="28" bestFit="1" customWidth="1"/>
    <col min="5901" max="5901" width="12" style="28" bestFit="1" customWidth="1"/>
    <col min="5902" max="5913" width="8.7265625" style="28" bestFit="1" customWidth="1"/>
    <col min="5914" max="5914" width="9.6328125" style="28" bestFit="1" customWidth="1"/>
    <col min="5915" max="5915" width="12" style="28" bestFit="1" customWidth="1"/>
    <col min="5916" max="5916" width="11.81640625" style="28" bestFit="1" customWidth="1"/>
    <col min="5917" max="5917" width="13.7265625" style="28" bestFit="1" customWidth="1"/>
    <col min="5918" max="5918" width="14.08984375" style="28" bestFit="1" customWidth="1"/>
    <col min="5919" max="5919" width="9.08984375" style="28"/>
    <col min="5920" max="5920" width="25.26953125" style="28" bestFit="1" customWidth="1"/>
    <col min="5921" max="5921" width="4.7265625" style="28" bestFit="1" customWidth="1"/>
    <col min="5922" max="5922" width="1.36328125" style="28" bestFit="1" customWidth="1"/>
    <col min="5923" max="5923" width="4.26953125" style="28" bestFit="1" customWidth="1"/>
    <col min="5924" max="5924" width="1.36328125" style="28" bestFit="1" customWidth="1"/>
    <col min="5925" max="5925" width="5.6328125" style="28" bestFit="1" customWidth="1"/>
    <col min="5926" max="5926" width="1.36328125" style="28" bestFit="1" customWidth="1"/>
    <col min="5927" max="5927" width="6.81640625" style="28" bestFit="1" customWidth="1"/>
    <col min="5928" max="5928" width="13.08984375" style="28" bestFit="1" customWidth="1"/>
    <col min="5929" max="6144" width="9.08984375" style="28"/>
    <col min="6145" max="6145" width="2.81640625" style="28" bestFit="1" customWidth="1"/>
    <col min="6146" max="6146" width="6.81640625" style="28" bestFit="1" customWidth="1"/>
    <col min="6147" max="6147" width="4.36328125" style="28" bestFit="1" customWidth="1"/>
    <col min="6148" max="6148" width="5.6328125" style="28" bestFit="1" customWidth="1"/>
    <col min="6149" max="6149" width="4" style="28" bestFit="1" customWidth="1"/>
    <col min="6150" max="6150" width="5.6328125" style="28" bestFit="1" customWidth="1"/>
    <col min="6151" max="6151" width="9.26953125" style="28" bestFit="1" customWidth="1"/>
    <col min="6152" max="6152" width="1.81640625" style="28" bestFit="1" customWidth="1"/>
    <col min="6153" max="6153" width="6.81640625" style="28" bestFit="1" customWidth="1"/>
    <col min="6154" max="6154" width="10.81640625" style="28" bestFit="1" customWidth="1"/>
    <col min="6155" max="6155" width="8.7265625" style="28" bestFit="1" customWidth="1"/>
    <col min="6156" max="6156" width="9.6328125" style="28" bestFit="1" customWidth="1"/>
    <col min="6157" max="6157" width="12" style="28" bestFit="1" customWidth="1"/>
    <col min="6158" max="6169" width="8.7265625" style="28" bestFit="1" customWidth="1"/>
    <col min="6170" max="6170" width="9.6328125" style="28" bestFit="1" customWidth="1"/>
    <col min="6171" max="6171" width="12" style="28" bestFit="1" customWidth="1"/>
    <col min="6172" max="6172" width="11.81640625" style="28" bestFit="1" customWidth="1"/>
    <col min="6173" max="6173" width="13.7265625" style="28" bestFit="1" customWidth="1"/>
    <col min="6174" max="6174" width="14.08984375" style="28" bestFit="1" customWidth="1"/>
    <col min="6175" max="6175" width="9.08984375" style="28"/>
    <col min="6176" max="6176" width="25.26953125" style="28" bestFit="1" customWidth="1"/>
    <col min="6177" max="6177" width="4.7265625" style="28" bestFit="1" customWidth="1"/>
    <col min="6178" max="6178" width="1.36328125" style="28" bestFit="1" customWidth="1"/>
    <col min="6179" max="6179" width="4.26953125" style="28" bestFit="1" customWidth="1"/>
    <col min="6180" max="6180" width="1.36328125" style="28" bestFit="1" customWidth="1"/>
    <col min="6181" max="6181" width="5.6328125" style="28" bestFit="1" customWidth="1"/>
    <col min="6182" max="6182" width="1.36328125" style="28" bestFit="1" customWidth="1"/>
    <col min="6183" max="6183" width="6.81640625" style="28" bestFit="1" customWidth="1"/>
    <col min="6184" max="6184" width="13.08984375" style="28" bestFit="1" customWidth="1"/>
    <col min="6185" max="6400" width="9.08984375" style="28"/>
    <col min="6401" max="6401" width="2.81640625" style="28" bestFit="1" customWidth="1"/>
    <col min="6402" max="6402" width="6.81640625" style="28" bestFit="1" customWidth="1"/>
    <col min="6403" max="6403" width="4.36328125" style="28" bestFit="1" customWidth="1"/>
    <col min="6404" max="6404" width="5.6328125" style="28" bestFit="1" customWidth="1"/>
    <col min="6405" max="6405" width="4" style="28" bestFit="1" customWidth="1"/>
    <col min="6406" max="6406" width="5.6328125" style="28" bestFit="1" customWidth="1"/>
    <col min="6407" max="6407" width="9.26953125" style="28" bestFit="1" customWidth="1"/>
    <col min="6408" max="6408" width="1.81640625" style="28" bestFit="1" customWidth="1"/>
    <col min="6409" max="6409" width="6.81640625" style="28" bestFit="1" customWidth="1"/>
    <col min="6410" max="6410" width="10.81640625" style="28" bestFit="1" customWidth="1"/>
    <col min="6411" max="6411" width="8.7265625" style="28" bestFit="1" customWidth="1"/>
    <col min="6412" max="6412" width="9.6328125" style="28" bestFit="1" customWidth="1"/>
    <col min="6413" max="6413" width="12" style="28" bestFit="1" customWidth="1"/>
    <col min="6414" max="6425" width="8.7265625" style="28" bestFit="1" customWidth="1"/>
    <col min="6426" max="6426" width="9.6328125" style="28" bestFit="1" customWidth="1"/>
    <col min="6427" max="6427" width="12" style="28" bestFit="1" customWidth="1"/>
    <col min="6428" max="6428" width="11.81640625" style="28" bestFit="1" customWidth="1"/>
    <col min="6429" max="6429" width="13.7265625" style="28" bestFit="1" customWidth="1"/>
    <col min="6430" max="6430" width="14.08984375" style="28" bestFit="1" customWidth="1"/>
    <col min="6431" max="6431" width="9.08984375" style="28"/>
    <col min="6432" max="6432" width="25.26953125" style="28" bestFit="1" customWidth="1"/>
    <col min="6433" max="6433" width="4.7265625" style="28" bestFit="1" customWidth="1"/>
    <col min="6434" max="6434" width="1.36328125" style="28" bestFit="1" customWidth="1"/>
    <col min="6435" max="6435" width="4.26953125" style="28" bestFit="1" customWidth="1"/>
    <col min="6436" max="6436" width="1.36328125" style="28" bestFit="1" customWidth="1"/>
    <col min="6437" max="6437" width="5.6328125" style="28" bestFit="1" customWidth="1"/>
    <col min="6438" max="6438" width="1.36328125" style="28" bestFit="1" customWidth="1"/>
    <col min="6439" max="6439" width="6.81640625" style="28" bestFit="1" customWidth="1"/>
    <col min="6440" max="6440" width="13.08984375" style="28" bestFit="1" customWidth="1"/>
    <col min="6441" max="6656" width="9.08984375" style="28"/>
    <col min="6657" max="6657" width="2.81640625" style="28" bestFit="1" customWidth="1"/>
    <col min="6658" max="6658" width="6.81640625" style="28" bestFit="1" customWidth="1"/>
    <col min="6659" max="6659" width="4.36328125" style="28" bestFit="1" customWidth="1"/>
    <col min="6660" max="6660" width="5.6328125" style="28" bestFit="1" customWidth="1"/>
    <col min="6661" max="6661" width="4" style="28" bestFit="1" customWidth="1"/>
    <col min="6662" max="6662" width="5.6328125" style="28" bestFit="1" customWidth="1"/>
    <col min="6663" max="6663" width="9.26953125" style="28" bestFit="1" customWidth="1"/>
    <col min="6664" max="6664" width="1.81640625" style="28" bestFit="1" customWidth="1"/>
    <col min="6665" max="6665" width="6.81640625" style="28" bestFit="1" customWidth="1"/>
    <col min="6666" max="6666" width="10.81640625" style="28" bestFit="1" customWidth="1"/>
    <col min="6667" max="6667" width="8.7265625" style="28" bestFit="1" customWidth="1"/>
    <col min="6668" max="6668" width="9.6328125" style="28" bestFit="1" customWidth="1"/>
    <col min="6669" max="6669" width="12" style="28" bestFit="1" customWidth="1"/>
    <col min="6670" max="6681" width="8.7265625" style="28" bestFit="1" customWidth="1"/>
    <col min="6682" max="6682" width="9.6328125" style="28" bestFit="1" customWidth="1"/>
    <col min="6683" max="6683" width="12" style="28" bestFit="1" customWidth="1"/>
    <col min="6684" max="6684" width="11.81640625" style="28" bestFit="1" customWidth="1"/>
    <col min="6685" max="6685" width="13.7265625" style="28" bestFit="1" customWidth="1"/>
    <col min="6686" max="6686" width="14.08984375" style="28" bestFit="1" customWidth="1"/>
    <col min="6687" max="6687" width="9.08984375" style="28"/>
    <col min="6688" max="6688" width="25.26953125" style="28" bestFit="1" customWidth="1"/>
    <col min="6689" max="6689" width="4.7265625" style="28" bestFit="1" customWidth="1"/>
    <col min="6690" max="6690" width="1.36328125" style="28" bestFit="1" customWidth="1"/>
    <col min="6691" max="6691" width="4.26953125" style="28" bestFit="1" customWidth="1"/>
    <col min="6692" max="6692" width="1.36328125" style="28" bestFit="1" customWidth="1"/>
    <col min="6693" max="6693" width="5.6328125" style="28" bestFit="1" customWidth="1"/>
    <col min="6694" max="6694" width="1.36328125" style="28" bestFit="1" customWidth="1"/>
    <col min="6695" max="6695" width="6.81640625" style="28" bestFit="1" customWidth="1"/>
    <col min="6696" max="6696" width="13.08984375" style="28" bestFit="1" customWidth="1"/>
    <col min="6697" max="6912" width="9.08984375" style="28"/>
    <col min="6913" max="6913" width="2.81640625" style="28" bestFit="1" customWidth="1"/>
    <col min="6914" max="6914" width="6.81640625" style="28" bestFit="1" customWidth="1"/>
    <col min="6915" max="6915" width="4.36328125" style="28" bestFit="1" customWidth="1"/>
    <col min="6916" max="6916" width="5.6328125" style="28" bestFit="1" customWidth="1"/>
    <col min="6917" max="6917" width="4" style="28" bestFit="1" customWidth="1"/>
    <col min="6918" max="6918" width="5.6328125" style="28" bestFit="1" customWidth="1"/>
    <col min="6919" max="6919" width="9.26953125" style="28" bestFit="1" customWidth="1"/>
    <col min="6920" max="6920" width="1.81640625" style="28" bestFit="1" customWidth="1"/>
    <col min="6921" max="6921" width="6.81640625" style="28" bestFit="1" customWidth="1"/>
    <col min="6922" max="6922" width="10.81640625" style="28" bestFit="1" customWidth="1"/>
    <col min="6923" max="6923" width="8.7265625" style="28" bestFit="1" customWidth="1"/>
    <col min="6924" max="6924" width="9.6328125" style="28" bestFit="1" customWidth="1"/>
    <col min="6925" max="6925" width="12" style="28" bestFit="1" customWidth="1"/>
    <col min="6926" max="6937" width="8.7265625" style="28" bestFit="1" customWidth="1"/>
    <col min="6938" max="6938" width="9.6328125" style="28" bestFit="1" customWidth="1"/>
    <col min="6939" max="6939" width="12" style="28" bestFit="1" customWidth="1"/>
    <col min="6940" max="6940" width="11.81640625" style="28" bestFit="1" customWidth="1"/>
    <col min="6941" max="6941" width="13.7265625" style="28" bestFit="1" customWidth="1"/>
    <col min="6942" max="6942" width="14.08984375" style="28" bestFit="1" customWidth="1"/>
    <col min="6943" max="6943" width="9.08984375" style="28"/>
    <col min="6944" max="6944" width="25.26953125" style="28" bestFit="1" customWidth="1"/>
    <col min="6945" max="6945" width="4.7265625" style="28" bestFit="1" customWidth="1"/>
    <col min="6946" max="6946" width="1.36328125" style="28" bestFit="1" customWidth="1"/>
    <col min="6947" max="6947" width="4.26953125" style="28" bestFit="1" customWidth="1"/>
    <col min="6948" max="6948" width="1.36328125" style="28" bestFit="1" customWidth="1"/>
    <col min="6949" max="6949" width="5.6328125" style="28" bestFit="1" customWidth="1"/>
    <col min="6950" max="6950" width="1.36328125" style="28" bestFit="1" customWidth="1"/>
    <col min="6951" max="6951" width="6.81640625" style="28" bestFit="1" customWidth="1"/>
    <col min="6952" max="6952" width="13.08984375" style="28" bestFit="1" customWidth="1"/>
    <col min="6953" max="7168" width="9.08984375" style="28"/>
    <col min="7169" max="7169" width="2.81640625" style="28" bestFit="1" customWidth="1"/>
    <col min="7170" max="7170" width="6.81640625" style="28" bestFit="1" customWidth="1"/>
    <col min="7171" max="7171" width="4.36328125" style="28" bestFit="1" customWidth="1"/>
    <col min="7172" max="7172" width="5.6328125" style="28" bestFit="1" customWidth="1"/>
    <col min="7173" max="7173" width="4" style="28" bestFit="1" customWidth="1"/>
    <col min="7174" max="7174" width="5.6328125" style="28" bestFit="1" customWidth="1"/>
    <col min="7175" max="7175" width="9.26953125" style="28" bestFit="1" customWidth="1"/>
    <col min="7176" max="7176" width="1.81640625" style="28" bestFit="1" customWidth="1"/>
    <col min="7177" max="7177" width="6.81640625" style="28" bestFit="1" customWidth="1"/>
    <col min="7178" max="7178" width="10.81640625" style="28" bestFit="1" customWidth="1"/>
    <col min="7179" max="7179" width="8.7265625" style="28" bestFit="1" customWidth="1"/>
    <col min="7180" max="7180" width="9.6328125" style="28" bestFit="1" customWidth="1"/>
    <col min="7181" max="7181" width="12" style="28" bestFit="1" customWidth="1"/>
    <col min="7182" max="7193" width="8.7265625" style="28" bestFit="1" customWidth="1"/>
    <col min="7194" max="7194" width="9.6328125" style="28" bestFit="1" customWidth="1"/>
    <col min="7195" max="7195" width="12" style="28" bestFit="1" customWidth="1"/>
    <col min="7196" max="7196" width="11.81640625" style="28" bestFit="1" customWidth="1"/>
    <col min="7197" max="7197" width="13.7265625" style="28" bestFit="1" customWidth="1"/>
    <col min="7198" max="7198" width="14.08984375" style="28" bestFit="1" customWidth="1"/>
    <col min="7199" max="7199" width="9.08984375" style="28"/>
    <col min="7200" max="7200" width="25.26953125" style="28" bestFit="1" customWidth="1"/>
    <col min="7201" max="7201" width="4.7265625" style="28" bestFit="1" customWidth="1"/>
    <col min="7202" max="7202" width="1.36328125" style="28" bestFit="1" customWidth="1"/>
    <col min="7203" max="7203" width="4.26953125" style="28" bestFit="1" customWidth="1"/>
    <col min="7204" max="7204" width="1.36328125" style="28" bestFit="1" customWidth="1"/>
    <col min="7205" max="7205" width="5.6328125" style="28" bestFit="1" customWidth="1"/>
    <col min="7206" max="7206" width="1.36328125" style="28" bestFit="1" customWidth="1"/>
    <col min="7207" max="7207" width="6.81640625" style="28" bestFit="1" customWidth="1"/>
    <col min="7208" max="7208" width="13.08984375" style="28" bestFit="1" customWidth="1"/>
    <col min="7209" max="7424" width="9.08984375" style="28"/>
    <col min="7425" max="7425" width="2.81640625" style="28" bestFit="1" customWidth="1"/>
    <col min="7426" max="7426" width="6.81640625" style="28" bestFit="1" customWidth="1"/>
    <col min="7427" max="7427" width="4.36328125" style="28" bestFit="1" customWidth="1"/>
    <col min="7428" max="7428" width="5.6328125" style="28" bestFit="1" customWidth="1"/>
    <col min="7429" max="7429" width="4" style="28" bestFit="1" customWidth="1"/>
    <col min="7430" max="7430" width="5.6328125" style="28" bestFit="1" customWidth="1"/>
    <col min="7431" max="7431" width="9.26953125" style="28" bestFit="1" customWidth="1"/>
    <col min="7432" max="7432" width="1.81640625" style="28" bestFit="1" customWidth="1"/>
    <col min="7433" max="7433" width="6.81640625" style="28" bestFit="1" customWidth="1"/>
    <col min="7434" max="7434" width="10.81640625" style="28" bestFit="1" customWidth="1"/>
    <col min="7435" max="7435" width="8.7265625" style="28" bestFit="1" customWidth="1"/>
    <col min="7436" max="7436" width="9.6328125" style="28" bestFit="1" customWidth="1"/>
    <col min="7437" max="7437" width="12" style="28" bestFit="1" customWidth="1"/>
    <col min="7438" max="7449" width="8.7265625" style="28" bestFit="1" customWidth="1"/>
    <col min="7450" max="7450" width="9.6328125" style="28" bestFit="1" customWidth="1"/>
    <col min="7451" max="7451" width="12" style="28" bestFit="1" customWidth="1"/>
    <col min="7452" max="7452" width="11.81640625" style="28" bestFit="1" customWidth="1"/>
    <col min="7453" max="7453" width="13.7265625" style="28" bestFit="1" customWidth="1"/>
    <col min="7454" max="7454" width="14.08984375" style="28" bestFit="1" customWidth="1"/>
    <col min="7455" max="7455" width="9.08984375" style="28"/>
    <col min="7456" max="7456" width="25.26953125" style="28" bestFit="1" customWidth="1"/>
    <col min="7457" max="7457" width="4.7265625" style="28" bestFit="1" customWidth="1"/>
    <col min="7458" max="7458" width="1.36328125" style="28" bestFit="1" customWidth="1"/>
    <col min="7459" max="7459" width="4.26953125" style="28" bestFit="1" customWidth="1"/>
    <col min="7460" max="7460" width="1.36328125" style="28" bestFit="1" customWidth="1"/>
    <col min="7461" max="7461" width="5.6328125" style="28" bestFit="1" customWidth="1"/>
    <col min="7462" max="7462" width="1.36328125" style="28" bestFit="1" customWidth="1"/>
    <col min="7463" max="7463" width="6.81640625" style="28" bestFit="1" customWidth="1"/>
    <col min="7464" max="7464" width="13.08984375" style="28" bestFit="1" customWidth="1"/>
    <col min="7465" max="7680" width="9.08984375" style="28"/>
    <col min="7681" max="7681" width="2.81640625" style="28" bestFit="1" customWidth="1"/>
    <col min="7682" max="7682" width="6.81640625" style="28" bestFit="1" customWidth="1"/>
    <col min="7683" max="7683" width="4.36328125" style="28" bestFit="1" customWidth="1"/>
    <col min="7684" max="7684" width="5.6328125" style="28" bestFit="1" customWidth="1"/>
    <col min="7685" max="7685" width="4" style="28" bestFit="1" customWidth="1"/>
    <col min="7686" max="7686" width="5.6328125" style="28" bestFit="1" customWidth="1"/>
    <col min="7687" max="7687" width="9.26953125" style="28" bestFit="1" customWidth="1"/>
    <col min="7688" max="7688" width="1.81640625" style="28" bestFit="1" customWidth="1"/>
    <col min="7689" max="7689" width="6.81640625" style="28" bestFit="1" customWidth="1"/>
    <col min="7690" max="7690" width="10.81640625" style="28" bestFit="1" customWidth="1"/>
    <col min="7691" max="7691" width="8.7265625" style="28" bestFit="1" customWidth="1"/>
    <col min="7692" max="7692" width="9.6328125" style="28" bestFit="1" customWidth="1"/>
    <col min="7693" max="7693" width="12" style="28" bestFit="1" customWidth="1"/>
    <col min="7694" max="7705" width="8.7265625" style="28" bestFit="1" customWidth="1"/>
    <col min="7706" max="7706" width="9.6328125" style="28" bestFit="1" customWidth="1"/>
    <col min="7707" max="7707" width="12" style="28" bestFit="1" customWidth="1"/>
    <col min="7708" max="7708" width="11.81640625" style="28" bestFit="1" customWidth="1"/>
    <col min="7709" max="7709" width="13.7265625" style="28" bestFit="1" customWidth="1"/>
    <col min="7710" max="7710" width="14.08984375" style="28" bestFit="1" customWidth="1"/>
    <col min="7711" max="7711" width="9.08984375" style="28"/>
    <col min="7712" max="7712" width="25.26953125" style="28" bestFit="1" customWidth="1"/>
    <col min="7713" max="7713" width="4.7265625" style="28" bestFit="1" customWidth="1"/>
    <col min="7714" max="7714" width="1.36328125" style="28" bestFit="1" customWidth="1"/>
    <col min="7715" max="7715" width="4.26953125" style="28" bestFit="1" customWidth="1"/>
    <col min="7716" max="7716" width="1.36328125" style="28" bestFit="1" customWidth="1"/>
    <col min="7717" max="7717" width="5.6328125" style="28" bestFit="1" customWidth="1"/>
    <col min="7718" max="7718" width="1.36328125" style="28" bestFit="1" customWidth="1"/>
    <col min="7719" max="7719" width="6.81640625" style="28" bestFit="1" customWidth="1"/>
    <col min="7720" max="7720" width="13.08984375" style="28" bestFit="1" customWidth="1"/>
    <col min="7721" max="7936" width="9.08984375" style="28"/>
    <col min="7937" max="7937" width="2.81640625" style="28" bestFit="1" customWidth="1"/>
    <col min="7938" max="7938" width="6.81640625" style="28" bestFit="1" customWidth="1"/>
    <col min="7939" max="7939" width="4.36328125" style="28" bestFit="1" customWidth="1"/>
    <col min="7940" max="7940" width="5.6328125" style="28" bestFit="1" customWidth="1"/>
    <col min="7941" max="7941" width="4" style="28" bestFit="1" customWidth="1"/>
    <col min="7942" max="7942" width="5.6328125" style="28" bestFit="1" customWidth="1"/>
    <col min="7943" max="7943" width="9.26953125" style="28" bestFit="1" customWidth="1"/>
    <col min="7944" max="7944" width="1.81640625" style="28" bestFit="1" customWidth="1"/>
    <col min="7945" max="7945" width="6.81640625" style="28" bestFit="1" customWidth="1"/>
    <col min="7946" max="7946" width="10.81640625" style="28" bestFit="1" customWidth="1"/>
    <col min="7947" max="7947" width="8.7265625" style="28" bestFit="1" customWidth="1"/>
    <col min="7948" max="7948" width="9.6328125" style="28" bestFit="1" customWidth="1"/>
    <col min="7949" max="7949" width="12" style="28" bestFit="1" customWidth="1"/>
    <col min="7950" max="7961" width="8.7265625" style="28" bestFit="1" customWidth="1"/>
    <col min="7962" max="7962" width="9.6328125" style="28" bestFit="1" customWidth="1"/>
    <col min="7963" max="7963" width="12" style="28" bestFit="1" customWidth="1"/>
    <col min="7964" max="7964" width="11.81640625" style="28" bestFit="1" customWidth="1"/>
    <col min="7965" max="7965" width="13.7265625" style="28" bestFit="1" customWidth="1"/>
    <col min="7966" max="7966" width="14.08984375" style="28" bestFit="1" customWidth="1"/>
    <col min="7967" max="7967" width="9.08984375" style="28"/>
    <col min="7968" max="7968" width="25.26953125" style="28" bestFit="1" customWidth="1"/>
    <col min="7969" max="7969" width="4.7265625" style="28" bestFit="1" customWidth="1"/>
    <col min="7970" max="7970" width="1.36328125" style="28" bestFit="1" customWidth="1"/>
    <col min="7971" max="7971" width="4.26953125" style="28" bestFit="1" customWidth="1"/>
    <col min="7972" max="7972" width="1.36328125" style="28" bestFit="1" customWidth="1"/>
    <col min="7973" max="7973" width="5.6328125" style="28" bestFit="1" customWidth="1"/>
    <col min="7974" max="7974" width="1.36328125" style="28" bestFit="1" customWidth="1"/>
    <col min="7975" max="7975" width="6.81640625" style="28" bestFit="1" customWidth="1"/>
    <col min="7976" max="7976" width="13.08984375" style="28" bestFit="1" customWidth="1"/>
    <col min="7977" max="8192" width="9.08984375" style="28"/>
    <col min="8193" max="8193" width="2.81640625" style="28" bestFit="1" customWidth="1"/>
    <col min="8194" max="8194" width="6.81640625" style="28" bestFit="1" customWidth="1"/>
    <col min="8195" max="8195" width="4.36328125" style="28" bestFit="1" customWidth="1"/>
    <col min="8196" max="8196" width="5.6328125" style="28" bestFit="1" customWidth="1"/>
    <col min="8197" max="8197" width="4" style="28" bestFit="1" customWidth="1"/>
    <col min="8198" max="8198" width="5.6328125" style="28" bestFit="1" customWidth="1"/>
    <col min="8199" max="8199" width="9.26953125" style="28" bestFit="1" customWidth="1"/>
    <col min="8200" max="8200" width="1.81640625" style="28" bestFit="1" customWidth="1"/>
    <col min="8201" max="8201" width="6.81640625" style="28" bestFit="1" customWidth="1"/>
    <col min="8202" max="8202" width="10.81640625" style="28" bestFit="1" customWidth="1"/>
    <col min="8203" max="8203" width="8.7265625" style="28" bestFit="1" customWidth="1"/>
    <col min="8204" max="8204" width="9.6328125" style="28" bestFit="1" customWidth="1"/>
    <col min="8205" max="8205" width="12" style="28" bestFit="1" customWidth="1"/>
    <col min="8206" max="8217" width="8.7265625" style="28" bestFit="1" customWidth="1"/>
    <col min="8218" max="8218" width="9.6328125" style="28" bestFit="1" customWidth="1"/>
    <col min="8219" max="8219" width="12" style="28" bestFit="1" customWidth="1"/>
    <col min="8220" max="8220" width="11.81640625" style="28" bestFit="1" customWidth="1"/>
    <col min="8221" max="8221" width="13.7265625" style="28" bestFit="1" customWidth="1"/>
    <col min="8222" max="8222" width="14.08984375" style="28" bestFit="1" customWidth="1"/>
    <col min="8223" max="8223" width="9.08984375" style="28"/>
    <col min="8224" max="8224" width="25.26953125" style="28" bestFit="1" customWidth="1"/>
    <col min="8225" max="8225" width="4.7265625" style="28" bestFit="1" customWidth="1"/>
    <col min="8226" max="8226" width="1.36328125" style="28" bestFit="1" customWidth="1"/>
    <col min="8227" max="8227" width="4.26953125" style="28" bestFit="1" customWidth="1"/>
    <col min="8228" max="8228" width="1.36328125" style="28" bestFit="1" customWidth="1"/>
    <col min="8229" max="8229" width="5.6328125" style="28" bestFit="1" customWidth="1"/>
    <col min="8230" max="8230" width="1.36328125" style="28" bestFit="1" customWidth="1"/>
    <col min="8231" max="8231" width="6.81640625" style="28" bestFit="1" customWidth="1"/>
    <col min="8232" max="8232" width="13.08984375" style="28" bestFit="1" customWidth="1"/>
    <col min="8233" max="8448" width="9.08984375" style="28"/>
    <col min="8449" max="8449" width="2.81640625" style="28" bestFit="1" customWidth="1"/>
    <col min="8450" max="8450" width="6.81640625" style="28" bestFit="1" customWidth="1"/>
    <col min="8451" max="8451" width="4.36328125" style="28" bestFit="1" customWidth="1"/>
    <col min="8452" max="8452" width="5.6328125" style="28" bestFit="1" customWidth="1"/>
    <col min="8453" max="8453" width="4" style="28" bestFit="1" customWidth="1"/>
    <col min="8454" max="8454" width="5.6328125" style="28" bestFit="1" customWidth="1"/>
    <col min="8455" max="8455" width="9.26953125" style="28" bestFit="1" customWidth="1"/>
    <col min="8456" max="8456" width="1.81640625" style="28" bestFit="1" customWidth="1"/>
    <col min="8457" max="8457" width="6.81640625" style="28" bestFit="1" customWidth="1"/>
    <col min="8458" max="8458" width="10.81640625" style="28" bestFit="1" customWidth="1"/>
    <col min="8459" max="8459" width="8.7265625" style="28" bestFit="1" customWidth="1"/>
    <col min="8460" max="8460" width="9.6328125" style="28" bestFit="1" customWidth="1"/>
    <col min="8461" max="8461" width="12" style="28" bestFit="1" customWidth="1"/>
    <col min="8462" max="8473" width="8.7265625" style="28" bestFit="1" customWidth="1"/>
    <col min="8474" max="8474" width="9.6328125" style="28" bestFit="1" customWidth="1"/>
    <col min="8475" max="8475" width="12" style="28" bestFit="1" customWidth="1"/>
    <col min="8476" max="8476" width="11.81640625" style="28" bestFit="1" customWidth="1"/>
    <col min="8477" max="8477" width="13.7265625" style="28" bestFit="1" customWidth="1"/>
    <col min="8478" max="8478" width="14.08984375" style="28" bestFit="1" customWidth="1"/>
    <col min="8479" max="8479" width="9.08984375" style="28"/>
    <col min="8480" max="8480" width="25.26953125" style="28" bestFit="1" customWidth="1"/>
    <col min="8481" max="8481" width="4.7265625" style="28" bestFit="1" customWidth="1"/>
    <col min="8482" max="8482" width="1.36328125" style="28" bestFit="1" customWidth="1"/>
    <col min="8483" max="8483" width="4.26953125" style="28" bestFit="1" customWidth="1"/>
    <col min="8484" max="8484" width="1.36328125" style="28" bestFit="1" customWidth="1"/>
    <col min="8485" max="8485" width="5.6328125" style="28" bestFit="1" customWidth="1"/>
    <col min="8486" max="8486" width="1.36328125" style="28" bestFit="1" customWidth="1"/>
    <col min="8487" max="8487" width="6.81640625" style="28" bestFit="1" customWidth="1"/>
    <col min="8488" max="8488" width="13.08984375" style="28" bestFit="1" customWidth="1"/>
    <col min="8489" max="8704" width="9.08984375" style="28"/>
    <col min="8705" max="8705" width="2.81640625" style="28" bestFit="1" customWidth="1"/>
    <col min="8706" max="8706" width="6.81640625" style="28" bestFit="1" customWidth="1"/>
    <col min="8707" max="8707" width="4.36328125" style="28" bestFit="1" customWidth="1"/>
    <col min="8708" max="8708" width="5.6328125" style="28" bestFit="1" customWidth="1"/>
    <col min="8709" max="8709" width="4" style="28" bestFit="1" customWidth="1"/>
    <col min="8710" max="8710" width="5.6328125" style="28" bestFit="1" customWidth="1"/>
    <col min="8711" max="8711" width="9.26953125" style="28" bestFit="1" customWidth="1"/>
    <col min="8712" max="8712" width="1.81640625" style="28" bestFit="1" customWidth="1"/>
    <col min="8713" max="8713" width="6.81640625" style="28" bestFit="1" customWidth="1"/>
    <col min="8714" max="8714" width="10.81640625" style="28" bestFit="1" customWidth="1"/>
    <col min="8715" max="8715" width="8.7265625" style="28" bestFit="1" customWidth="1"/>
    <col min="8716" max="8716" width="9.6328125" style="28" bestFit="1" customWidth="1"/>
    <col min="8717" max="8717" width="12" style="28" bestFit="1" customWidth="1"/>
    <col min="8718" max="8729" width="8.7265625" style="28" bestFit="1" customWidth="1"/>
    <col min="8730" max="8730" width="9.6328125" style="28" bestFit="1" customWidth="1"/>
    <col min="8731" max="8731" width="12" style="28" bestFit="1" customWidth="1"/>
    <col min="8732" max="8732" width="11.81640625" style="28" bestFit="1" customWidth="1"/>
    <col min="8733" max="8733" width="13.7265625" style="28" bestFit="1" customWidth="1"/>
    <col min="8734" max="8734" width="14.08984375" style="28" bestFit="1" customWidth="1"/>
    <col min="8735" max="8735" width="9.08984375" style="28"/>
    <col min="8736" max="8736" width="25.26953125" style="28" bestFit="1" customWidth="1"/>
    <col min="8737" max="8737" width="4.7265625" style="28" bestFit="1" customWidth="1"/>
    <col min="8738" max="8738" width="1.36328125" style="28" bestFit="1" customWidth="1"/>
    <col min="8739" max="8739" width="4.26953125" style="28" bestFit="1" customWidth="1"/>
    <col min="8740" max="8740" width="1.36328125" style="28" bestFit="1" customWidth="1"/>
    <col min="8741" max="8741" width="5.6328125" style="28" bestFit="1" customWidth="1"/>
    <col min="8742" max="8742" width="1.36328125" style="28" bestFit="1" customWidth="1"/>
    <col min="8743" max="8743" width="6.81640625" style="28" bestFit="1" customWidth="1"/>
    <col min="8744" max="8744" width="13.08984375" style="28" bestFit="1" customWidth="1"/>
    <col min="8745" max="8960" width="9.08984375" style="28"/>
    <col min="8961" max="8961" width="2.81640625" style="28" bestFit="1" customWidth="1"/>
    <col min="8962" max="8962" width="6.81640625" style="28" bestFit="1" customWidth="1"/>
    <col min="8963" max="8963" width="4.36328125" style="28" bestFit="1" customWidth="1"/>
    <col min="8964" max="8964" width="5.6328125" style="28" bestFit="1" customWidth="1"/>
    <col min="8965" max="8965" width="4" style="28" bestFit="1" customWidth="1"/>
    <col min="8966" max="8966" width="5.6328125" style="28" bestFit="1" customWidth="1"/>
    <col min="8967" max="8967" width="9.26953125" style="28" bestFit="1" customWidth="1"/>
    <col min="8968" max="8968" width="1.81640625" style="28" bestFit="1" customWidth="1"/>
    <col min="8969" max="8969" width="6.81640625" style="28" bestFit="1" customWidth="1"/>
    <col min="8970" max="8970" width="10.81640625" style="28" bestFit="1" customWidth="1"/>
    <col min="8971" max="8971" width="8.7265625" style="28" bestFit="1" customWidth="1"/>
    <col min="8972" max="8972" width="9.6328125" style="28" bestFit="1" customWidth="1"/>
    <col min="8973" max="8973" width="12" style="28" bestFit="1" customWidth="1"/>
    <col min="8974" max="8985" width="8.7265625" style="28" bestFit="1" customWidth="1"/>
    <col min="8986" max="8986" width="9.6328125" style="28" bestFit="1" customWidth="1"/>
    <col min="8987" max="8987" width="12" style="28" bestFit="1" customWidth="1"/>
    <col min="8988" max="8988" width="11.81640625" style="28" bestFit="1" customWidth="1"/>
    <col min="8989" max="8989" width="13.7265625" style="28" bestFit="1" customWidth="1"/>
    <col min="8990" max="8990" width="14.08984375" style="28" bestFit="1" customWidth="1"/>
    <col min="8991" max="8991" width="9.08984375" style="28"/>
    <col min="8992" max="8992" width="25.26953125" style="28" bestFit="1" customWidth="1"/>
    <col min="8993" max="8993" width="4.7265625" style="28" bestFit="1" customWidth="1"/>
    <col min="8994" max="8994" width="1.36328125" style="28" bestFit="1" customWidth="1"/>
    <col min="8995" max="8995" width="4.26953125" style="28" bestFit="1" customWidth="1"/>
    <col min="8996" max="8996" width="1.36328125" style="28" bestFit="1" customWidth="1"/>
    <col min="8997" max="8997" width="5.6328125" style="28" bestFit="1" customWidth="1"/>
    <col min="8998" max="8998" width="1.36328125" style="28" bestFit="1" customWidth="1"/>
    <col min="8999" max="8999" width="6.81640625" style="28" bestFit="1" customWidth="1"/>
    <col min="9000" max="9000" width="13.08984375" style="28" bestFit="1" customWidth="1"/>
    <col min="9001" max="9216" width="9.08984375" style="28"/>
    <col min="9217" max="9217" width="2.81640625" style="28" bestFit="1" customWidth="1"/>
    <col min="9218" max="9218" width="6.81640625" style="28" bestFit="1" customWidth="1"/>
    <col min="9219" max="9219" width="4.36328125" style="28" bestFit="1" customWidth="1"/>
    <col min="9220" max="9220" width="5.6328125" style="28" bestFit="1" customWidth="1"/>
    <col min="9221" max="9221" width="4" style="28" bestFit="1" customWidth="1"/>
    <col min="9222" max="9222" width="5.6328125" style="28" bestFit="1" customWidth="1"/>
    <col min="9223" max="9223" width="9.26953125" style="28" bestFit="1" customWidth="1"/>
    <col min="9224" max="9224" width="1.81640625" style="28" bestFit="1" customWidth="1"/>
    <col min="9225" max="9225" width="6.81640625" style="28" bestFit="1" customWidth="1"/>
    <col min="9226" max="9226" width="10.81640625" style="28" bestFit="1" customWidth="1"/>
    <col min="9227" max="9227" width="8.7265625" style="28" bestFit="1" customWidth="1"/>
    <col min="9228" max="9228" width="9.6328125" style="28" bestFit="1" customWidth="1"/>
    <col min="9229" max="9229" width="12" style="28" bestFit="1" customWidth="1"/>
    <col min="9230" max="9241" width="8.7265625" style="28" bestFit="1" customWidth="1"/>
    <col min="9242" max="9242" width="9.6328125" style="28" bestFit="1" customWidth="1"/>
    <col min="9243" max="9243" width="12" style="28" bestFit="1" customWidth="1"/>
    <col min="9244" max="9244" width="11.81640625" style="28" bestFit="1" customWidth="1"/>
    <col min="9245" max="9245" width="13.7265625" style="28" bestFit="1" customWidth="1"/>
    <col min="9246" max="9246" width="14.08984375" style="28" bestFit="1" customWidth="1"/>
    <col min="9247" max="9247" width="9.08984375" style="28"/>
    <col min="9248" max="9248" width="25.26953125" style="28" bestFit="1" customWidth="1"/>
    <col min="9249" max="9249" width="4.7265625" style="28" bestFit="1" customWidth="1"/>
    <col min="9250" max="9250" width="1.36328125" style="28" bestFit="1" customWidth="1"/>
    <col min="9251" max="9251" width="4.26953125" style="28" bestFit="1" customWidth="1"/>
    <col min="9252" max="9252" width="1.36328125" style="28" bestFit="1" customWidth="1"/>
    <col min="9253" max="9253" width="5.6328125" style="28" bestFit="1" customWidth="1"/>
    <col min="9254" max="9254" width="1.36328125" style="28" bestFit="1" customWidth="1"/>
    <col min="9255" max="9255" width="6.81640625" style="28" bestFit="1" customWidth="1"/>
    <col min="9256" max="9256" width="13.08984375" style="28" bestFit="1" customWidth="1"/>
    <col min="9257" max="9472" width="9.08984375" style="28"/>
    <col min="9473" max="9473" width="2.81640625" style="28" bestFit="1" customWidth="1"/>
    <col min="9474" max="9474" width="6.81640625" style="28" bestFit="1" customWidth="1"/>
    <col min="9475" max="9475" width="4.36328125" style="28" bestFit="1" customWidth="1"/>
    <col min="9476" max="9476" width="5.6328125" style="28" bestFit="1" customWidth="1"/>
    <col min="9477" max="9477" width="4" style="28" bestFit="1" customWidth="1"/>
    <col min="9478" max="9478" width="5.6328125" style="28" bestFit="1" customWidth="1"/>
    <col min="9479" max="9479" width="9.26953125" style="28" bestFit="1" customWidth="1"/>
    <col min="9480" max="9480" width="1.81640625" style="28" bestFit="1" customWidth="1"/>
    <col min="9481" max="9481" width="6.81640625" style="28" bestFit="1" customWidth="1"/>
    <col min="9482" max="9482" width="10.81640625" style="28" bestFit="1" customWidth="1"/>
    <col min="9483" max="9483" width="8.7265625" style="28" bestFit="1" customWidth="1"/>
    <col min="9484" max="9484" width="9.6328125" style="28" bestFit="1" customWidth="1"/>
    <col min="9485" max="9485" width="12" style="28" bestFit="1" customWidth="1"/>
    <col min="9486" max="9497" width="8.7265625" style="28" bestFit="1" customWidth="1"/>
    <col min="9498" max="9498" width="9.6328125" style="28" bestFit="1" customWidth="1"/>
    <col min="9499" max="9499" width="12" style="28" bestFit="1" customWidth="1"/>
    <col min="9500" max="9500" width="11.81640625" style="28" bestFit="1" customWidth="1"/>
    <col min="9501" max="9501" width="13.7265625" style="28" bestFit="1" customWidth="1"/>
    <col min="9502" max="9502" width="14.08984375" style="28" bestFit="1" customWidth="1"/>
    <col min="9503" max="9503" width="9.08984375" style="28"/>
    <col min="9504" max="9504" width="25.26953125" style="28" bestFit="1" customWidth="1"/>
    <col min="9505" max="9505" width="4.7265625" style="28" bestFit="1" customWidth="1"/>
    <col min="9506" max="9506" width="1.36328125" style="28" bestFit="1" customWidth="1"/>
    <col min="9507" max="9507" width="4.26953125" style="28" bestFit="1" customWidth="1"/>
    <col min="9508" max="9508" width="1.36328125" style="28" bestFit="1" customWidth="1"/>
    <col min="9509" max="9509" width="5.6328125" style="28" bestFit="1" customWidth="1"/>
    <col min="9510" max="9510" width="1.36328125" style="28" bestFit="1" customWidth="1"/>
    <col min="9511" max="9511" width="6.81640625" style="28" bestFit="1" customWidth="1"/>
    <col min="9512" max="9512" width="13.08984375" style="28" bestFit="1" customWidth="1"/>
    <col min="9513" max="9728" width="9.08984375" style="28"/>
    <col min="9729" max="9729" width="2.81640625" style="28" bestFit="1" customWidth="1"/>
    <col min="9730" max="9730" width="6.81640625" style="28" bestFit="1" customWidth="1"/>
    <col min="9731" max="9731" width="4.36328125" style="28" bestFit="1" customWidth="1"/>
    <col min="9732" max="9732" width="5.6328125" style="28" bestFit="1" customWidth="1"/>
    <col min="9733" max="9733" width="4" style="28" bestFit="1" customWidth="1"/>
    <col min="9734" max="9734" width="5.6328125" style="28" bestFit="1" customWidth="1"/>
    <col min="9735" max="9735" width="9.26953125" style="28" bestFit="1" customWidth="1"/>
    <col min="9736" max="9736" width="1.81640625" style="28" bestFit="1" customWidth="1"/>
    <col min="9737" max="9737" width="6.81640625" style="28" bestFit="1" customWidth="1"/>
    <col min="9738" max="9738" width="10.81640625" style="28" bestFit="1" customWidth="1"/>
    <col min="9739" max="9739" width="8.7265625" style="28" bestFit="1" customWidth="1"/>
    <col min="9740" max="9740" width="9.6328125" style="28" bestFit="1" customWidth="1"/>
    <col min="9741" max="9741" width="12" style="28" bestFit="1" customWidth="1"/>
    <col min="9742" max="9753" width="8.7265625" style="28" bestFit="1" customWidth="1"/>
    <col min="9754" max="9754" width="9.6328125" style="28" bestFit="1" customWidth="1"/>
    <col min="9755" max="9755" width="12" style="28" bestFit="1" customWidth="1"/>
    <col min="9756" max="9756" width="11.81640625" style="28" bestFit="1" customWidth="1"/>
    <col min="9757" max="9757" width="13.7265625" style="28" bestFit="1" customWidth="1"/>
    <col min="9758" max="9758" width="14.08984375" style="28" bestFit="1" customWidth="1"/>
    <col min="9759" max="9759" width="9.08984375" style="28"/>
    <col min="9760" max="9760" width="25.26953125" style="28" bestFit="1" customWidth="1"/>
    <col min="9761" max="9761" width="4.7265625" style="28" bestFit="1" customWidth="1"/>
    <col min="9762" max="9762" width="1.36328125" style="28" bestFit="1" customWidth="1"/>
    <col min="9763" max="9763" width="4.26953125" style="28" bestFit="1" customWidth="1"/>
    <col min="9764" max="9764" width="1.36328125" style="28" bestFit="1" customWidth="1"/>
    <col min="9765" max="9765" width="5.6328125" style="28" bestFit="1" customWidth="1"/>
    <col min="9766" max="9766" width="1.36328125" style="28" bestFit="1" customWidth="1"/>
    <col min="9767" max="9767" width="6.81640625" style="28" bestFit="1" customWidth="1"/>
    <col min="9768" max="9768" width="13.08984375" style="28" bestFit="1" customWidth="1"/>
    <col min="9769" max="9984" width="9.08984375" style="28"/>
    <col min="9985" max="9985" width="2.81640625" style="28" bestFit="1" customWidth="1"/>
    <col min="9986" max="9986" width="6.81640625" style="28" bestFit="1" customWidth="1"/>
    <col min="9987" max="9987" width="4.36328125" style="28" bestFit="1" customWidth="1"/>
    <col min="9988" max="9988" width="5.6328125" style="28" bestFit="1" customWidth="1"/>
    <col min="9989" max="9989" width="4" style="28" bestFit="1" customWidth="1"/>
    <col min="9990" max="9990" width="5.6328125" style="28" bestFit="1" customWidth="1"/>
    <col min="9991" max="9991" width="9.26953125" style="28" bestFit="1" customWidth="1"/>
    <col min="9992" max="9992" width="1.81640625" style="28" bestFit="1" customWidth="1"/>
    <col min="9993" max="9993" width="6.81640625" style="28" bestFit="1" customWidth="1"/>
    <col min="9994" max="9994" width="10.81640625" style="28" bestFit="1" customWidth="1"/>
    <col min="9995" max="9995" width="8.7265625" style="28" bestFit="1" customWidth="1"/>
    <col min="9996" max="9996" width="9.6328125" style="28" bestFit="1" customWidth="1"/>
    <col min="9997" max="9997" width="12" style="28" bestFit="1" customWidth="1"/>
    <col min="9998" max="10009" width="8.7265625" style="28" bestFit="1" customWidth="1"/>
    <col min="10010" max="10010" width="9.6328125" style="28" bestFit="1" customWidth="1"/>
    <col min="10011" max="10011" width="12" style="28" bestFit="1" customWidth="1"/>
    <col min="10012" max="10012" width="11.81640625" style="28" bestFit="1" customWidth="1"/>
    <col min="10013" max="10013" width="13.7265625" style="28" bestFit="1" customWidth="1"/>
    <col min="10014" max="10014" width="14.08984375" style="28" bestFit="1" customWidth="1"/>
    <col min="10015" max="10015" width="9.08984375" style="28"/>
    <col min="10016" max="10016" width="25.26953125" style="28" bestFit="1" customWidth="1"/>
    <col min="10017" max="10017" width="4.7265625" style="28" bestFit="1" customWidth="1"/>
    <col min="10018" max="10018" width="1.36328125" style="28" bestFit="1" customWidth="1"/>
    <col min="10019" max="10019" width="4.26953125" style="28" bestFit="1" customWidth="1"/>
    <col min="10020" max="10020" width="1.36328125" style="28" bestFit="1" customWidth="1"/>
    <col min="10021" max="10021" width="5.6328125" style="28" bestFit="1" customWidth="1"/>
    <col min="10022" max="10022" width="1.36328125" style="28" bestFit="1" customWidth="1"/>
    <col min="10023" max="10023" width="6.81640625" style="28" bestFit="1" customWidth="1"/>
    <col min="10024" max="10024" width="13.08984375" style="28" bestFit="1" customWidth="1"/>
    <col min="10025" max="10240" width="9.08984375" style="28"/>
    <col min="10241" max="10241" width="2.81640625" style="28" bestFit="1" customWidth="1"/>
    <col min="10242" max="10242" width="6.81640625" style="28" bestFit="1" customWidth="1"/>
    <col min="10243" max="10243" width="4.36328125" style="28" bestFit="1" customWidth="1"/>
    <col min="10244" max="10244" width="5.6328125" style="28" bestFit="1" customWidth="1"/>
    <col min="10245" max="10245" width="4" style="28" bestFit="1" customWidth="1"/>
    <col min="10246" max="10246" width="5.6328125" style="28" bestFit="1" customWidth="1"/>
    <col min="10247" max="10247" width="9.26953125" style="28" bestFit="1" customWidth="1"/>
    <col min="10248" max="10248" width="1.81640625" style="28" bestFit="1" customWidth="1"/>
    <col min="10249" max="10249" width="6.81640625" style="28" bestFit="1" customWidth="1"/>
    <col min="10250" max="10250" width="10.81640625" style="28" bestFit="1" customWidth="1"/>
    <col min="10251" max="10251" width="8.7265625" style="28" bestFit="1" customWidth="1"/>
    <col min="10252" max="10252" width="9.6328125" style="28" bestFit="1" customWidth="1"/>
    <col min="10253" max="10253" width="12" style="28" bestFit="1" customWidth="1"/>
    <col min="10254" max="10265" width="8.7265625" style="28" bestFit="1" customWidth="1"/>
    <col min="10266" max="10266" width="9.6328125" style="28" bestFit="1" customWidth="1"/>
    <col min="10267" max="10267" width="12" style="28" bestFit="1" customWidth="1"/>
    <col min="10268" max="10268" width="11.81640625" style="28" bestFit="1" customWidth="1"/>
    <col min="10269" max="10269" width="13.7265625" style="28" bestFit="1" customWidth="1"/>
    <col min="10270" max="10270" width="14.08984375" style="28" bestFit="1" customWidth="1"/>
    <col min="10271" max="10271" width="9.08984375" style="28"/>
    <col min="10272" max="10272" width="25.26953125" style="28" bestFit="1" customWidth="1"/>
    <col min="10273" max="10273" width="4.7265625" style="28" bestFit="1" customWidth="1"/>
    <col min="10274" max="10274" width="1.36328125" style="28" bestFit="1" customWidth="1"/>
    <col min="10275" max="10275" width="4.26953125" style="28" bestFit="1" customWidth="1"/>
    <col min="10276" max="10276" width="1.36328125" style="28" bestFit="1" customWidth="1"/>
    <col min="10277" max="10277" width="5.6328125" style="28" bestFit="1" customWidth="1"/>
    <col min="10278" max="10278" width="1.36328125" style="28" bestFit="1" customWidth="1"/>
    <col min="10279" max="10279" width="6.81640625" style="28" bestFit="1" customWidth="1"/>
    <col min="10280" max="10280" width="13.08984375" style="28" bestFit="1" customWidth="1"/>
    <col min="10281" max="10496" width="9.08984375" style="28"/>
    <col min="10497" max="10497" width="2.81640625" style="28" bestFit="1" customWidth="1"/>
    <col min="10498" max="10498" width="6.81640625" style="28" bestFit="1" customWidth="1"/>
    <col min="10499" max="10499" width="4.36328125" style="28" bestFit="1" customWidth="1"/>
    <col min="10500" max="10500" width="5.6328125" style="28" bestFit="1" customWidth="1"/>
    <col min="10501" max="10501" width="4" style="28" bestFit="1" customWidth="1"/>
    <col min="10502" max="10502" width="5.6328125" style="28" bestFit="1" customWidth="1"/>
    <col min="10503" max="10503" width="9.26953125" style="28" bestFit="1" customWidth="1"/>
    <col min="10504" max="10504" width="1.81640625" style="28" bestFit="1" customWidth="1"/>
    <col min="10505" max="10505" width="6.81640625" style="28" bestFit="1" customWidth="1"/>
    <col min="10506" max="10506" width="10.81640625" style="28" bestFit="1" customWidth="1"/>
    <col min="10507" max="10507" width="8.7265625" style="28" bestFit="1" customWidth="1"/>
    <col min="10508" max="10508" width="9.6328125" style="28" bestFit="1" customWidth="1"/>
    <col min="10509" max="10509" width="12" style="28" bestFit="1" customWidth="1"/>
    <col min="10510" max="10521" width="8.7265625" style="28" bestFit="1" customWidth="1"/>
    <col min="10522" max="10522" width="9.6328125" style="28" bestFit="1" customWidth="1"/>
    <col min="10523" max="10523" width="12" style="28" bestFit="1" customWidth="1"/>
    <col min="10524" max="10524" width="11.81640625" style="28" bestFit="1" customWidth="1"/>
    <col min="10525" max="10525" width="13.7265625" style="28" bestFit="1" customWidth="1"/>
    <col min="10526" max="10526" width="14.08984375" style="28" bestFit="1" customWidth="1"/>
    <col min="10527" max="10527" width="9.08984375" style="28"/>
    <col min="10528" max="10528" width="25.26953125" style="28" bestFit="1" customWidth="1"/>
    <col min="10529" max="10529" width="4.7265625" style="28" bestFit="1" customWidth="1"/>
    <col min="10530" max="10530" width="1.36328125" style="28" bestFit="1" customWidth="1"/>
    <col min="10531" max="10531" width="4.26953125" style="28" bestFit="1" customWidth="1"/>
    <col min="10532" max="10532" width="1.36328125" style="28" bestFit="1" customWidth="1"/>
    <col min="10533" max="10533" width="5.6328125" style="28" bestFit="1" customWidth="1"/>
    <col min="10534" max="10534" width="1.36328125" style="28" bestFit="1" customWidth="1"/>
    <col min="10535" max="10535" width="6.81640625" style="28" bestFit="1" customWidth="1"/>
    <col min="10536" max="10536" width="13.08984375" style="28" bestFit="1" customWidth="1"/>
    <col min="10537" max="10752" width="9.08984375" style="28"/>
    <col min="10753" max="10753" width="2.81640625" style="28" bestFit="1" customWidth="1"/>
    <col min="10754" max="10754" width="6.81640625" style="28" bestFit="1" customWidth="1"/>
    <col min="10755" max="10755" width="4.36328125" style="28" bestFit="1" customWidth="1"/>
    <col min="10756" max="10756" width="5.6328125" style="28" bestFit="1" customWidth="1"/>
    <col min="10757" max="10757" width="4" style="28" bestFit="1" customWidth="1"/>
    <col min="10758" max="10758" width="5.6328125" style="28" bestFit="1" customWidth="1"/>
    <col min="10759" max="10759" width="9.26953125" style="28" bestFit="1" customWidth="1"/>
    <col min="10760" max="10760" width="1.81640625" style="28" bestFit="1" customWidth="1"/>
    <col min="10761" max="10761" width="6.81640625" style="28" bestFit="1" customWidth="1"/>
    <col min="10762" max="10762" width="10.81640625" style="28" bestFit="1" customWidth="1"/>
    <col min="10763" max="10763" width="8.7265625" style="28" bestFit="1" customWidth="1"/>
    <col min="10764" max="10764" width="9.6328125" style="28" bestFit="1" customWidth="1"/>
    <col min="10765" max="10765" width="12" style="28" bestFit="1" customWidth="1"/>
    <col min="10766" max="10777" width="8.7265625" style="28" bestFit="1" customWidth="1"/>
    <col min="10778" max="10778" width="9.6328125" style="28" bestFit="1" customWidth="1"/>
    <col min="10779" max="10779" width="12" style="28" bestFit="1" customWidth="1"/>
    <col min="10780" max="10780" width="11.81640625" style="28" bestFit="1" customWidth="1"/>
    <col min="10781" max="10781" width="13.7265625" style="28" bestFit="1" customWidth="1"/>
    <col min="10782" max="10782" width="14.08984375" style="28" bestFit="1" customWidth="1"/>
    <col min="10783" max="10783" width="9.08984375" style="28"/>
    <col min="10784" max="10784" width="25.26953125" style="28" bestFit="1" customWidth="1"/>
    <col min="10785" max="10785" width="4.7265625" style="28" bestFit="1" customWidth="1"/>
    <col min="10786" max="10786" width="1.36328125" style="28" bestFit="1" customWidth="1"/>
    <col min="10787" max="10787" width="4.26953125" style="28" bestFit="1" customWidth="1"/>
    <col min="10788" max="10788" width="1.36328125" style="28" bestFit="1" customWidth="1"/>
    <col min="10789" max="10789" width="5.6328125" style="28" bestFit="1" customWidth="1"/>
    <col min="10790" max="10790" width="1.36328125" style="28" bestFit="1" customWidth="1"/>
    <col min="10791" max="10791" width="6.81640625" style="28" bestFit="1" customWidth="1"/>
    <col min="10792" max="10792" width="13.08984375" style="28" bestFit="1" customWidth="1"/>
    <col min="10793" max="11008" width="9.08984375" style="28"/>
    <col min="11009" max="11009" width="2.81640625" style="28" bestFit="1" customWidth="1"/>
    <col min="11010" max="11010" width="6.81640625" style="28" bestFit="1" customWidth="1"/>
    <col min="11011" max="11011" width="4.36328125" style="28" bestFit="1" customWidth="1"/>
    <col min="11012" max="11012" width="5.6328125" style="28" bestFit="1" customWidth="1"/>
    <col min="11013" max="11013" width="4" style="28" bestFit="1" customWidth="1"/>
    <col min="11014" max="11014" width="5.6328125" style="28" bestFit="1" customWidth="1"/>
    <col min="11015" max="11015" width="9.26953125" style="28" bestFit="1" customWidth="1"/>
    <col min="11016" max="11016" width="1.81640625" style="28" bestFit="1" customWidth="1"/>
    <col min="11017" max="11017" width="6.81640625" style="28" bestFit="1" customWidth="1"/>
    <col min="11018" max="11018" width="10.81640625" style="28" bestFit="1" customWidth="1"/>
    <col min="11019" max="11019" width="8.7265625" style="28" bestFit="1" customWidth="1"/>
    <col min="11020" max="11020" width="9.6328125" style="28" bestFit="1" customWidth="1"/>
    <col min="11021" max="11021" width="12" style="28" bestFit="1" customWidth="1"/>
    <col min="11022" max="11033" width="8.7265625" style="28" bestFit="1" customWidth="1"/>
    <col min="11034" max="11034" width="9.6328125" style="28" bestFit="1" customWidth="1"/>
    <col min="11035" max="11035" width="12" style="28" bestFit="1" customWidth="1"/>
    <col min="11036" max="11036" width="11.81640625" style="28" bestFit="1" customWidth="1"/>
    <col min="11037" max="11037" width="13.7265625" style="28" bestFit="1" customWidth="1"/>
    <col min="11038" max="11038" width="14.08984375" style="28" bestFit="1" customWidth="1"/>
    <col min="11039" max="11039" width="9.08984375" style="28"/>
    <col min="11040" max="11040" width="25.26953125" style="28" bestFit="1" customWidth="1"/>
    <col min="11041" max="11041" width="4.7265625" style="28" bestFit="1" customWidth="1"/>
    <col min="11042" max="11042" width="1.36328125" style="28" bestFit="1" customWidth="1"/>
    <col min="11043" max="11043" width="4.26953125" style="28" bestFit="1" customWidth="1"/>
    <col min="11044" max="11044" width="1.36328125" style="28" bestFit="1" customWidth="1"/>
    <col min="11045" max="11045" width="5.6328125" style="28" bestFit="1" customWidth="1"/>
    <col min="11046" max="11046" width="1.36328125" style="28" bestFit="1" customWidth="1"/>
    <col min="11047" max="11047" width="6.81640625" style="28" bestFit="1" customWidth="1"/>
    <col min="11048" max="11048" width="13.08984375" style="28" bestFit="1" customWidth="1"/>
    <col min="11049" max="11264" width="9.08984375" style="28"/>
    <col min="11265" max="11265" width="2.81640625" style="28" bestFit="1" customWidth="1"/>
    <col min="11266" max="11266" width="6.81640625" style="28" bestFit="1" customWidth="1"/>
    <col min="11267" max="11267" width="4.36328125" style="28" bestFit="1" customWidth="1"/>
    <col min="11268" max="11268" width="5.6328125" style="28" bestFit="1" customWidth="1"/>
    <col min="11269" max="11269" width="4" style="28" bestFit="1" customWidth="1"/>
    <col min="11270" max="11270" width="5.6328125" style="28" bestFit="1" customWidth="1"/>
    <col min="11271" max="11271" width="9.26953125" style="28" bestFit="1" customWidth="1"/>
    <col min="11272" max="11272" width="1.81640625" style="28" bestFit="1" customWidth="1"/>
    <col min="11273" max="11273" width="6.81640625" style="28" bestFit="1" customWidth="1"/>
    <col min="11274" max="11274" width="10.81640625" style="28" bestFit="1" customWidth="1"/>
    <col min="11275" max="11275" width="8.7265625" style="28" bestFit="1" customWidth="1"/>
    <col min="11276" max="11276" width="9.6328125" style="28" bestFit="1" customWidth="1"/>
    <col min="11277" max="11277" width="12" style="28" bestFit="1" customWidth="1"/>
    <col min="11278" max="11289" width="8.7265625" style="28" bestFit="1" customWidth="1"/>
    <col min="11290" max="11290" width="9.6328125" style="28" bestFit="1" customWidth="1"/>
    <col min="11291" max="11291" width="12" style="28" bestFit="1" customWidth="1"/>
    <col min="11292" max="11292" width="11.81640625" style="28" bestFit="1" customWidth="1"/>
    <col min="11293" max="11293" width="13.7265625" style="28" bestFit="1" customWidth="1"/>
    <col min="11294" max="11294" width="14.08984375" style="28" bestFit="1" customWidth="1"/>
    <col min="11295" max="11295" width="9.08984375" style="28"/>
    <col min="11296" max="11296" width="25.26953125" style="28" bestFit="1" customWidth="1"/>
    <col min="11297" max="11297" width="4.7265625" style="28" bestFit="1" customWidth="1"/>
    <col min="11298" max="11298" width="1.36328125" style="28" bestFit="1" customWidth="1"/>
    <col min="11299" max="11299" width="4.26953125" style="28" bestFit="1" customWidth="1"/>
    <col min="11300" max="11300" width="1.36328125" style="28" bestFit="1" customWidth="1"/>
    <col min="11301" max="11301" width="5.6328125" style="28" bestFit="1" customWidth="1"/>
    <col min="11302" max="11302" width="1.36328125" style="28" bestFit="1" customWidth="1"/>
    <col min="11303" max="11303" width="6.81640625" style="28" bestFit="1" customWidth="1"/>
    <col min="11304" max="11304" width="13.08984375" style="28" bestFit="1" customWidth="1"/>
    <col min="11305" max="11520" width="9.08984375" style="28"/>
    <col min="11521" max="11521" width="2.81640625" style="28" bestFit="1" customWidth="1"/>
    <col min="11522" max="11522" width="6.81640625" style="28" bestFit="1" customWidth="1"/>
    <col min="11523" max="11523" width="4.36328125" style="28" bestFit="1" customWidth="1"/>
    <col min="11524" max="11524" width="5.6328125" style="28" bestFit="1" customWidth="1"/>
    <col min="11525" max="11525" width="4" style="28" bestFit="1" customWidth="1"/>
    <col min="11526" max="11526" width="5.6328125" style="28" bestFit="1" customWidth="1"/>
    <col min="11527" max="11527" width="9.26953125" style="28" bestFit="1" customWidth="1"/>
    <col min="11528" max="11528" width="1.81640625" style="28" bestFit="1" customWidth="1"/>
    <col min="11529" max="11529" width="6.81640625" style="28" bestFit="1" customWidth="1"/>
    <col min="11530" max="11530" width="10.81640625" style="28" bestFit="1" customWidth="1"/>
    <col min="11531" max="11531" width="8.7265625" style="28" bestFit="1" customWidth="1"/>
    <col min="11532" max="11532" width="9.6328125" style="28" bestFit="1" customWidth="1"/>
    <col min="11533" max="11533" width="12" style="28" bestFit="1" customWidth="1"/>
    <col min="11534" max="11545" width="8.7265625" style="28" bestFit="1" customWidth="1"/>
    <col min="11546" max="11546" width="9.6328125" style="28" bestFit="1" customWidth="1"/>
    <col min="11547" max="11547" width="12" style="28" bestFit="1" customWidth="1"/>
    <col min="11548" max="11548" width="11.81640625" style="28" bestFit="1" customWidth="1"/>
    <col min="11549" max="11549" width="13.7265625" style="28" bestFit="1" customWidth="1"/>
    <col min="11550" max="11550" width="14.08984375" style="28" bestFit="1" customWidth="1"/>
    <col min="11551" max="11551" width="9.08984375" style="28"/>
    <col min="11552" max="11552" width="25.26953125" style="28" bestFit="1" customWidth="1"/>
    <col min="11553" max="11553" width="4.7265625" style="28" bestFit="1" customWidth="1"/>
    <col min="11554" max="11554" width="1.36328125" style="28" bestFit="1" customWidth="1"/>
    <col min="11555" max="11555" width="4.26953125" style="28" bestFit="1" customWidth="1"/>
    <col min="11556" max="11556" width="1.36328125" style="28" bestFit="1" customWidth="1"/>
    <col min="11557" max="11557" width="5.6328125" style="28" bestFit="1" customWidth="1"/>
    <col min="11558" max="11558" width="1.36328125" style="28" bestFit="1" customWidth="1"/>
    <col min="11559" max="11559" width="6.81640625" style="28" bestFit="1" customWidth="1"/>
    <col min="11560" max="11560" width="13.08984375" style="28" bestFit="1" customWidth="1"/>
    <col min="11561" max="11776" width="9.08984375" style="28"/>
    <col min="11777" max="11777" width="2.81640625" style="28" bestFit="1" customWidth="1"/>
    <col min="11778" max="11778" width="6.81640625" style="28" bestFit="1" customWidth="1"/>
    <col min="11779" max="11779" width="4.36328125" style="28" bestFit="1" customWidth="1"/>
    <col min="11780" max="11780" width="5.6328125" style="28" bestFit="1" customWidth="1"/>
    <col min="11781" max="11781" width="4" style="28" bestFit="1" customWidth="1"/>
    <col min="11782" max="11782" width="5.6328125" style="28" bestFit="1" customWidth="1"/>
    <col min="11783" max="11783" width="9.26953125" style="28" bestFit="1" customWidth="1"/>
    <col min="11784" max="11784" width="1.81640625" style="28" bestFit="1" customWidth="1"/>
    <col min="11785" max="11785" width="6.81640625" style="28" bestFit="1" customWidth="1"/>
    <col min="11786" max="11786" width="10.81640625" style="28" bestFit="1" customWidth="1"/>
    <col min="11787" max="11787" width="8.7265625" style="28" bestFit="1" customWidth="1"/>
    <col min="11788" max="11788" width="9.6328125" style="28" bestFit="1" customWidth="1"/>
    <col min="11789" max="11789" width="12" style="28" bestFit="1" customWidth="1"/>
    <col min="11790" max="11801" width="8.7265625" style="28" bestFit="1" customWidth="1"/>
    <col min="11802" max="11802" width="9.6328125" style="28" bestFit="1" customWidth="1"/>
    <col min="11803" max="11803" width="12" style="28" bestFit="1" customWidth="1"/>
    <col min="11804" max="11804" width="11.81640625" style="28" bestFit="1" customWidth="1"/>
    <col min="11805" max="11805" width="13.7265625" style="28" bestFit="1" customWidth="1"/>
    <col min="11806" max="11806" width="14.08984375" style="28" bestFit="1" customWidth="1"/>
    <col min="11807" max="11807" width="9.08984375" style="28"/>
    <col min="11808" max="11808" width="25.26953125" style="28" bestFit="1" customWidth="1"/>
    <col min="11809" max="11809" width="4.7265625" style="28" bestFit="1" customWidth="1"/>
    <col min="11810" max="11810" width="1.36328125" style="28" bestFit="1" customWidth="1"/>
    <col min="11811" max="11811" width="4.26953125" style="28" bestFit="1" customWidth="1"/>
    <col min="11812" max="11812" width="1.36328125" style="28" bestFit="1" customWidth="1"/>
    <col min="11813" max="11813" width="5.6328125" style="28" bestFit="1" customWidth="1"/>
    <col min="11814" max="11814" width="1.36328125" style="28" bestFit="1" customWidth="1"/>
    <col min="11815" max="11815" width="6.81640625" style="28" bestFit="1" customWidth="1"/>
    <col min="11816" max="11816" width="13.08984375" style="28" bestFit="1" customWidth="1"/>
    <col min="11817" max="12032" width="9.08984375" style="28"/>
    <col min="12033" max="12033" width="2.81640625" style="28" bestFit="1" customWidth="1"/>
    <col min="12034" max="12034" width="6.81640625" style="28" bestFit="1" customWidth="1"/>
    <col min="12035" max="12035" width="4.36328125" style="28" bestFit="1" customWidth="1"/>
    <col min="12036" max="12036" width="5.6328125" style="28" bestFit="1" customWidth="1"/>
    <col min="12037" max="12037" width="4" style="28" bestFit="1" customWidth="1"/>
    <col min="12038" max="12038" width="5.6328125" style="28" bestFit="1" customWidth="1"/>
    <col min="12039" max="12039" width="9.26953125" style="28" bestFit="1" customWidth="1"/>
    <col min="12040" max="12040" width="1.81640625" style="28" bestFit="1" customWidth="1"/>
    <col min="12041" max="12041" width="6.81640625" style="28" bestFit="1" customWidth="1"/>
    <col min="12042" max="12042" width="10.81640625" style="28" bestFit="1" customWidth="1"/>
    <col min="12043" max="12043" width="8.7265625" style="28" bestFit="1" customWidth="1"/>
    <col min="12044" max="12044" width="9.6328125" style="28" bestFit="1" customWidth="1"/>
    <col min="12045" max="12045" width="12" style="28" bestFit="1" customWidth="1"/>
    <col min="12046" max="12057" width="8.7265625" style="28" bestFit="1" customWidth="1"/>
    <col min="12058" max="12058" width="9.6328125" style="28" bestFit="1" customWidth="1"/>
    <col min="12059" max="12059" width="12" style="28" bestFit="1" customWidth="1"/>
    <col min="12060" max="12060" width="11.81640625" style="28" bestFit="1" customWidth="1"/>
    <col min="12061" max="12061" width="13.7265625" style="28" bestFit="1" customWidth="1"/>
    <col min="12062" max="12062" width="14.08984375" style="28" bestFit="1" customWidth="1"/>
    <col min="12063" max="12063" width="9.08984375" style="28"/>
    <col min="12064" max="12064" width="25.26953125" style="28" bestFit="1" customWidth="1"/>
    <col min="12065" max="12065" width="4.7265625" style="28" bestFit="1" customWidth="1"/>
    <col min="12066" max="12066" width="1.36328125" style="28" bestFit="1" customWidth="1"/>
    <col min="12067" max="12067" width="4.26953125" style="28" bestFit="1" customWidth="1"/>
    <col min="12068" max="12068" width="1.36328125" style="28" bestFit="1" customWidth="1"/>
    <col min="12069" max="12069" width="5.6328125" style="28" bestFit="1" customWidth="1"/>
    <col min="12070" max="12070" width="1.36328125" style="28" bestFit="1" customWidth="1"/>
    <col min="12071" max="12071" width="6.81640625" style="28" bestFit="1" customWidth="1"/>
    <col min="12072" max="12072" width="13.08984375" style="28" bestFit="1" customWidth="1"/>
    <col min="12073" max="12288" width="9.08984375" style="28"/>
    <col min="12289" max="12289" width="2.81640625" style="28" bestFit="1" customWidth="1"/>
    <col min="12290" max="12290" width="6.81640625" style="28" bestFit="1" customWidth="1"/>
    <col min="12291" max="12291" width="4.36328125" style="28" bestFit="1" customWidth="1"/>
    <col min="12292" max="12292" width="5.6328125" style="28" bestFit="1" customWidth="1"/>
    <col min="12293" max="12293" width="4" style="28" bestFit="1" customWidth="1"/>
    <col min="12294" max="12294" width="5.6328125" style="28" bestFit="1" customWidth="1"/>
    <col min="12295" max="12295" width="9.26953125" style="28" bestFit="1" customWidth="1"/>
    <col min="12296" max="12296" width="1.81640625" style="28" bestFit="1" customWidth="1"/>
    <col min="12297" max="12297" width="6.81640625" style="28" bestFit="1" customWidth="1"/>
    <col min="12298" max="12298" width="10.81640625" style="28" bestFit="1" customWidth="1"/>
    <col min="12299" max="12299" width="8.7265625" style="28" bestFit="1" customWidth="1"/>
    <col min="12300" max="12300" width="9.6328125" style="28" bestFit="1" customWidth="1"/>
    <col min="12301" max="12301" width="12" style="28" bestFit="1" customWidth="1"/>
    <col min="12302" max="12313" width="8.7265625" style="28" bestFit="1" customWidth="1"/>
    <col min="12314" max="12314" width="9.6328125" style="28" bestFit="1" customWidth="1"/>
    <col min="12315" max="12315" width="12" style="28" bestFit="1" customWidth="1"/>
    <col min="12316" max="12316" width="11.81640625" style="28" bestFit="1" customWidth="1"/>
    <col min="12317" max="12317" width="13.7265625" style="28" bestFit="1" customWidth="1"/>
    <col min="12318" max="12318" width="14.08984375" style="28" bestFit="1" customWidth="1"/>
    <col min="12319" max="12319" width="9.08984375" style="28"/>
    <col min="12320" max="12320" width="25.26953125" style="28" bestFit="1" customWidth="1"/>
    <col min="12321" max="12321" width="4.7265625" style="28" bestFit="1" customWidth="1"/>
    <col min="12322" max="12322" width="1.36328125" style="28" bestFit="1" customWidth="1"/>
    <col min="12323" max="12323" width="4.26953125" style="28" bestFit="1" customWidth="1"/>
    <col min="12324" max="12324" width="1.36328125" style="28" bestFit="1" customWidth="1"/>
    <col min="12325" max="12325" width="5.6328125" style="28" bestFit="1" customWidth="1"/>
    <col min="12326" max="12326" width="1.36328125" style="28" bestFit="1" customWidth="1"/>
    <col min="12327" max="12327" width="6.81640625" style="28" bestFit="1" customWidth="1"/>
    <col min="12328" max="12328" width="13.08984375" style="28" bestFit="1" customWidth="1"/>
    <col min="12329" max="12544" width="9.08984375" style="28"/>
    <col min="12545" max="12545" width="2.81640625" style="28" bestFit="1" customWidth="1"/>
    <col min="12546" max="12546" width="6.81640625" style="28" bestFit="1" customWidth="1"/>
    <col min="12547" max="12547" width="4.36328125" style="28" bestFit="1" customWidth="1"/>
    <col min="12548" max="12548" width="5.6328125" style="28" bestFit="1" customWidth="1"/>
    <col min="12549" max="12549" width="4" style="28" bestFit="1" customWidth="1"/>
    <col min="12550" max="12550" width="5.6328125" style="28" bestFit="1" customWidth="1"/>
    <col min="12551" max="12551" width="9.26953125" style="28" bestFit="1" customWidth="1"/>
    <col min="12552" max="12552" width="1.81640625" style="28" bestFit="1" customWidth="1"/>
    <col min="12553" max="12553" width="6.81640625" style="28" bestFit="1" customWidth="1"/>
    <col min="12554" max="12554" width="10.81640625" style="28" bestFit="1" customWidth="1"/>
    <col min="12555" max="12555" width="8.7265625" style="28" bestFit="1" customWidth="1"/>
    <col min="12556" max="12556" width="9.6328125" style="28" bestFit="1" customWidth="1"/>
    <col min="12557" max="12557" width="12" style="28" bestFit="1" customWidth="1"/>
    <col min="12558" max="12569" width="8.7265625" style="28" bestFit="1" customWidth="1"/>
    <col min="12570" max="12570" width="9.6328125" style="28" bestFit="1" customWidth="1"/>
    <col min="12571" max="12571" width="12" style="28" bestFit="1" customWidth="1"/>
    <col min="12572" max="12572" width="11.81640625" style="28" bestFit="1" customWidth="1"/>
    <col min="12573" max="12573" width="13.7265625" style="28" bestFit="1" customWidth="1"/>
    <col min="12574" max="12574" width="14.08984375" style="28" bestFit="1" customWidth="1"/>
    <col min="12575" max="12575" width="9.08984375" style="28"/>
    <col min="12576" max="12576" width="25.26953125" style="28" bestFit="1" customWidth="1"/>
    <col min="12577" max="12577" width="4.7265625" style="28" bestFit="1" customWidth="1"/>
    <col min="12578" max="12578" width="1.36328125" style="28" bestFit="1" customWidth="1"/>
    <col min="12579" max="12579" width="4.26953125" style="28" bestFit="1" customWidth="1"/>
    <col min="12580" max="12580" width="1.36328125" style="28" bestFit="1" customWidth="1"/>
    <col min="12581" max="12581" width="5.6328125" style="28" bestFit="1" customWidth="1"/>
    <col min="12582" max="12582" width="1.36328125" style="28" bestFit="1" customWidth="1"/>
    <col min="12583" max="12583" width="6.81640625" style="28" bestFit="1" customWidth="1"/>
    <col min="12584" max="12584" width="13.08984375" style="28" bestFit="1" customWidth="1"/>
    <col min="12585" max="12800" width="9.08984375" style="28"/>
    <col min="12801" max="12801" width="2.81640625" style="28" bestFit="1" customWidth="1"/>
    <col min="12802" max="12802" width="6.81640625" style="28" bestFit="1" customWidth="1"/>
    <col min="12803" max="12803" width="4.36328125" style="28" bestFit="1" customWidth="1"/>
    <col min="12804" max="12804" width="5.6328125" style="28" bestFit="1" customWidth="1"/>
    <col min="12805" max="12805" width="4" style="28" bestFit="1" customWidth="1"/>
    <col min="12806" max="12806" width="5.6328125" style="28" bestFit="1" customWidth="1"/>
    <col min="12807" max="12807" width="9.26953125" style="28" bestFit="1" customWidth="1"/>
    <col min="12808" max="12808" width="1.81640625" style="28" bestFit="1" customWidth="1"/>
    <col min="12809" max="12809" width="6.81640625" style="28" bestFit="1" customWidth="1"/>
    <col min="12810" max="12810" width="10.81640625" style="28" bestFit="1" customWidth="1"/>
    <col min="12811" max="12811" width="8.7265625" style="28" bestFit="1" customWidth="1"/>
    <col min="12812" max="12812" width="9.6328125" style="28" bestFit="1" customWidth="1"/>
    <col min="12813" max="12813" width="12" style="28" bestFit="1" customWidth="1"/>
    <col min="12814" max="12825" width="8.7265625" style="28" bestFit="1" customWidth="1"/>
    <col min="12826" max="12826" width="9.6328125" style="28" bestFit="1" customWidth="1"/>
    <col min="12827" max="12827" width="12" style="28" bestFit="1" customWidth="1"/>
    <col min="12828" max="12828" width="11.81640625" style="28" bestFit="1" customWidth="1"/>
    <col min="12829" max="12829" width="13.7265625" style="28" bestFit="1" customWidth="1"/>
    <col min="12830" max="12830" width="14.08984375" style="28" bestFit="1" customWidth="1"/>
    <col min="12831" max="12831" width="9.08984375" style="28"/>
    <col min="12832" max="12832" width="25.26953125" style="28" bestFit="1" customWidth="1"/>
    <col min="12833" max="12833" width="4.7265625" style="28" bestFit="1" customWidth="1"/>
    <col min="12834" max="12834" width="1.36328125" style="28" bestFit="1" customWidth="1"/>
    <col min="12835" max="12835" width="4.26953125" style="28" bestFit="1" customWidth="1"/>
    <col min="12836" max="12836" width="1.36328125" style="28" bestFit="1" customWidth="1"/>
    <col min="12837" max="12837" width="5.6328125" style="28" bestFit="1" customWidth="1"/>
    <col min="12838" max="12838" width="1.36328125" style="28" bestFit="1" customWidth="1"/>
    <col min="12839" max="12839" width="6.81640625" style="28" bestFit="1" customWidth="1"/>
    <col min="12840" max="12840" width="13.08984375" style="28" bestFit="1" customWidth="1"/>
    <col min="12841" max="13056" width="9.08984375" style="28"/>
    <col min="13057" max="13057" width="2.81640625" style="28" bestFit="1" customWidth="1"/>
    <col min="13058" max="13058" width="6.81640625" style="28" bestFit="1" customWidth="1"/>
    <col min="13059" max="13059" width="4.36328125" style="28" bestFit="1" customWidth="1"/>
    <col min="13060" max="13060" width="5.6328125" style="28" bestFit="1" customWidth="1"/>
    <col min="13061" max="13061" width="4" style="28" bestFit="1" customWidth="1"/>
    <col min="13062" max="13062" width="5.6328125" style="28" bestFit="1" customWidth="1"/>
    <col min="13063" max="13063" width="9.26953125" style="28" bestFit="1" customWidth="1"/>
    <col min="13064" max="13064" width="1.81640625" style="28" bestFit="1" customWidth="1"/>
    <col min="13065" max="13065" width="6.81640625" style="28" bestFit="1" customWidth="1"/>
    <col min="13066" max="13066" width="10.81640625" style="28" bestFit="1" customWidth="1"/>
    <col min="13067" max="13067" width="8.7265625" style="28" bestFit="1" customWidth="1"/>
    <col min="13068" max="13068" width="9.6328125" style="28" bestFit="1" customWidth="1"/>
    <col min="13069" max="13069" width="12" style="28" bestFit="1" customWidth="1"/>
    <col min="13070" max="13081" width="8.7265625" style="28" bestFit="1" customWidth="1"/>
    <col min="13082" max="13082" width="9.6328125" style="28" bestFit="1" customWidth="1"/>
    <col min="13083" max="13083" width="12" style="28" bestFit="1" customWidth="1"/>
    <col min="13084" max="13084" width="11.81640625" style="28" bestFit="1" customWidth="1"/>
    <col min="13085" max="13085" width="13.7265625" style="28" bestFit="1" customWidth="1"/>
    <col min="13086" max="13086" width="14.08984375" style="28" bestFit="1" customWidth="1"/>
    <col min="13087" max="13087" width="9.08984375" style="28"/>
    <col min="13088" max="13088" width="25.26953125" style="28" bestFit="1" customWidth="1"/>
    <col min="13089" max="13089" width="4.7265625" style="28" bestFit="1" customWidth="1"/>
    <col min="13090" max="13090" width="1.36328125" style="28" bestFit="1" customWidth="1"/>
    <col min="13091" max="13091" width="4.26953125" style="28" bestFit="1" customWidth="1"/>
    <col min="13092" max="13092" width="1.36328125" style="28" bestFit="1" customWidth="1"/>
    <col min="13093" max="13093" width="5.6328125" style="28" bestFit="1" customWidth="1"/>
    <col min="13094" max="13094" width="1.36328125" style="28" bestFit="1" customWidth="1"/>
    <col min="13095" max="13095" width="6.81640625" style="28" bestFit="1" customWidth="1"/>
    <col min="13096" max="13096" width="13.08984375" style="28" bestFit="1" customWidth="1"/>
    <col min="13097" max="13312" width="9.08984375" style="28"/>
    <col min="13313" max="13313" width="2.81640625" style="28" bestFit="1" customWidth="1"/>
    <col min="13314" max="13314" width="6.81640625" style="28" bestFit="1" customWidth="1"/>
    <col min="13315" max="13315" width="4.36328125" style="28" bestFit="1" customWidth="1"/>
    <col min="13316" max="13316" width="5.6328125" style="28" bestFit="1" customWidth="1"/>
    <col min="13317" max="13317" width="4" style="28" bestFit="1" customWidth="1"/>
    <col min="13318" max="13318" width="5.6328125" style="28" bestFit="1" customWidth="1"/>
    <col min="13319" max="13319" width="9.26953125" style="28" bestFit="1" customWidth="1"/>
    <col min="13320" max="13320" width="1.81640625" style="28" bestFit="1" customWidth="1"/>
    <col min="13321" max="13321" width="6.81640625" style="28" bestFit="1" customWidth="1"/>
    <col min="13322" max="13322" width="10.81640625" style="28" bestFit="1" customWidth="1"/>
    <col min="13323" max="13323" width="8.7265625" style="28" bestFit="1" customWidth="1"/>
    <col min="13324" max="13324" width="9.6328125" style="28" bestFit="1" customWidth="1"/>
    <col min="13325" max="13325" width="12" style="28" bestFit="1" customWidth="1"/>
    <col min="13326" max="13337" width="8.7265625" style="28" bestFit="1" customWidth="1"/>
    <col min="13338" max="13338" width="9.6328125" style="28" bestFit="1" customWidth="1"/>
    <col min="13339" max="13339" width="12" style="28" bestFit="1" customWidth="1"/>
    <col min="13340" max="13340" width="11.81640625" style="28" bestFit="1" customWidth="1"/>
    <col min="13341" max="13341" width="13.7265625" style="28" bestFit="1" customWidth="1"/>
    <col min="13342" max="13342" width="14.08984375" style="28" bestFit="1" customWidth="1"/>
    <col min="13343" max="13343" width="9.08984375" style="28"/>
    <col min="13344" max="13344" width="25.26953125" style="28" bestFit="1" customWidth="1"/>
    <col min="13345" max="13345" width="4.7265625" style="28" bestFit="1" customWidth="1"/>
    <col min="13346" max="13346" width="1.36328125" style="28" bestFit="1" customWidth="1"/>
    <col min="13347" max="13347" width="4.26953125" style="28" bestFit="1" customWidth="1"/>
    <col min="13348" max="13348" width="1.36328125" style="28" bestFit="1" customWidth="1"/>
    <col min="13349" max="13349" width="5.6328125" style="28" bestFit="1" customWidth="1"/>
    <col min="13350" max="13350" width="1.36328125" style="28" bestFit="1" customWidth="1"/>
    <col min="13351" max="13351" width="6.81640625" style="28" bestFit="1" customWidth="1"/>
    <col min="13352" max="13352" width="13.08984375" style="28" bestFit="1" customWidth="1"/>
    <col min="13353" max="13568" width="9.08984375" style="28"/>
    <col min="13569" max="13569" width="2.81640625" style="28" bestFit="1" customWidth="1"/>
    <col min="13570" max="13570" width="6.81640625" style="28" bestFit="1" customWidth="1"/>
    <col min="13571" max="13571" width="4.36328125" style="28" bestFit="1" customWidth="1"/>
    <col min="13572" max="13572" width="5.6328125" style="28" bestFit="1" customWidth="1"/>
    <col min="13573" max="13573" width="4" style="28" bestFit="1" customWidth="1"/>
    <col min="13574" max="13574" width="5.6328125" style="28" bestFit="1" customWidth="1"/>
    <col min="13575" max="13575" width="9.26953125" style="28" bestFit="1" customWidth="1"/>
    <col min="13576" max="13576" width="1.81640625" style="28" bestFit="1" customWidth="1"/>
    <col min="13577" max="13577" width="6.81640625" style="28" bestFit="1" customWidth="1"/>
    <col min="13578" max="13578" width="10.81640625" style="28" bestFit="1" customWidth="1"/>
    <col min="13579" max="13579" width="8.7265625" style="28" bestFit="1" customWidth="1"/>
    <col min="13580" max="13580" width="9.6328125" style="28" bestFit="1" customWidth="1"/>
    <col min="13581" max="13581" width="12" style="28" bestFit="1" customWidth="1"/>
    <col min="13582" max="13593" width="8.7265625" style="28" bestFit="1" customWidth="1"/>
    <col min="13594" max="13594" width="9.6328125" style="28" bestFit="1" customWidth="1"/>
    <col min="13595" max="13595" width="12" style="28" bestFit="1" customWidth="1"/>
    <col min="13596" max="13596" width="11.81640625" style="28" bestFit="1" customWidth="1"/>
    <col min="13597" max="13597" width="13.7265625" style="28" bestFit="1" customWidth="1"/>
    <col min="13598" max="13598" width="14.08984375" style="28" bestFit="1" customWidth="1"/>
    <col min="13599" max="13599" width="9.08984375" style="28"/>
    <col min="13600" max="13600" width="25.26953125" style="28" bestFit="1" customWidth="1"/>
    <col min="13601" max="13601" width="4.7265625" style="28" bestFit="1" customWidth="1"/>
    <col min="13602" max="13602" width="1.36328125" style="28" bestFit="1" customWidth="1"/>
    <col min="13603" max="13603" width="4.26953125" style="28" bestFit="1" customWidth="1"/>
    <col min="13604" max="13604" width="1.36328125" style="28" bestFit="1" customWidth="1"/>
    <col min="13605" max="13605" width="5.6328125" style="28" bestFit="1" customWidth="1"/>
    <col min="13606" max="13606" width="1.36328125" style="28" bestFit="1" customWidth="1"/>
    <col min="13607" max="13607" width="6.81640625" style="28" bestFit="1" customWidth="1"/>
    <col min="13608" max="13608" width="13.08984375" style="28" bestFit="1" customWidth="1"/>
    <col min="13609" max="13824" width="9.08984375" style="28"/>
    <col min="13825" max="13825" width="2.81640625" style="28" bestFit="1" customWidth="1"/>
    <col min="13826" max="13826" width="6.81640625" style="28" bestFit="1" customWidth="1"/>
    <col min="13827" max="13827" width="4.36328125" style="28" bestFit="1" customWidth="1"/>
    <col min="13828" max="13828" width="5.6328125" style="28" bestFit="1" customWidth="1"/>
    <col min="13829" max="13829" width="4" style="28" bestFit="1" customWidth="1"/>
    <col min="13830" max="13830" width="5.6328125" style="28" bestFit="1" customWidth="1"/>
    <col min="13831" max="13831" width="9.26953125" style="28" bestFit="1" customWidth="1"/>
    <col min="13832" max="13832" width="1.81640625" style="28" bestFit="1" customWidth="1"/>
    <col min="13833" max="13833" width="6.81640625" style="28" bestFit="1" customWidth="1"/>
    <col min="13834" max="13834" width="10.81640625" style="28" bestFit="1" customWidth="1"/>
    <col min="13835" max="13835" width="8.7265625" style="28" bestFit="1" customWidth="1"/>
    <col min="13836" max="13836" width="9.6328125" style="28" bestFit="1" customWidth="1"/>
    <col min="13837" max="13837" width="12" style="28" bestFit="1" customWidth="1"/>
    <col min="13838" max="13849" width="8.7265625" style="28" bestFit="1" customWidth="1"/>
    <col min="13850" max="13850" width="9.6328125" style="28" bestFit="1" customWidth="1"/>
    <col min="13851" max="13851" width="12" style="28" bestFit="1" customWidth="1"/>
    <col min="13852" max="13852" width="11.81640625" style="28" bestFit="1" customWidth="1"/>
    <col min="13853" max="13853" width="13.7265625" style="28" bestFit="1" customWidth="1"/>
    <col min="13854" max="13854" width="14.08984375" style="28" bestFit="1" customWidth="1"/>
    <col min="13855" max="13855" width="9.08984375" style="28"/>
    <col min="13856" max="13856" width="25.26953125" style="28" bestFit="1" customWidth="1"/>
    <col min="13857" max="13857" width="4.7265625" style="28" bestFit="1" customWidth="1"/>
    <col min="13858" max="13858" width="1.36328125" style="28" bestFit="1" customWidth="1"/>
    <col min="13859" max="13859" width="4.26953125" style="28" bestFit="1" customWidth="1"/>
    <col min="13860" max="13860" width="1.36328125" style="28" bestFit="1" customWidth="1"/>
    <col min="13861" max="13861" width="5.6328125" style="28" bestFit="1" customWidth="1"/>
    <col min="13862" max="13862" width="1.36328125" style="28" bestFit="1" customWidth="1"/>
    <col min="13863" max="13863" width="6.81640625" style="28" bestFit="1" customWidth="1"/>
    <col min="13864" max="13864" width="13.08984375" style="28" bestFit="1" customWidth="1"/>
    <col min="13865" max="14080" width="9.08984375" style="28"/>
    <col min="14081" max="14081" width="2.81640625" style="28" bestFit="1" customWidth="1"/>
    <col min="14082" max="14082" width="6.81640625" style="28" bestFit="1" customWidth="1"/>
    <col min="14083" max="14083" width="4.36328125" style="28" bestFit="1" customWidth="1"/>
    <col min="14084" max="14084" width="5.6328125" style="28" bestFit="1" customWidth="1"/>
    <col min="14085" max="14085" width="4" style="28" bestFit="1" customWidth="1"/>
    <col min="14086" max="14086" width="5.6328125" style="28" bestFit="1" customWidth="1"/>
    <col min="14087" max="14087" width="9.26953125" style="28" bestFit="1" customWidth="1"/>
    <col min="14088" max="14088" width="1.81640625" style="28" bestFit="1" customWidth="1"/>
    <col min="14089" max="14089" width="6.81640625" style="28" bestFit="1" customWidth="1"/>
    <col min="14090" max="14090" width="10.81640625" style="28" bestFit="1" customWidth="1"/>
    <col min="14091" max="14091" width="8.7265625" style="28" bestFit="1" customWidth="1"/>
    <col min="14092" max="14092" width="9.6328125" style="28" bestFit="1" customWidth="1"/>
    <col min="14093" max="14093" width="12" style="28" bestFit="1" customWidth="1"/>
    <col min="14094" max="14105" width="8.7265625" style="28" bestFit="1" customWidth="1"/>
    <col min="14106" max="14106" width="9.6328125" style="28" bestFit="1" customWidth="1"/>
    <col min="14107" max="14107" width="12" style="28" bestFit="1" customWidth="1"/>
    <col min="14108" max="14108" width="11.81640625" style="28" bestFit="1" customWidth="1"/>
    <col min="14109" max="14109" width="13.7265625" style="28" bestFit="1" customWidth="1"/>
    <col min="14110" max="14110" width="14.08984375" style="28" bestFit="1" customWidth="1"/>
    <col min="14111" max="14111" width="9.08984375" style="28"/>
    <col min="14112" max="14112" width="25.26953125" style="28" bestFit="1" customWidth="1"/>
    <col min="14113" max="14113" width="4.7265625" style="28" bestFit="1" customWidth="1"/>
    <col min="14114" max="14114" width="1.36328125" style="28" bestFit="1" customWidth="1"/>
    <col min="14115" max="14115" width="4.26953125" style="28" bestFit="1" customWidth="1"/>
    <col min="14116" max="14116" width="1.36328125" style="28" bestFit="1" customWidth="1"/>
    <col min="14117" max="14117" width="5.6328125" style="28" bestFit="1" customWidth="1"/>
    <col min="14118" max="14118" width="1.36328125" style="28" bestFit="1" customWidth="1"/>
    <col min="14119" max="14119" width="6.81640625" style="28" bestFit="1" customWidth="1"/>
    <col min="14120" max="14120" width="13.08984375" style="28" bestFit="1" customWidth="1"/>
    <col min="14121" max="14336" width="9.08984375" style="28"/>
    <col min="14337" max="14337" width="2.81640625" style="28" bestFit="1" customWidth="1"/>
    <col min="14338" max="14338" width="6.81640625" style="28" bestFit="1" customWidth="1"/>
    <col min="14339" max="14339" width="4.36328125" style="28" bestFit="1" customWidth="1"/>
    <col min="14340" max="14340" width="5.6328125" style="28" bestFit="1" customWidth="1"/>
    <col min="14341" max="14341" width="4" style="28" bestFit="1" customWidth="1"/>
    <col min="14342" max="14342" width="5.6328125" style="28" bestFit="1" customWidth="1"/>
    <col min="14343" max="14343" width="9.26953125" style="28" bestFit="1" customWidth="1"/>
    <col min="14344" max="14344" width="1.81640625" style="28" bestFit="1" customWidth="1"/>
    <col min="14345" max="14345" width="6.81640625" style="28" bestFit="1" customWidth="1"/>
    <col min="14346" max="14346" width="10.81640625" style="28" bestFit="1" customWidth="1"/>
    <col min="14347" max="14347" width="8.7265625" style="28" bestFit="1" customWidth="1"/>
    <col min="14348" max="14348" width="9.6328125" style="28" bestFit="1" customWidth="1"/>
    <col min="14349" max="14349" width="12" style="28" bestFit="1" customWidth="1"/>
    <col min="14350" max="14361" width="8.7265625" style="28" bestFit="1" customWidth="1"/>
    <col min="14362" max="14362" width="9.6328125" style="28" bestFit="1" customWidth="1"/>
    <col min="14363" max="14363" width="12" style="28" bestFit="1" customWidth="1"/>
    <col min="14364" max="14364" width="11.81640625" style="28" bestFit="1" customWidth="1"/>
    <col min="14365" max="14365" width="13.7265625" style="28" bestFit="1" customWidth="1"/>
    <col min="14366" max="14366" width="14.08984375" style="28" bestFit="1" customWidth="1"/>
    <col min="14367" max="14367" width="9.08984375" style="28"/>
    <col min="14368" max="14368" width="25.26953125" style="28" bestFit="1" customWidth="1"/>
    <col min="14369" max="14369" width="4.7265625" style="28" bestFit="1" customWidth="1"/>
    <col min="14370" max="14370" width="1.36328125" style="28" bestFit="1" customWidth="1"/>
    <col min="14371" max="14371" width="4.26953125" style="28" bestFit="1" customWidth="1"/>
    <col min="14372" max="14372" width="1.36328125" style="28" bestFit="1" customWidth="1"/>
    <col min="14373" max="14373" width="5.6328125" style="28" bestFit="1" customWidth="1"/>
    <col min="14374" max="14374" width="1.36328125" style="28" bestFit="1" customWidth="1"/>
    <col min="14375" max="14375" width="6.81640625" style="28" bestFit="1" customWidth="1"/>
    <col min="14376" max="14376" width="13.08984375" style="28" bestFit="1" customWidth="1"/>
    <col min="14377" max="14592" width="9.08984375" style="28"/>
    <col min="14593" max="14593" width="2.81640625" style="28" bestFit="1" customWidth="1"/>
    <col min="14594" max="14594" width="6.81640625" style="28" bestFit="1" customWidth="1"/>
    <col min="14595" max="14595" width="4.36328125" style="28" bestFit="1" customWidth="1"/>
    <col min="14596" max="14596" width="5.6328125" style="28" bestFit="1" customWidth="1"/>
    <col min="14597" max="14597" width="4" style="28" bestFit="1" customWidth="1"/>
    <col min="14598" max="14598" width="5.6328125" style="28" bestFit="1" customWidth="1"/>
    <col min="14599" max="14599" width="9.26953125" style="28" bestFit="1" customWidth="1"/>
    <col min="14600" max="14600" width="1.81640625" style="28" bestFit="1" customWidth="1"/>
    <col min="14601" max="14601" width="6.81640625" style="28" bestFit="1" customWidth="1"/>
    <col min="14602" max="14602" width="10.81640625" style="28" bestFit="1" customWidth="1"/>
    <col min="14603" max="14603" width="8.7265625" style="28" bestFit="1" customWidth="1"/>
    <col min="14604" max="14604" width="9.6328125" style="28" bestFit="1" customWidth="1"/>
    <col min="14605" max="14605" width="12" style="28" bestFit="1" customWidth="1"/>
    <col min="14606" max="14617" width="8.7265625" style="28" bestFit="1" customWidth="1"/>
    <col min="14618" max="14618" width="9.6328125" style="28" bestFit="1" customWidth="1"/>
    <col min="14619" max="14619" width="12" style="28" bestFit="1" customWidth="1"/>
    <col min="14620" max="14620" width="11.81640625" style="28" bestFit="1" customWidth="1"/>
    <col min="14621" max="14621" width="13.7265625" style="28" bestFit="1" customWidth="1"/>
    <col min="14622" max="14622" width="14.08984375" style="28" bestFit="1" customWidth="1"/>
    <col min="14623" max="14623" width="9.08984375" style="28"/>
    <col min="14624" max="14624" width="25.26953125" style="28" bestFit="1" customWidth="1"/>
    <col min="14625" max="14625" width="4.7265625" style="28" bestFit="1" customWidth="1"/>
    <col min="14626" max="14626" width="1.36328125" style="28" bestFit="1" customWidth="1"/>
    <col min="14627" max="14627" width="4.26953125" style="28" bestFit="1" customWidth="1"/>
    <col min="14628" max="14628" width="1.36328125" style="28" bestFit="1" customWidth="1"/>
    <col min="14629" max="14629" width="5.6328125" style="28" bestFit="1" customWidth="1"/>
    <col min="14630" max="14630" width="1.36328125" style="28" bestFit="1" customWidth="1"/>
    <col min="14631" max="14631" width="6.81640625" style="28" bestFit="1" customWidth="1"/>
    <col min="14632" max="14632" width="13.08984375" style="28" bestFit="1" customWidth="1"/>
    <col min="14633" max="14848" width="9.08984375" style="28"/>
    <col min="14849" max="14849" width="2.81640625" style="28" bestFit="1" customWidth="1"/>
    <col min="14850" max="14850" width="6.81640625" style="28" bestFit="1" customWidth="1"/>
    <col min="14851" max="14851" width="4.36328125" style="28" bestFit="1" customWidth="1"/>
    <col min="14852" max="14852" width="5.6328125" style="28" bestFit="1" customWidth="1"/>
    <col min="14853" max="14853" width="4" style="28" bestFit="1" customWidth="1"/>
    <col min="14854" max="14854" width="5.6328125" style="28" bestFit="1" customWidth="1"/>
    <col min="14855" max="14855" width="9.26953125" style="28" bestFit="1" customWidth="1"/>
    <col min="14856" max="14856" width="1.81640625" style="28" bestFit="1" customWidth="1"/>
    <col min="14857" max="14857" width="6.81640625" style="28" bestFit="1" customWidth="1"/>
    <col min="14858" max="14858" width="10.81640625" style="28" bestFit="1" customWidth="1"/>
    <col min="14859" max="14859" width="8.7265625" style="28" bestFit="1" customWidth="1"/>
    <col min="14860" max="14860" width="9.6328125" style="28" bestFit="1" customWidth="1"/>
    <col min="14861" max="14861" width="12" style="28" bestFit="1" customWidth="1"/>
    <col min="14862" max="14873" width="8.7265625" style="28" bestFit="1" customWidth="1"/>
    <col min="14874" max="14874" width="9.6328125" style="28" bestFit="1" customWidth="1"/>
    <col min="14875" max="14875" width="12" style="28" bestFit="1" customWidth="1"/>
    <col min="14876" max="14876" width="11.81640625" style="28" bestFit="1" customWidth="1"/>
    <col min="14877" max="14877" width="13.7265625" style="28" bestFit="1" customWidth="1"/>
    <col min="14878" max="14878" width="14.08984375" style="28" bestFit="1" customWidth="1"/>
    <col min="14879" max="14879" width="9.08984375" style="28"/>
    <col min="14880" max="14880" width="25.26953125" style="28" bestFit="1" customWidth="1"/>
    <col min="14881" max="14881" width="4.7265625" style="28" bestFit="1" customWidth="1"/>
    <col min="14882" max="14882" width="1.36328125" style="28" bestFit="1" customWidth="1"/>
    <col min="14883" max="14883" width="4.26953125" style="28" bestFit="1" customWidth="1"/>
    <col min="14884" max="14884" width="1.36328125" style="28" bestFit="1" customWidth="1"/>
    <col min="14885" max="14885" width="5.6328125" style="28" bestFit="1" customWidth="1"/>
    <col min="14886" max="14886" width="1.36328125" style="28" bestFit="1" customWidth="1"/>
    <col min="14887" max="14887" width="6.81640625" style="28" bestFit="1" customWidth="1"/>
    <col min="14888" max="14888" width="13.08984375" style="28" bestFit="1" customWidth="1"/>
    <col min="14889" max="15104" width="9.08984375" style="28"/>
    <col min="15105" max="15105" width="2.81640625" style="28" bestFit="1" customWidth="1"/>
    <col min="15106" max="15106" width="6.81640625" style="28" bestFit="1" customWidth="1"/>
    <col min="15107" max="15107" width="4.36328125" style="28" bestFit="1" customWidth="1"/>
    <col min="15108" max="15108" width="5.6328125" style="28" bestFit="1" customWidth="1"/>
    <col min="15109" max="15109" width="4" style="28" bestFit="1" customWidth="1"/>
    <col min="15110" max="15110" width="5.6328125" style="28" bestFit="1" customWidth="1"/>
    <col min="15111" max="15111" width="9.26953125" style="28" bestFit="1" customWidth="1"/>
    <col min="15112" max="15112" width="1.81640625" style="28" bestFit="1" customWidth="1"/>
    <col min="15113" max="15113" width="6.81640625" style="28" bestFit="1" customWidth="1"/>
    <col min="15114" max="15114" width="10.81640625" style="28" bestFit="1" customWidth="1"/>
    <col min="15115" max="15115" width="8.7265625" style="28" bestFit="1" customWidth="1"/>
    <col min="15116" max="15116" width="9.6328125" style="28" bestFit="1" customWidth="1"/>
    <col min="15117" max="15117" width="12" style="28" bestFit="1" customWidth="1"/>
    <col min="15118" max="15129" width="8.7265625" style="28" bestFit="1" customWidth="1"/>
    <col min="15130" max="15130" width="9.6328125" style="28" bestFit="1" customWidth="1"/>
    <col min="15131" max="15131" width="12" style="28" bestFit="1" customWidth="1"/>
    <col min="15132" max="15132" width="11.81640625" style="28" bestFit="1" customWidth="1"/>
    <col min="15133" max="15133" width="13.7265625" style="28" bestFit="1" customWidth="1"/>
    <col min="15134" max="15134" width="14.08984375" style="28" bestFit="1" customWidth="1"/>
    <col min="15135" max="15135" width="9.08984375" style="28"/>
    <col min="15136" max="15136" width="25.26953125" style="28" bestFit="1" customWidth="1"/>
    <col min="15137" max="15137" width="4.7265625" style="28" bestFit="1" customWidth="1"/>
    <col min="15138" max="15138" width="1.36328125" style="28" bestFit="1" customWidth="1"/>
    <col min="15139" max="15139" width="4.26953125" style="28" bestFit="1" customWidth="1"/>
    <col min="15140" max="15140" width="1.36328125" style="28" bestFit="1" customWidth="1"/>
    <col min="15141" max="15141" width="5.6328125" style="28" bestFit="1" customWidth="1"/>
    <col min="15142" max="15142" width="1.36328125" style="28" bestFit="1" customWidth="1"/>
    <col min="15143" max="15143" width="6.81640625" style="28" bestFit="1" customWidth="1"/>
    <col min="15144" max="15144" width="13.08984375" style="28" bestFit="1" customWidth="1"/>
    <col min="15145" max="15360" width="9.08984375" style="28"/>
    <col min="15361" max="15361" width="2.81640625" style="28" bestFit="1" customWidth="1"/>
    <col min="15362" max="15362" width="6.81640625" style="28" bestFit="1" customWidth="1"/>
    <col min="15363" max="15363" width="4.36328125" style="28" bestFit="1" customWidth="1"/>
    <col min="15364" max="15364" width="5.6328125" style="28" bestFit="1" customWidth="1"/>
    <col min="15365" max="15365" width="4" style="28" bestFit="1" customWidth="1"/>
    <col min="15366" max="15366" width="5.6328125" style="28" bestFit="1" customWidth="1"/>
    <col min="15367" max="15367" width="9.26953125" style="28" bestFit="1" customWidth="1"/>
    <col min="15368" max="15368" width="1.81640625" style="28" bestFit="1" customWidth="1"/>
    <col min="15369" max="15369" width="6.81640625" style="28" bestFit="1" customWidth="1"/>
    <col min="15370" max="15370" width="10.81640625" style="28" bestFit="1" customWidth="1"/>
    <col min="15371" max="15371" width="8.7265625" style="28" bestFit="1" customWidth="1"/>
    <col min="15372" max="15372" width="9.6328125" style="28" bestFit="1" customWidth="1"/>
    <col min="15373" max="15373" width="12" style="28" bestFit="1" customWidth="1"/>
    <col min="15374" max="15385" width="8.7265625" style="28" bestFit="1" customWidth="1"/>
    <col min="15386" max="15386" width="9.6328125" style="28" bestFit="1" customWidth="1"/>
    <col min="15387" max="15387" width="12" style="28" bestFit="1" customWidth="1"/>
    <col min="15388" max="15388" width="11.81640625" style="28" bestFit="1" customWidth="1"/>
    <col min="15389" max="15389" width="13.7265625" style="28" bestFit="1" customWidth="1"/>
    <col min="15390" max="15390" width="14.08984375" style="28" bestFit="1" customWidth="1"/>
    <col min="15391" max="15391" width="9.08984375" style="28"/>
    <col min="15392" max="15392" width="25.26953125" style="28" bestFit="1" customWidth="1"/>
    <col min="15393" max="15393" width="4.7265625" style="28" bestFit="1" customWidth="1"/>
    <col min="15394" max="15394" width="1.36328125" style="28" bestFit="1" customWidth="1"/>
    <col min="15395" max="15395" width="4.26953125" style="28" bestFit="1" customWidth="1"/>
    <col min="15396" max="15396" width="1.36328125" style="28" bestFit="1" customWidth="1"/>
    <col min="15397" max="15397" width="5.6328125" style="28" bestFit="1" customWidth="1"/>
    <col min="15398" max="15398" width="1.36328125" style="28" bestFit="1" customWidth="1"/>
    <col min="15399" max="15399" width="6.81640625" style="28" bestFit="1" customWidth="1"/>
    <col min="15400" max="15400" width="13.08984375" style="28" bestFit="1" customWidth="1"/>
    <col min="15401" max="15616" width="9.08984375" style="28"/>
    <col min="15617" max="15617" width="2.81640625" style="28" bestFit="1" customWidth="1"/>
    <col min="15618" max="15618" width="6.81640625" style="28" bestFit="1" customWidth="1"/>
    <col min="15619" max="15619" width="4.36328125" style="28" bestFit="1" customWidth="1"/>
    <col min="15620" max="15620" width="5.6328125" style="28" bestFit="1" customWidth="1"/>
    <col min="15621" max="15621" width="4" style="28" bestFit="1" customWidth="1"/>
    <col min="15622" max="15622" width="5.6328125" style="28" bestFit="1" customWidth="1"/>
    <col min="15623" max="15623" width="9.26953125" style="28" bestFit="1" customWidth="1"/>
    <col min="15624" max="15624" width="1.81640625" style="28" bestFit="1" customWidth="1"/>
    <col min="15625" max="15625" width="6.81640625" style="28" bestFit="1" customWidth="1"/>
    <col min="15626" max="15626" width="10.81640625" style="28" bestFit="1" customWidth="1"/>
    <col min="15627" max="15627" width="8.7265625" style="28" bestFit="1" customWidth="1"/>
    <col min="15628" max="15628" width="9.6328125" style="28" bestFit="1" customWidth="1"/>
    <col min="15629" max="15629" width="12" style="28" bestFit="1" customWidth="1"/>
    <col min="15630" max="15641" width="8.7265625" style="28" bestFit="1" customWidth="1"/>
    <col min="15642" max="15642" width="9.6328125" style="28" bestFit="1" customWidth="1"/>
    <col min="15643" max="15643" width="12" style="28" bestFit="1" customWidth="1"/>
    <col min="15644" max="15644" width="11.81640625" style="28" bestFit="1" customWidth="1"/>
    <col min="15645" max="15645" width="13.7265625" style="28" bestFit="1" customWidth="1"/>
    <col min="15646" max="15646" width="14.08984375" style="28" bestFit="1" customWidth="1"/>
    <col min="15647" max="15647" width="9.08984375" style="28"/>
    <col min="15648" max="15648" width="25.26953125" style="28" bestFit="1" customWidth="1"/>
    <col min="15649" max="15649" width="4.7265625" style="28" bestFit="1" customWidth="1"/>
    <col min="15650" max="15650" width="1.36328125" style="28" bestFit="1" customWidth="1"/>
    <col min="15651" max="15651" width="4.26953125" style="28" bestFit="1" customWidth="1"/>
    <col min="15652" max="15652" width="1.36328125" style="28" bestFit="1" customWidth="1"/>
    <col min="15653" max="15653" width="5.6328125" style="28" bestFit="1" customWidth="1"/>
    <col min="15654" max="15654" width="1.36328125" style="28" bestFit="1" customWidth="1"/>
    <col min="15655" max="15655" width="6.81640625" style="28" bestFit="1" customWidth="1"/>
    <col min="15656" max="15656" width="13.08984375" style="28" bestFit="1" customWidth="1"/>
    <col min="15657" max="15872" width="9.08984375" style="28"/>
    <col min="15873" max="15873" width="2.81640625" style="28" bestFit="1" customWidth="1"/>
    <col min="15874" max="15874" width="6.81640625" style="28" bestFit="1" customWidth="1"/>
    <col min="15875" max="15875" width="4.36328125" style="28" bestFit="1" customWidth="1"/>
    <col min="15876" max="15876" width="5.6328125" style="28" bestFit="1" customWidth="1"/>
    <col min="15877" max="15877" width="4" style="28" bestFit="1" customWidth="1"/>
    <col min="15878" max="15878" width="5.6328125" style="28" bestFit="1" customWidth="1"/>
    <col min="15879" max="15879" width="9.26953125" style="28" bestFit="1" customWidth="1"/>
    <col min="15880" max="15880" width="1.81640625" style="28" bestFit="1" customWidth="1"/>
    <col min="15881" max="15881" width="6.81640625" style="28" bestFit="1" customWidth="1"/>
    <col min="15882" max="15882" width="10.81640625" style="28" bestFit="1" customWidth="1"/>
    <col min="15883" max="15883" width="8.7265625" style="28" bestFit="1" customWidth="1"/>
    <col min="15884" max="15884" width="9.6328125" style="28" bestFit="1" customWidth="1"/>
    <col min="15885" max="15885" width="12" style="28" bestFit="1" customWidth="1"/>
    <col min="15886" max="15897" width="8.7265625" style="28" bestFit="1" customWidth="1"/>
    <col min="15898" max="15898" width="9.6328125" style="28" bestFit="1" customWidth="1"/>
    <col min="15899" max="15899" width="12" style="28" bestFit="1" customWidth="1"/>
    <col min="15900" max="15900" width="11.81640625" style="28" bestFit="1" customWidth="1"/>
    <col min="15901" max="15901" width="13.7265625" style="28" bestFit="1" customWidth="1"/>
    <col min="15902" max="15902" width="14.08984375" style="28" bestFit="1" customWidth="1"/>
    <col min="15903" max="15903" width="9.08984375" style="28"/>
    <col min="15904" max="15904" width="25.26953125" style="28" bestFit="1" customWidth="1"/>
    <col min="15905" max="15905" width="4.7265625" style="28" bestFit="1" customWidth="1"/>
    <col min="15906" max="15906" width="1.36328125" style="28" bestFit="1" customWidth="1"/>
    <col min="15907" max="15907" width="4.26953125" style="28" bestFit="1" customWidth="1"/>
    <col min="15908" max="15908" width="1.36328125" style="28" bestFit="1" customWidth="1"/>
    <col min="15909" max="15909" width="5.6328125" style="28" bestFit="1" customWidth="1"/>
    <col min="15910" max="15910" width="1.36328125" style="28" bestFit="1" customWidth="1"/>
    <col min="15911" max="15911" width="6.81640625" style="28" bestFit="1" customWidth="1"/>
    <col min="15912" max="15912" width="13.08984375" style="28" bestFit="1" customWidth="1"/>
    <col min="15913" max="16128" width="9.08984375" style="28"/>
    <col min="16129" max="16129" width="2.81640625" style="28" bestFit="1" customWidth="1"/>
    <col min="16130" max="16130" width="6.81640625" style="28" bestFit="1" customWidth="1"/>
    <col min="16131" max="16131" width="4.36328125" style="28" bestFit="1" customWidth="1"/>
    <col min="16132" max="16132" width="5.6328125" style="28" bestFit="1" customWidth="1"/>
    <col min="16133" max="16133" width="4" style="28" bestFit="1" customWidth="1"/>
    <col min="16134" max="16134" width="5.6328125" style="28" bestFit="1" customWidth="1"/>
    <col min="16135" max="16135" width="9.26953125" style="28" bestFit="1" customWidth="1"/>
    <col min="16136" max="16136" width="1.81640625" style="28" bestFit="1" customWidth="1"/>
    <col min="16137" max="16137" width="6.81640625" style="28" bestFit="1" customWidth="1"/>
    <col min="16138" max="16138" width="10.81640625" style="28" bestFit="1" customWidth="1"/>
    <col min="16139" max="16139" width="8.7265625" style="28" bestFit="1" customWidth="1"/>
    <col min="16140" max="16140" width="9.6328125" style="28" bestFit="1" customWidth="1"/>
    <col min="16141" max="16141" width="12" style="28" bestFit="1" customWidth="1"/>
    <col min="16142" max="16153" width="8.7265625" style="28" bestFit="1" customWidth="1"/>
    <col min="16154" max="16154" width="9.6328125" style="28" bestFit="1" customWidth="1"/>
    <col min="16155" max="16155" width="12" style="28" bestFit="1" customWidth="1"/>
    <col min="16156" max="16156" width="11.81640625" style="28" bestFit="1" customWidth="1"/>
    <col min="16157" max="16157" width="13.7265625" style="28" bestFit="1" customWidth="1"/>
    <col min="16158" max="16158" width="14.08984375" style="28" bestFit="1" customWidth="1"/>
    <col min="16159" max="16159" width="9.08984375" style="28"/>
    <col min="16160" max="16160" width="25.26953125" style="28" bestFit="1" customWidth="1"/>
    <col min="16161" max="16161" width="4.7265625" style="28" bestFit="1" customWidth="1"/>
    <col min="16162" max="16162" width="1.36328125" style="28" bestFit="1" customWidth="1"/>
    <col min="16163" max="16163" width="4.26953125" style="28" bestFit="1" customWidth="1"/>
    <col min="16164" max="16164" width="1.36328125" style="28" bestFit="1" customWidth="1"/>
    <col min="16165" max="16165" width="5.6328125" style="28" bestFit="1" customWidth="1"/>
    <col min="16166" max="16166" width="1.36328125" style="28" bestFit="1" customWidth="1"/>
    <col min="16167" max="16167" width="6.81640625" style="28" bestFit="1" customWidth="1"/>
    <col min="16168" max="16168" width="13.08984375" style="28" bestFit="1" customWidth="1"/>
    <col min="16169" max="16384" width="9.08984375" style="28"/>
  </cols>
  <sheetData>
    <row r="1" spans="1:40" x14ac:dyDescent="0.35">
      <c r="A1" s="28" t="s">
        <v>595</v>
      </c>
    </row>
    <row r="2" spans="1:40" x14ac:dyDescent="0.35">
      <c r="A2" s="28" t="s">
        <v>804</v>
      </c>
    </row>
    <row r="3" spans="1:40" x14ac:dyDescent="0.35">
      <c r="A3" s="28" t="s">
        <v>596</v>
      </c>
    </row>
    <row r="5" spans="1:40" s="135" customFormat="1" ht="15.75" customHeight="1" x14ac:dyDescent="0.35">
      <c r="A5" s="326" t="s">
        <v>673</v>
      </c>
      <c r="B5" s="326" t="s">
        <v>685</v>
      </c>
      <c r="C5" s="326" t="s">
        <v>686</v>
      </c>
      <c r="D5" s="326"/>
      <c r="E5" s="332" t="s">
        <v>687</v>
      </c>
      <c r="F5" s="332"/>
      <c r="G5" s="328" t="s">
        <v>600</v>
      </c>
      <c r="H5" s="330" t="s">
        <v>688</v>
      </c>
      <c r="I5" s="330"/>
      <c r="J5" s="324" t="s">
        <v>689</v>
      </c>
      <c r="K5" s="132" t="s">
        <v>690</v>
      </c>
      <c r="L5" s="132" t="s">
        <v>691</v>
      </c>
      <c r="M5" s="133" t="s">
        <v>692</v>
      </c>
      <c r="N5" s="325" t="s">
        <v>693</v>
      </c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134" t="s">
        <v>691</v>
      </c>
      <c r="AA5" s="133" t="s">
        <v>692</v>
      </c>
      <c r="AB5" s="340" t="s">
        <v>694</v>
      </c>
      <c r="AC5" s="326" t="s">
        <v>695</v>
      </c>
      <c r="AD5" s="343" t="s">
        <v>696</v>
      </c>
      <c r="AN5" s="231"/>
    </row>
    <row r="6" spans="1:40" s="135" customFormat="1" ht="15.75" customHeight="1" x14ac:dyDescent="0.35">
      <c r="A6" s="326"/>
      <c r="B6" s="326"/>
      <c r="C6" s="328" t="s">
        <v>697</v>
      </c>
      <c r="D6" s="136" t="s">
        <v>698</v>
      </c>
      <c r="E6" s="328" t="s">
        <v>697</v>
      </c>
      <c r="F6" s="136" t="s">
        <v>698</v>
      </c>
      <c r="G6" s="328"/>
      <c r="H6" s="330"/>
      <c r="I6" s="330"/>
      <c r="J6" s="324"/>
      <c r="K6" s="324" t="s">
        <v>699</v>
      </c>
      <c r="L6" s="324" t="s">
        <v>599</v>
      </c>
      <c r="M6" s="329">
        <v>41275</v>
      </c>
      <c r="N6" s="323">
        <v>41275</v>
      </c>
      <c r="O6" s="323">
        <v>41306</v>
      </c>
      <c r="P6" s="323">
        <v>41334</v>
      </c>
      <c r="Q6" s="323">
        <v>41365</v>
      </c>
      <c r="R6" s="323">
        <v>41395</v>
      </c>
      <c r="S6" s="323">
        <v>41426</v>
      </c>
      <c r="T6" s="323">
        <v>41456</v>
      </c>
      <c r="U6" s="323">
        <v>41487</v>
      </c>
      <c r="V6" s="323">
        <v>41518</v>
      </c>
      <c r="W6" s="323">
        <v>41548</v>
      </c>
      <c r="X6" s="323">
        <v>41579</v>
      </c>
      <c r="Y6" s="323">
        <v>41609</v>
      </c>
      <c r="Z6" s="329" t="s">
        <v>601</v>
      </c>
      <c r="AA6" s="329">
        <v>41639</v>
      </c>
      <c r="AB6" s="341"/>
      <c r="AC6" s="326"/>
      <c r="AD6" s="343"/>
      <c r="AN6" s="231"/>
    </row>
    <row r="7" spans="1:40" s="135" customFormat="1" x14ac:dyDescent="0.35">
      <c r="A7" s="326"/>
      <c r="B7" s="326"/>
      <c r="C7" s="328"/>
      <c r="D7" s="137" t="s">
        <v>700</v>
      </c>
      <c r="E7" s="328"/>
      <c r="F7" s="137" t="s">
        <v>700</v>
      </c>
      <c r="G7" s="328"/>
      <c r="H7" s="137" t="s">
        <v>701</v>
      </c>
      <c r="I7" s="137" t="s">
        <v>702</v>
      </c>
      <c r="J7" s="324"/>
      <c r="K7" s="324"/>
      <c r="L7" s="324"/>
      <c r="M7" s="329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9"/>
      <c r="AA7" s="329"/>
      <c r="AB7" s="342"/>
      <c r="AC7" s="326"/>
      <c r="AD7" s="343"/>
      <c r="AN7" s="231"/>
    </row>
    <row r="8" spans="1:40" s="135" customFormat="1" x14ac:dyDescent="0.35">
      <c r="A8" s="319" t="s">
        <v>703</v>
      </c>
      <c r="B8" s="319"/>
      <c r="C8" s="319"/>
      <c r="D8" s="319"/>
      <c r="E8" s="319"/>
      <c r="F8" s="319"/>
      <c r="G8" s="319"/>
      <c r="H8" s="319"/>
      <c r="I8" s="138" t="s">
        <v>704</v>
      </c>
      <c r="J8" s="139" t="s">
        <v>703</v>
      </c>
      <c r="K8" s="138" t="s">
        <v>704</v>
      </c>
      <c r="L8" s="139" t="s">
        <v>703</v>
      </c>
      <c r="M8" s="138" t="s">
        <v>704</v>
      </c>
      <c r="N8" s="138" t="s">
        <v>704</v>
      </c>
      <c r="O8" s="138" t="s">
        <v>704</v>
      </c>
      <c r="P8" s="138" t="s">
        <v>704</v>
      </c>
      <c r="Q8" s="138" t="s">
        <v>704</v>
      </c>
      <c r="R8" s="138" t="s">
        <v>704</v>
      </c>
      <c r="S8" s="138" t="s">
        <v>704</v>
      </c>
      <c r="T8" s="138" t="s">
        <v>704</v>
      </c>
      <c r="U8" s="138" t="s">
        <v>704</v>
      </c>
      <c r="V8" s="138" t="s">
        <v>704</v>
      </c>
      <c r="W8" s="138" t="s">
        <v>704</v>
      </c>
      <c r="X8" s="138" t="s">
        <v>704</v>
      </c>
      <c r="Y8" s="138" t="s">
        <v>704</v>
      </c>
      <c r="Z8" s="138" t="s">
        <v>704</v>
      </c>
      <c r="AA8" s="138" t="s">
        <v>704</v>
      </c>
      <c r="AB8" s="319" t="s">
        <v>703</v>
      </c>
      <c r="AC8" s="319"/>
      <c r="AD8" s="319"/>
      <c r="AN8" s="231"/>
    </row>
    <row r="9" spans="1:40" x14ac:dyDescent="0.35">
      <c r="A9" s="140"/>
      <c r="B9" s="141"/>
      <c r="C9" s="141"/>
      <c r="D9" s="141"/>
      <c r="E9" s="141"/>
      <c r="F9" s="141"/>
      <c r="G9" s="142"/>
      <c r="H9" s="143"/>
      <c r="I9" s="144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5"/>
      <c r="AC9" s="145"/>
      <c r="AD9" s="140"/>
      <c r="AF9" s="28" t="s">
        <v>1343</v>
      </c>
      <c r="AG9" s="99" t="s">
        <v>705</v>
      </c>
      <c r="AI9" s="99" t="s">
        <v>706</v>
      </c>
      <c r="AK9" s="99" t="s">
        <v>707</v>
      </c>
      <c r="AM9" s="99" t="s">
        <v>708</v>
      </c>
    </row>
    <row r="10" spans="1:40" x14ac:dyDescent="0.35">
      <c r="A10" s="146">
        <v>1</v>
      </c>
      <c r="B10" s="141">
        <v>1</v>
      </c>
      <c r="C10" s="142">
        <v>2012</v>
      </c>
      <c r="D10" s="141">
        <v>9.00000068654135</v>
      </c>
      <c r="E10" s="141"/>
      <c r="F10" s="141"/>
      <c r="G10" s="142" t="s">
        <v>709</v>
      </c>
      <c r="H10" s="143">
        <v>8</v>
      </c>
      <c r="I10" s="144">
        <f>+H10*12</f>
        <v>96</v>
      </c>
      <c r="J10" s="140">
        <v>206833864</v>
      </c>
      <c r="K10" s="140">
        <f>J10/I10</f>
        <v>2154519.4166666665</v>
      </c>
      <c r="L10" s="140">
        <v>8618077.666666666</v>
      </c>
      <c r="M10" s="140">
        <f>J10-L10</f>
        <v>198215786.33333334</v>
      </c>
      <c r="N10" s="140">
        <f>$K$10</f>
        <v>2154519.4166666665</v>
      </c>
      <c r="O10" s="140">
        <f t="shared" ref="O10:Y10" si="0">$K$10</f>
        <v>2154519.4166666665</v>
      </c>
      <c r="P10" s="140">
        <f t="shared" si="0"/>
        <v>2154519.4166666665</v>
      </c>
      <c r="Q10" s="140">
        <f t="shared" si="0"/>
        <v>2154519.4166666665</v>
      </c>
      <c r="R10" s="140">
        <f t="shared" si="0"/>
        <v>2154519.4166666665</v>
      </c>
      <c r="S10" s="140">
        <f t="shared" si="0"/>
        <v>2154519.4166666665</v>
      </c>
      <c r="T10" s="140">
        <f t="shared" si="0"/>
        <v>2154519.4166666665</v>
      </c>
      <c r="U10" s="140">
        <f t="shared" si="0"/>
        <v>2154519.4166666665</v>
      </c>
      <c r="V10" s="140">
        <f t="shared" si="0"/>
        <v>2154519.4166666665</v>
      </c>
      <c r="W10" s="140">
        <f t="shared" si="0"/>
        <v>2154519.4166666665</v>
      </c>
      <c r="X10" s="140">
        <f t="shared" si="0"/>
        <v>2154519.4166666665</v>
      </c>
      <c r="Y10" s="140">
        <f t="shared" si="0"/>
        <v>2154519.4166666665</v>
      </c>
      <c r="Z10" s="140">
        <f>L10+N10+O10+P10+Q10+R10+S10+T10+U10+V10+W10+X10+Y10</f>
        <v>34472310.666666672</v>
      </c>
      <c r="AA10" s="140">
        <f>M10-N10-O10-P10-Q10-R10-S10-T10-U10-V10-W10-X10-Y10</f>
        <v>172361553.33333346</v>
      </c>
      <c r="AB10" s="147" t="s">
        <v>710</v>
      </c>
      <c r="AC10" s="145" t="s">
        <v>711</v>
      </c>
      <c r="AD10" s="148" t="s">
        <v>712</v>
      </c>
      <c r="AM10" s="149"/>
    </row>
    <row r="11" spans="1:40" x14ac:dyDescent="0.35">
      <c r="A11" s="146">
        <v>2</v>
      </c>
      <c r="B11" s="141">
        <v>1</v>
      </c>
      <c r="C11" s="142">
        <v>2012</v>
      </c>
      <c r="D11" s="141">
        <v>9.00000068654135</v>
      </c>
      <c r="E11" s="141"/>
      <c r="F11" s="141"/>
      <c r="G11" s="142" t="s">
        <v>715</v>
      </c>
      <c r="H11" s="143">
        <v>4</v>
      </c>
      <c r="I11" s="144">
        <f t="shared" ref="I11:I18" si="1">+H11*12</f>
        <v>48</v>
      </c>
      <c r="J11" s="140">
        <v>9450000</v>
      </c>
      <c r="K11" s="140">
        <f t="shared" ref="K11:K20" si="2">J11/I11</f>
        <v>196875</v>
      </c>
      <c r="L11" s="140">
        <v>787500</v>
      </c>
      <c r="M11" s="140">
        <f t="shared" ref="M11:M20" si="3">J11-L11</f>
        <v>8662500</v>
      </c>
      <c r="N11" s="140">
        <f>$K$11</f>
        <v>196875</v>
      </c>
      <c r="O11" s="140">
        <f t="shared" ref="O11:Y11" si="4">$K$11</f>
        <v>196875</v>
      </c>
      <c r="P11" s="140">
        <f t="shared" si="4"/>
        <v>196875</v>
      </c>
      <c r="Q11" s="140">
        <f t="shared" si="4"/>
        <v>196875</v>
      </c>
      <c r="R11" s="140">
        <f t="shared" si="4"/>
        <v>196875</v>
      </c>
      <c r="S11" s="140">
        <f t="shared" si="4"/>
        <v>196875</v>
      </c>
      <c r="T11" s="140">
        <f t="shared" si="4"/>
        <v>196875</v>
      </c>
      <c r="U11" s="140">
        <f t="shared" si="4"/>
        <v>196875</v>
      </c>
      <c r="V11" s="140">
        <f t="shared" si="4"/>
        <v>196875</v>
      </c>
      <c r="W11" s="140">
        <f t="shared" si="4"/>
        <v>196875</v>
      </c>
      <c r="X11" s="140">
        <f t="shared" si="4"/>
        <v>196875</v>
      </c>
      <c r="Y11" s="140">
        <f t="shared" si="4"/>
        <v>196875</v>
      </c>
      <c r="Z11" s="140">
        <f t="shared" ref="Z11:Z20" si="5">L11+N11+O11+P11+Q11+R11+S11+T11+U11+V11+W11+X11+Y11</f>
        <v>3150000</v>
      </c>
      <c r="AA11" s="140">
        <f t="shared" ref="AA11:AA20" si="6">M11-N11-O11-P11-Q11-R11-S11-T11-U11-V11-W11-X11-Y11</f>
        <v>6300000</v>
      </c>
      <c r="AB11" s="147" t="s">
        <v>716</v>
      </c>
      <c r="AC11" s="145" t="s">
        <v>770</v>
      </c>
      <c r="AD11" s="148" t="s">
        <v>717</v>
      </c>
      <c r="AK11" s="149"/>
      <c r="AL11" s="149"/>
      <c r="AM11" s="149"/>
    </row>
    <row r="12" spans="1:40" x14ac:dyDescent="0.35">
      <c r="A12" s="146">
        <v>3</v>
      </c>
      <c r="B12" s="141">
        <v>1</v>
      </c>
      <c r="C12" s="142">
        <v>2012</v>
      </c>
      <c r="D12" s="141">
        <v>9.00000068654135</v>
      </c>
      <c r="E12" s="141"/>
      <c r="F12" s="141"/>
      <c r="G12" s="142" t="s">
        <v>709</v>
      </c>
      <c r="H12" s="143">
        <v>8</v>
      </c>
      <c r="I12" s="144">
        <f t="shared" si="1"/>
        <v>96</v>
      </c>
      <c r="J12" s="140">
        <v>136882273</v>
      </c>
      <c r="K12" s="140">
        <f t="shared" si="2"/>
        <v>1425857.0104166667</v>
      </c>
      <c r="L12" s="140">
        <v>5703428.041666667</v>
      </c>
      <c r="M12" s="140">
        <f t="shared" si="3"/>
        <v>131178844.95833333</v>
      </c>
      <c r="N12" s="140">
        <f>$K$12</f>
        <v>1425857.0104166667</v>
      </c>
      <c r="O12" s="140">
        <f t="shared" ref="O12:Y12" si="7">$K$12</f>
        <v>1425857.0104166667</v>
      </c>
      <c r="P12" s="140">
        <f t="shared" si="7"/>
        <v>1425857.0104166667</v>
      </c>
      <c r="Q12" s="140">
        <f t="shared" si="7"/>
        <v>1425857.0104166667</v>
      </c>
      <c r="R12" s="140">
        <f t="shared" si="7"/>
        <v>1425857.0104166667</v>
      </c>
      <c r="S12" s="140">
        <f t="shared" si="7"/>
        <v>1425857.0104166667</v>
      </c>
      <c r="T12" s="140">
        <f t="shared" si="7"/>
        <v>1425857.0104166667</v>
      </c>
      <c r="U12" s="140">
        <f t="shared" si="7"/>
        <v>1425857.0104166667</v>
      </c>
      <c r="V12" s="140">
        <f t="shared" si="7"/>
        <v>1425857.0104166667</v>
      </c>
      <c r="W12" s="140">
        <f t="shared" si="7"/>
        <v>1425857.0104166667</v>
      </c>
      <c r="X12" s="140">
        <f t="shared" si="7"/>
        <v>1425857.0104166667</v>
      </c>
      <c r="Y12" s="140">
        <f t="shared" si="7"/>
        <v>1425857.0104166667</v>
      </c>
      <c r="Z12" s="140">
        <f t="shared" si="5"/>
        <v>22813712.166666668</v>
      </c>
      <c r="AA12" s="140">
        <f t="shared" si="6"/>
        <v>114068560.83333327</v>
      </c>
      <c r="AB12" s="147" t="s">
        <v>719</v>
      </c>
      <c r="AC12" s="145" t="s">
        <v>720</v>
      </c>
      <c r="AD12" s="148" t="s">
        <v>721</v>
      </c>
      <c r="AF12" s="28" t="s">
        <v>1346</v>
      </c>
      <c r="AG12" s="99" t="s">
        <v>722</v>
      </c>
      <c r="AH12" s="99" t="s">
        <v>713</v>
      </c>
      <c r="AI12" s="99" t="s">
        <v>723</v>
      </c>
      <c r="AJ12" s="99" t="s">
        <v>713</v>
      </c>
      <c r="AK12" s="99">
        <v>1014</v>
      </c>
      <c r="AL12" s="99" t="s">
        <v>713</v>
      </c>
      <c r="AM12" s="149" t="s">
        <v>724</v>
      </c>
      <c r="AN12" s="228" t="str">
        <f t="shared" ref="AN12:AN20" si="8">CONCATENATE(AG12,AH12,AI12,AJ12,AK12,AL12,AM12)</f>
        <v>BLD.FB.1014.0003</v>
      </c>
    </row>
    <row r="13" spans="1:40" x14ac:dyDescent="0.35">
      <c r="A13" s="146">
        <v>4</v>
      </c>
      <c r="B13" s="141">
        <v>1</v>
      </c>
      <c r="C13" s="142">
        <v>2012</v>
      </c>
      <c r="D13" s="141">
        <v>9.00000068654135</v>
      </c>
      <c r="E13" s="141"/>
      <c r="F13" s="141"/>
      <c r="G13" s="142" t="s">
        <v>709</v>
      </c>
      <c r="H13" s="143">
        <v>8</v>
      </c>
      <c r="I13" s="144">
        <f t="shared" si="1"/>
        <v>96</v>
      </c>
      <c r="J13" s="140">
        <v>234060909</v>
      </c>
      <c r="K13" s="140">
        <f t="shared" si="2"/>
        <v>2438134.46875</v>
      </c>
      <c r="L13" s="140">
        <v>9752537.875</v>
      </c>
      <c r="M13" s="140">
        <f t="shared" si="3"/>
        <v>224308371.125</v>
      </c>
      <c r="N13" s="140">
        <f>$K$13</f>
        <v>2438134.46875</v>
      </c>
      <c r="O13" s="140">
        <f t="shared" ref="O13:Y13" si="9">$K$13</f>
        <v>2438134.46875</v>
      </c>
      <c r="P13" s="140">
        <f t="shared" si="9"/>
        <v>2438134.46875</v>
      </c>
      <c r="Q13" s="140">
        <f t="shared" si="9"/>
        <v>2438134.46875</v>
      </c>
      <c r="R13" s="140">
        <f t="shared" si="9"/>
        <v>2438134.46875</v>
      </c>
      <c r="S13" s="140">
        <f t="shared" si="9"/>
        <v>2438134.46875</v>
      </c>
      <c r="T13" s="140">
        <f t="shared" si="9"/>
        <v>2438134.46875</v>
      </c>
      <c r="U13" s="140">
        <f t="shared" si="9"/>
        <v>2438134.46875</v>
      </c>
      <c r="V13" s="140">
        <f t="shared" si="9"/>
        <v>2438134.46875</v>
      </c>
      <c r="W13" s="140">
        <f t="shared" si="9"/>
        <v>2438134.46875</v>
      </c>
      <c r="X13" s="140">
        <f t="shared" si="9"/>
        <v>2438134.46875</v>
      </c>
      <c r="Y13" s="140">
        <f t="shared" si="9"/>
        <v>2438134.46875</v>
      </c>
      <c r="Z13" s="140">
        <f t="shared" si="5"/>
        <v>39010151.5</v>
      </c>
      <c r="AA13" s="140">
        <f t="shared" si="6"/>
        <v>195050757.5</v>
      </c>
      <c r="AB13" s="147" t="s">
        <v>725</v>
      </c>
      <c r="AC13" s="145" t="s">
        <v>711</v>
      </c>
      <c r="AD13" s="148" t="s">
        <v>726</v>
      </c>
      <c r="AF13" s="28" t="s">
        <v>1347</v>
      </c>
      <c r="AG13" s="99" t="s">
        <v>727</v>
      </c>
      <c r="AH13" s="99" t="s">
        <v>713</v>
      </c>
      <c r="AI13" s="99" t="s">
        <v>728</v>
      </c>
      <c r="AJ13" s="99" t="s">
        <v>713</v>
      </c>
      <c r="AK13" s="149" t="s">
        <v>729</v>
      </c>
      <c r="AL13" s="149" t="s">
        <v>713</v>
      </c>
      <c r="AM13" s="149" t="s">
        <v>730</v>
      </c>
      <c r="AN13" s="228" t="str">
        <f t="shared" si="8"/>
        <v>MCH.KC.0914.0004</v>
      </c>
    </row>
    <row r="14" spans="1:40" x14ac:dyDescent="0.35">
      <c r="A14" s="146">
        <v>5</v>
      </c>
      <c r="B14" s="141">
        <v>1</v>
      </c>
      <c r="C14" s="142">
        <v>2012</v>
      </c>
      <c r="D14" s="141">
        <v>9.00000068654135</v>
      </c>
      <c r="E14" s="141"/>
      <c r="F14" s="141"/>
      <c r="G14" s="142" t="s">
        <v>709</v>
      </c>
      <c r="H14" s="143">
        <v>8</v>
      </c>
      <c r="I14" s="144">
        <f t="shared" si="1"/>
        <v>96</v>
      </c>
      <c r="J14" s="140">
        <v>130553182</v>
      </c>
      <c r="K14" s="140">
        <f t="shared" si="2"/>
        <v>1359928.9791666667</v>
      </c>
      <c r="L14" s="140">
        <v>5439715.916666667</v>
      </c>
      <c r="M14" s="140">
        <f t="shared" si="3"/>
        <v>125113466.08333333</v>
      </c>
      <c r="N14" s="140">
        <f>$K$14</f>
        <v>1359928.9791666667</v>
      </c>
      <c r="O14" s="140">
        <f t="shared" ref="O14:Y14" si="10">$K$14</f>
        <v>1359928.9791666667</v>
      </c>
      <c r="P14" s="140">
        <f t="shared" si="10"/>
        <v>1359928.9791666667</v>
      </c>
      <c r="Q14" s="140">
        <f t="shared" si="10"/>
        <v>1359928.9791666667</v>
      </c>
      <c r="R14" s="140">
        <f t="shared" si="10"/>
        <v>1359928.9791666667</v>
      </c>
      <c r="S14" s="140">
        <f t="shared" si="10"/>
        <v>1359928.9791666667</v>
      </c>
      <c r="T14" s="140">
        <f t="shared" si="10"/>
        <v>1359928.9791666667</v>
      </c>
      <c r="U14" s="140">
        <f t="shared" si="10"/>
        <v>1359928.9791666667</v>
      </c>
      <c r="V14" s="140">
        <f t="shared" si="10"/>
        <v>1359928.9791666667</v>
      </c>
      <c r="W14" s="140">
        <f t="shared" si="10"/>
        <v>1359928.9791666667</v>
      </c>
      <c r="X14" s="140">
        <f t="shared" si="10"/>
        <v>1359928.9791666667</v>
      </c>
      <c r="Y14" s="140">
        <f t="shared" si="10"/>
        <v>1359928.9791666667</v>
      </c>
      <c r="Z14" s="140">
        <f t="shared" si="5"/>
        <v>21758863.666666668</v>
      </c>
      <c r="AA14" s="140">
        <f t="shared" si="6"/>
        <v>108794318.33333327</v>
      </c>
      <c r="AB14" s="147" t="s">
        <v>731</v>
      </c>
      <c r="AC14" s="145" t="s">
        <v>711</v>
      </c>
      <c r="AD14" s="148" t="s">
        <v>732</v>
      </c>
      <c r="AF14" s="28" t="s">
        <v>1348</v>
      </c>
      <c r="AG14" s="99" t="s">
        <v>733</v>
      </c>
      <c r="AH14" s="99" t="s">
        <v>713</v>
      </c>
      <c r="AI14" s="99" t="s">
        <v>734</v>
      </c>
      <c r="AJ14" s="99" t="s">
        <v>713</v>
      </c>
      <c r="AK14" s="99">
        <v>1015</v>
      </c>
      <c r="AL14" s="99" t="s">
        <v>713</v>
      </c>
      <c r="AM14" s="149" t="s">
        <v>735</v>
      </c>
      <c r="AN14" s="228" t="str">
        <f t="shared" si="8"/>
        <v>GBS.SP.1015.0005</v>
      </c>
    </row>
    <row r="15" spans="1:40" x14ac:dyDescent="0.35">
      <c r="A15" s="146">
        <v>6</v>
      </c>
      <c r="B15" s="141">
        <v>1</v>
      </c>
      <c r="C15" s="142">
        <v>2012</v>
      </c>
      <c r="D15" s="141">
        <v>9.00000068654135</v>
      </c>
      <c r="E15" s="141"/>
      <c r="F15" s="141"/>
      <c r="G15" s="142" t="s">
        <v>715</v>
      </c>
      <c r="H15" s="143">
        <v>4</v>
      </c>
      <c r="I15" s="144">
        <f t="shared" si="1"/>
        <v>48</v>
      </c>
      <c r="J15" s="140">
        <v>9824091</v>
      </c>
      <c r="K15" s="140">
        <f t="shared" si="2"/>
        <v>204668.5625</v>
      </c>
      <c r="L15" s="140">
        <v>818674.25</v>
      </c>
      <c r="M15" s="140">
        <f t="shared" si="3"/>
        <v>9005416.75</v>
      </c>
      <c r="N15" s="140">
        <f>$K$15</f>
        <v>204668.5625</v>
      </c>
      <c r="O15" s="140">
        <f t="shared" ref="O15:Y15" si="11">$K$15</f>
        <v>204668.5625</v>
      </c>
      <c r="P15" s="140">
        <f t="shared" si="11"/>
        <v>204668.5625</v>
      </c>
      <c r="Q15" s="140">
        <f t="shared" si="11"/>
        <v>204668.5625</v>
      </c>
      <c r="R15" s="140">
        <f t="shared" si="11"/>
        <v>204668.5625</v>
      </c>
      <c r="S15" s="140">
        <f t="shared" si="11"/>
        <v>204668.5625</v>
      </c>
      <c r="T15" s="140">
        <f t="shared" si="11"/>
        <v>204668.5625</v>
      </c>
      <c r="U15" s="140">
        <f t="shared" si="11"/>
        <v>204668.5625</v>
      </c>
      <c r="V15" s="140">
        <f t="shared" si="11"/>
        <v>204668.5625</v>
      </c>
      <c r="W15" s="140">
        <f t="shared" si="11"/>
        <v>204668.5625</v>
      </c>
      <c r="X15" s="140">
        <f t="shared" si="11"/>
        <v>204668.5625</v>
      </c>
      <c r="Y15" s="140">
        <f t="shared" si="11"/>
        <v>204668.5625</v>
      </c>
      <c r="Z15" s="140">
        <f t="shared" si="5"/>
        <v>3274697</v>
      </c>
      <c r="AA15" s="140">
        <f t="shared" si="6"/>
        <v>6549394</v>
      </c>
      <c r="AB15" s="147" t="s">
        <v>736</v>
      </c>
      <c r="AC15" s="145" t="s">
        <v>770</v>
      </c>
      <c r="AD15" s="148" t="s">
        <v>737</v>
      </c>
      <c r="AF15" s="28" t="s">
        <v>1349</v>
      </c>
      <c r="AG15" s="99" t="s">
        <v>738</v>
      </c>
      <c r="AH15" s="99" t="s">
        <v>713</v>
      </c>
      <c r="AI15" s="99" t="s">
        <v>739</v>
      </c>
      <c r="AJ15" s="99" t="s">
        <v>713</v>
      </c>
      <c r="AK15" s="149" t="s">
        <v>740</v>
      </c>
      <c r="AL15" s="149" t="s">
        <v>713</v>
      </c>
      <c r="AM15" s="149" t="s">
        <v>741</v>
      </c>
      <c r="AN15" s="228" t="str">
        <f t="shared" si="8"/>
        <v>FNF.OO.0915.0006</v>
      </c>
    </row>
    <row r="16" spans="1:40" x14ac:dyDescent="0.35">
      <c r="A16" s="146">
        <v>7</v>
      </c>
      <c r="B16" s="141">
        <v>1</v>
      </c>
      <c r="C16" s="142">
        <v>2012</v>
      </c>
      <c r="D16" s="141">
        <v>9.00000068654135</v>
      </c>
      <c r="E16" s="141"/>
      <c r="F16" s="141"/>
      <c r="G16" s="142" t="s">
        <v>900</v>
      </c>
      <c r="H16" s="143">
        <v>4</v>
      </c>
      <c r="I16" s="144">
        <f t="shared" si="1"/>
        <v>48</v>
      </c>
      <c r="J16" s="140">
        <v>251793182</v>
      </c>
      <c r="K16" s="140">
        <f t="shared" si="2"/>
        <v>5245691.291666667</v>
      </c>
      <c r="L16" s="140">
        <v>20982765.166666668</v>
      </c>
      <c r="M16" s="140">
        <f t="shared" si="3"/>
        <v>230810416.83333334</v>
      </c>
      <c r="N16" s="140">
        <f>$K$16</f>
        <v>5245691.291666667</v>
      </c>
      <c r="O16" s="140">
        <f t="shared" ref="O16:Y16" si="12">$K$16</f>
        <v>5245691.291666667</v>
      </c>
      <c r="P16" s="140">
        <f t="shared" si="12"/>
        <v>5245691.291666667</v>
      </c>
      <c r="Q16" s="140">
        <f t="shared" si="12"/>
        <v>5245691.291666667</v>
      </c>
      <c r="R16" s="140">
        <f t="shared" si="12"/>
        <v>5245691.291666667</v>
      </c>
      <c r="S16" s="140">
        <f t="shared" si="12"/>
        <v>5245691.291666667</v>
      </c>
      <c r="T16" s="140">
        <f t="shared" si="12"/>
        <v>5245691.291666667</v>
      </c>
      <c r="U16" s="140">
        <f t="shared" si="12"/>
        <v>5245691.291666667</v>
      </c>
      <c r="V16" s="140">
        <f t="shared" si="12"/>
        <v>5245691.291666667</v>
      </c>
      <c r="W16" s="140">
        <f t="shared" si="12"/>
        <v>5245691.291666667</v>
      </c>
      <c r="X16" s="140">
        <f t="shared" si="12"/>
        <v>5245691.291666667</v>
      </c>
      <c r="Y16" s="140">
        <f t="shared" si="12"/>
        <v>5245691.291666667</v>
      </c>
      <c r="Z16" s="140">
        <f t="shared" si="5"/>
        <v>83931060.666666672</v>
      </c>
      <c r="AA16" s="140">
        <f t="shared" si="6"/>
        <v>167862121.33333346</v>
      </c>
      <c r="AB16" s="147" t="s">
        <v>742</v>
      </c>
      <c r="AC16" s="145" t="s">
        <v>770</v>
      </c>
      <c r="AD16" s="148" t="s">
        <v>743</v>
      </c>
      <c r="AF16" s="28" t="s">
        <v>912</v>
      </c>
      <c r="AG16" s="99" t="s">
        <v>744</v>
      </c>
      <c r="AH16" s="99" t="s">
        <v>713</v>
      </c>
      <c r="AI16" s="99" t="s">
        <v>745</v>
      </c>
      <c r="AJ16" s="99" t="s">
        <v>713</v>
      </c>
      <c r="AK16" s="99">
        <v>1016</v>
      </c>
      <c r="AL16" s="99" t="s">
        <v>713</v>
      </c>
      <c r="AM16" s="149" t="s">
        <v>746</v>
      </c>
      <c r="AN16" s="228" t="str">
        <f t="shared" si="8"/>
        <v>OEQ.EN.1016.0007</v>
      </c>
    </row>
    <row r="17" spans="1:40" x14ac:dyDescent="0.35">
      <c r="A17" s="146">
        <v>8</v>
      </c>
      <c r="B17" s="141">
        <v>1</v>
      </c>
      <c r="C17" s="142">
        <v>2012</v>
      </c>
      <c r="D17" s="141">
        <v>9.00000068654135</v>
      </c>
      <c r="E17" s="141"/>
      <c r="F17" s="141"/>
      <c r="G17" s="142" t="s">
        <v>709</v>
      </c>
      <c r="H17" s="143">
        <v>8</v>
      </c>
      <c r="I17" s="144">
        <f t="shared" si="1"/>
        <v>96</v>
      </c>
      <c r="J17" s="140">
        <v>165424092</v>
      </c>
      <c r="K17" s="140">
        <f t="shared" si="2"/>
        <v>1723167.625</v>
      </c>
      <c r="L17" s="140">
        <v>6892670.5</v>
      </c>
      <c r="M17" s="140">
        <f t="shared" si="3"/>
        <v>158531421.5</v>
      </c>
      <c r="N17" s="140">
        <f>$K$17</f>
        <v>1723167.625</v>
      </c>
      <c r="O17" s="140">
        <f t="shared" ref="O17:Y17" si="13">$K$17</f>
        <v>1723167.625</v>
      </c>
      <c r="P17" s="140">
        <f t="shared" si="13"/>
        <v>1723167.625</v>
      </c>
      <c r="Q17" s="140">
        <f t="shared" si="13"/>
        <v>1723167.625</v>
      </c>
      <c r="R17" s="140">
        <f t="shared" si="13"/>
        <v>1723167.625</v>
      </c>
      <c r="S17" s="140">
        <f t="shared" si="13"/>
        <v>1723167.625</v>
      </c>
      <c r="T17" s="140">
        <f t="shared" si="13"/>
        <v>1723167.625</v>
      </c>
      <c r="U17" s="140">
        <f t="shared" si="13"/>
        <v>1723167.625</v>
      </c>
      <c r="V17" s="140">
        <f t="shared" si="13"/>
        <v>1723167.625</v>
      </c>
      <c r="W17" s="140">
        <f t="shared" si="13"/>
        <v>1723167.625</v>
      </c>
      <c r="X17" s="140">
        <f t="shared" si="13"/>
        <v>1723167.625</v>
      </c>
      <c r="Y17" s="140">
        <f t="shared" si="13"/>
        <v>1723167.625</v>
      </c>
      <c r="Z17" s="140">
        <f t="shared" si="5"/>
        <v>27570682</v>
      </c>
      <c r="AA17" s="140">
        <f t="shared" si="6"/>
        <v>137853410</v>
      </c>
      <c r="AB17" s="147" t="s">
        <v>747</v>
      </c>
      <c r="AC17" s="145" t="s">
        <v>770</v>
      </c>
      <c r="AD17" s="148" t="s">
        <v>748</v>
      </c>
      <c r="AF17" s="28" t="s">
        <v>911</v>
      </c>
      <c r="AG17" s="99" t="s">
        <v>749</v>
      </c>
      <c r="AH17" s="99" t="s">
        <v>713</v>
      </c>
      <c r="AI17" s="99" t="s">
        <v>750</v>
      </c>
      <c r="AJ17" s="99" t="s">
        <v>713</v>
      </c>
      <c r="AK17" s="149" t="s">
        <v>751</v>
      </c>
      <c r="AL17" s="149" t="s">
        <v>713</v>
      </c>
      <c r="AM17" s="149" t="s">
        <v>752</v>
      </c>
      <c r="AN17" s="228" t="str">
        <f t="shared" si="8"/>
        <v>VHC.SM.0916.0008</v>
      </c>
    </row>
    <row r="18" spans="1:40" x14ac:dyDescent="0.35">
      <c r="A18" s="146">
        <v>9</v>
      </c>
      <c r="B18" s="141">
        <v>1</v>
      </c>
      <c r="C18" s="142">
        <v>2012</v>
      </c>
      <c r="D18" s="141">
        <v>9.00000068654135</v>
      </c>
      <c r="E18" s="141"/>
      <c r="F18" s="141"/>
      <c r="G18" s="142" t="s">
        <v>753</v>
      </c>
      <c r="H18" s="143">
        <v>8</v>
      </c>
      <c r="I18" s="144">
        <f t="shared" si="1"/>
        <v>96</v>
      </c>
      <c r="J18" s="140">
        <v>244950455</v>
      </c>
      <c r="K18" s="140">
        <f t="shared" si="2"/>
        <v>2551567.2395833335</v>
      </c>
      <c r="L18" s="140">
        <v>10206268.958333334</v>
      </c>
      <c r="M18" s="140">
        <f t="shared" si="3"/>
        <v>234744186.04166666</v>
      </c>
      <c r="N18" s="140">
        <f>$K$18</f>
        <v>2551567.2395833335</v>
      </c>
      <c r="O18" s="140">
        <f t="shared" ref="O18:Y18" si="14">$K$18</f>
        <v>2551567.2395833335</v>
      </c>
      <c r="P18" s="140">
        <f t="shared" si="14"/>
        <v>2551567.2395833335</v>
      </c>
      <c r="Q18" s="140">
        <f t="shared" si="14"/>
        <v>2551567.2395833335</v>
      </c>
      <c r="R18" s="140">
        <f t="shared" si="14"/>
        <v>2551567.2395833335</v>
      </c>
      <c r="S18" s="140">
        <f t="shared" si="14"/>
        <v>2551567.2395833335</v>
      </c>
      <c r="T18" s="140">
        <f t="shared" si="14"/>
        <v>2551567.2395833335</v>
      </c>
      <c r="U18" s="140">
        <f t="shared" si="14"/>
        <v>2551567.2395833335</v>
      </c>
      <c r="V18" s="140">
        <f t="shared" si="14"/>
        <v>2551567.2395833335</v>
      </c>
      <c r="W18" s="140">
        <f t="shared" si="14"/>
        <v>2551567.2395833335</v>
      </c>
      <c r="X18" s="140">
        <f t="shared" si="14"/>
        <v>2551567.2395833335</v>
      </c>
      <c r="Y18" s="140">
        <f t="shared" si="14"/>
        <v>2551567.2395833335</v>
      </c>
      <c r="Z18" s="140">
        <f t="shared" si="5"/>
        <v>40825075.833333336</v>
      </c>
      <c r="AA18" s="140">
        <f t="shared" si="6"/>
        <v>204125379.16666654</v>
      </c>
      <c r="AB18" s="147" t="s">
        <v>747</v>
      </c>
      <c r="AC18" s="145" t="s">
        <v>770</v>
      </c>
      <c r="AD18" s="148" t="s">
        <v>754</v>
      </c>
      <c r="AF18" s="28" t="s">
        <v>1344</v>
      </c>
      <c r="AG18" s="99" t="s">
        <v>755</v>
      </c>
      <c r="AH18" s="99" t="s">
        <v>713</v>
      </c>
      <c r="AI18" s="99" t="s">
        <v>756</v>
      </c>
      <c r="AJ18" s="99" t="s">
        <v>713</v>
      </c>
      <c r="AK18" s="99">
        <v>1017</v>
      </c>
      <c r="AL18" s="99" t="s">
        <v>713</v>
      </c>
      <c r="AM18" s="149" t="s">
        <v>757</v>
      </c>
      <c r="AN18" s="228" t="str">
        <f t="shared" si="8"/>
        <v>SWR.AG.1017.0009</v>
      </c>
    </row>
    <row r="19" spans="1:40" x14ac:dyDescent="0.35">
      <c r="A19" s="146">
        <v>10</v>
      </c>
      <c r="B19" s="141">
        <v>1</v>
      </c>
      <c r="C19" s="142">
        <v>2012</v>
      </c>
      <c r="D19" s="141">
        <v>9.00000068654135</v>
      </c>
      <c r="E19" s="141"/>
      <c r="F19" s="141"/>
      <c r="G19" s="142" t="s">
        <v>758</v>
      </c>
      <c r="H19" s="143">
        <v>8</v>
      </c>
      <c r="I19" s="144">
        <f>+H19*12</f>
        <v>96</v>
      </c>
      <c r="J19" s="140">
        <v>144592273</v>
      </c>
      <c r="K19" s="140">
        <f t="shared" si="2"/>
        <v>1506169.5104166667</v>
      </c>
      <c r="L19" s="140">
        <v>6024678.041666667</v>
      </c>
      <c r="M19" s="140">
        <f t="shared" si="3"/>
        <v>138567594.95833334</v>
      </c>
      <c r="N19" s="140">
        <f>$K$19</f>
        <v>1506169.5104166667</v>
      </c>
      <c r="O19" s="140">
        <f t="shared" ref="O19:Y19" si="15">$K$19</f>
        <v>1506169.5104166667</v>
      </c>
      <c r="P19" s="140">
        <f t="shared" si="15"/>
        <v>1506169.5104166667</v>
      </c>
      <c r="Q19" s="140">
        <f t="shared" si="15"/>
        <v>1506169.5104166667</v>
      </c>
      <c r="R19" s="140">
        <f t="shared" si="15"/>
        <v>1506169.5104166667</v>
      </c>
      <c r="S19" s="140">
        <f t="shared" si="15"/>
        <v>1506169.5104166667</v>
      </c>
      <c r="T19" s="140">
        <f t="shared" si="15"/>
        <v>1506169.5104166667</v>
      </c>
      <c r="U19" s="140">
        <f t="shared" si="15"/>
        <v>1506169.5104166667</v>
      </c>
      <c r="V19" s="140">
        <f t="shared" si="15"/>
        <v>1506169.5104166667</v>
      </c>
      <c r="W19" s="140">
        <f t="shared" si="15"/>
        <v>1506169.5104166667</v>
      </c>
      <c r="X19" s="140">
        <f t="shared" si="15"/>
        <v>1506169.5104166667</v>
      </c>
      <c r="Y19" s="140">
        <f t="shared" si="15"/>
        <v>1506169.5104166667</v>
      </c>
      <c r="Z19" s="140">
        <f t="shared" si="5"/>
        <v>24098712.166666668</v>
      </c>
      <c r="AA19" s="140">
        <f t="shared" si="6"/>
        <v>120493560.83333331</v>
      </c>
      <c r="AB19" s="147" t="s">
        <v>759</v>
      </c>
      <c r="AC19" s="145" t="s">
        <v>770</v>
      </c>
      <c r="AD19" s="148" t="s">
        <v>760</v>
      </c>
      <c r="AF19" s="28" t="s">
        <v>1345</v>
      </c>
      <c r="AG19" s="99" t="s">
        <v>761</v>
      </c>
      <c r="AH19" s="99" t="s">
        <v>713</v>
      </c>
      <c r="AI19" s="99" t="s">
        <v>745</v>
      </c>
      <c r="AJ19" s="99" t="s">
        <v>713</v>
      </c>
      <c r="AK19" s="99">
        <v>1014</v>
      </c>
      <c r="AL19" s="99" t="s">
        <v>713</v>
      </c>
      <c r="AM19" s="149" t="s">
        <v>762</v>
      </c>
      <c r="AN19" s="228" t="str">
        <f t="shared" si="8"/>
        <v>GWL.EN.1014.0010</v>
      </c>
    </row>
    <row r="20" spans="1:40" x14ac:dyDescent="0.35">
      <c r="A20" s="146">
        <v>11</v>
      </c>
      <c r="B20" s="141">
        <v>1</v>
      </c>
      <c r="C20" s="142">
        <v>2012</v>
      </c>
      <c r="D20" s="141">
        <v>9.00000068654135</v>
      </c>
      <c r="E20" s="141"/>
      <c r="F20" s="141"/>
      <c r="G20" s="142" t="s">
        <v>763</v>
      </c>
      <c r="H20" s="143">
        <v>8</v>
      </c>
      <c r="I20" s="144">
        <f>+H20*12</f>
        <v>96</v>
      </c>
      <c r="J20" s="140">
        <v>131402727</v>
      </c>
      <c r="K20" s="140">
        <f t="shared" si="2"/>
        <v>1368778.40625</v>
      </c>
      <c r="L20" s="140">
        <v>5475113.625</v>
      </c>
      <c r="M20" s="140">
        <f t="shared" si="3"/>
        <v>125927613.375</v>
      </c>
      <c r="N20" s="140">
        <f>$K$20</f>
        <v>1368778.40625</v>
      </c>
      <c r="O20" s="140">
        <f t="shared" ref="O20:Y20" si="16">$K$20</f>
        <v>1368778.40625</v>
      </c>
      <c r="P20" s="140">
        <f t="shared" si="16"/>
        <v>1368778.40625</v>
      </c>
      <c r="Q20" s="140">
        <f t="shared" si="16"/>
        <v>1368778.40625</v>
      </c>
      <c r="R20" s="140">
        <f t="shared" si="16"/>
        <v>1368778.40625</v>
      </c>
      <c r="S20" s="140">
        <f t="shared" si="16"/>
        <v>1368778.40625</v>
      </c>
      <c r="T20" s="140">
        <f t="shared" si="16"/>
        <v>1368778.40625</v>
      </c>
      <c r="U20" s="140">
        <f t="shared" si="16"/>
        <v>1368778.40625</v>
      </c>
      <c r="V20" s="140">
        <f t="shared" si="16"/>
        <v>1368778.40625</v>
      </c>
      <c r="W20" s="140">
        <f t="shared" si="16"/>
        <v>1368778.40625</v>
      </c>
      <c r="X20" s="140">
        <f t="shared" si="16"/>
        <v>1368778.40625</v>
      </c>
      <c r="Y20" s="140">
        <f t="shared" si="16"/>
        <v>1368778.40625</v>
      </c>
      <c r="Z20" s="140">
        <f t="shared" si="5"/>
        <v>21900454.5</v>
      </c>
      <c r="AA20" s="140">
        <f t="shared" si="6"/>
        <v>109502272.5</v>
      </c>
      <c r="AB20" s="147" t="s">
        <v>764</v>
      </c>
      <c r="AC20" s="145" t="s">
        <v>770</v>
      </c>
      <c r="AD20" s="148" t="s">
        <v>765</v>
      </c>
      <c r="AG20" s="99" t="s">
        <v>766</v>
      </c>
      <c r="AH20" s="99" t="s">
        <v>713</v>
      </c>
      <c r="AI20" s="99" t="s">
        <v>750</v>
      </c>
      <c r="AJ20" s="99" t="s">
        <v>713</v>
      </c>
      <c r="AK20" s="149" t="s">
        <v>729</v>
      </c>
      <c r="AL20" s="99" t="s">
        <v>713</v>
      </c>
      <c r="AM20" s="149" t="s">
        <v>767</v>
      </c>
      <c r="AN20" s="228" t="str">
        <f t="shared" si="8"/>
        <v>LCS.SM.0914.0011</v>
      </c>
    </row>
    <row r="21" spans="1:40" x14ac:dyDescent="0.35">
      <c r="A21" s="146"/>
      <c r="B21" s="141"/>
      <c r="C21" s="142"/>
      <c r="D21" s="141"/>
      <c r="E21" s="141"/>
      <c r="F21" s="141"/>
      <c r="G21" s="142"/>
      <c r="H21" s="143"/>
      <c r="I21" s="144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7"/>
      <c r="AC21" s="145"/>
      <c r="AD21" s="148"/>
      <c r="AM21" s="149"/>
    </row>
    <row r="22" spans="1:40" s="153" customFormat="1" x14ac:dyDescent="0.35">
      <c r="A22" s="320" t="str">
        <f>CONCATENATE("TOTAL ",$B$7)</f>
        <v xml:space="preserve">TOTAL </v>
      </c>
      <c r="B22" s="321"/>
      <c r="C22" s="321"/>
      <c r="D22" s="321"/>
      <c r="E22" s="321"/>
      <c r="F22" s="321"/>
      <c r="G22" s="321"/>
      <c r="H22" s="321"/>
      <c r="I22" s="322"/>
      <c r="J22" s="150">
        <f>SUM(J10:J21)</f>
        <v>1665767048</v>
      </c>
      <c r="K22" s="150">
        <f>SUM(K10:K21)</f>
        <v>20175357.510416668</v>
      </c>
      <c r="L22" s="150">
        <f t="shared" ref="L22:AA22" si="17">SUM(L10:L21)</f>
        <v>80701430.041666672</v>
      </c>
      <c r="M22" s="150">
        <f t="shared" si="17"/>
        <v>1585065617.9583335</v>
      </c>
      <c r="N22" s="150">
        <f t="shared" si="17"/>
        <v>20175357.510416668</v>
      </c>
      <c r="O22" s="150">
        <f t="shared" si="17"/>
        <v>20175357.510416668</v>
      </c>
      <c r="P22" s="150">
        <f t="shared" si="17"/>
        <v>20175357.510416668</v>
      </c>
      <c r="Q22" s="150">
        <f t="shared" si="17"/>
        <v>20175357.510416668</v>
      </c>
      <c r="R22" s="150">
        <f t="shared" si="17"/>
        <v>20175357.510416668</v>
      </c>
      <c r="S22" s="150">
        <f t="shared" si="17"/>
        <v>20175357.510416668</v>
      </c>
      <c r="T22" s="150">
        <f t="shared" si="17"/>
        <v>20175357.510416668</v>
      </c>
      <c r="U22" s="150">
        <f t="shared" si="17"/>
        <v>20175357.510416668</v>
      </c>
      <c r="V22" s="150">
        <f t="shared" si="17"/>
        <v>20175357.510416668</v>
      </c>
      <c r="W22" s="150">
        <f t="shared" si="17"/>
        <v>20175357.510416668</v>
      </c>
      <c r="X22" s="150">
        <f t="shared" si="17"/>
        <v>20175357.510416668</v>
      </c>
      <c r="Y22" s="150">
        <f t="shared" si="17"/>
        <v>20175357.510416668</v>
      </c>
      <c r="Z22" s="150">
        <f>SUM(Z10:Z20)</f>
        <v>322805720.16666669</v>
      </c>
      <c r="AA22" s="150">
        <f t="shared" si="17"/>
        <v>1342961327.8333333</v>
      </c>
      <c r="AB22" s="151"/>
      <c r="AC22" s="151"/>
      <c r="AD22" s="152"/>
      <c r="AF22" s="28"/>
      <c r="AG22" s="99"/>
      <c r="AH22" s="99"/>
      <c r="AI22" s="135"/>
      <c r="AJ22" s="135"/>
      <c r="AK22" s="135"/>
      <c r="AL22" s="135"/>
      <c r="AM22" s="135"/>
      <c r="AN22" s="231"/>
    </row>
    <row r="24" spans="1:40" x14ac:dyDescent="0.35">
      <c r="AF24" s="154"/>
    </row>
    <row r="25" spans="1:40" x14ac:dyDescent="0.35">
      <c r="AF25" s="154"/>
    </row>
    <row r="26" spans="1:40" x14ac:dyDescent="0.35">
      <c r="AF26" s="154" t="s">
        <v>78</v>
      </c>
      <c r="AG26" s="99" t="s">
        <v>722</v>
      </c>
    </row>
    <row r="27" spans="1:40" x14ac:dyDescent="0.35">
      <c r="AF27" s="154" t="s">
        <v>81</v>
      </c>
      <c r="AG27" s="99" t="s">
        <v>727</v>
      </c>
    </row>
    <row r="28" spans="1:40" x14ac:dyDescent="0.35">
      <c r="AF28" s="154" t="s">
        <v>524</v>
      </c>
      <c r="AG28" s="99" t="s">
        <v>733</v>
      </c>
    </row>
    <row r="29" spans="1:40" x14ac:dyDescent="0.35">
      <c r="AF29" s="154" t="s">
        <v>82</v>
      </c>
      <c r="AG29" s="99" t="s">
        <v>738</v>
      </c>
    </row>
    <row r="30" spans="1:40" x14ac:dyDescent="0.35">
      <c r="AF30" s="154" t="s">
        <v>83</v>
      </c>
      <c r="AG30" s="99" t="s">
        <v>744</v>
      </c>
    </row>
    <row r="31" spans="1:40" x14ac:dyDescent="0.35">
      <c r="AF31" s="154" t="s">
        <v>84</v>
      </c>
      <c r="AG31" s="99" t="s">
        <v>749</v>
      </c>
    </row>
    <row r="32" spans="1:40" x14ac:dyDescent="0.35">
      <c r="AF32" s="154" t="s">
        <v>92</v>
      </c>
      <c r="AG32" s="99" t="s">
        <v>755</v>
      </c>
    </row>
    <row r="33" spans="32:33" x14ac:dyDescent="0.35">
      <c r="AF33" s="154" t="s">
        <v>93</v>
      </c>
      <c r="AG33" s="99" t="s">
        <v>761</v>
      </c>
    </row>
    <row r="34" spans="32:33" x14ac:dyDescent="0.35">
      <c r="AF34" s="154" t="s">
        <v>94</v>
      </c>
      <c r="AG34" s="99" t="s">
        <v>766</v>
      </c>
    </row>
    <row r="35" spans="32:33" x14ac:dyDescent="0.35">
      <c r="AF35" s="154" t="s">
        <v>95</v>
      </c>
      <c r="AG35" s="99" t="s">
        <v>768</v>
      </c>
    </row>
    <row r="36" spans="32:33" x14ac:dyDescent="0.35">
      <c r="AF36" s="154" t="s">
        <v>526</v>
      </c>
      <c r="AG36" s="99" t="s">
        <v>769</v>
      </c>
    </row>
    <row r="37" spans="32:33" x14ac:dyDescent="0.35">
      <c r="AF37" s="28" t="s">
        <v>55</v>
      </c>
      <c r="AG37" s="99" t="s">
        <v>1342</v>
      </c>
    </row>
    <row r="38" spans="32:33" x14ac:dyDescent="0.35">
      <c r="AF38" s="148" t="s">
        <v>625</v>
      </c>
      <c r="AG38" s="99" t="s">
        <v>714</v>
      </c>
    </row>
    <row r="39" spans="32:33" x14ac:dyDescent="0.35">
      <c r="AF39" s="148" t="s">
        <v>626</v>
      </c>
      <c r="AG39" s="99" t="s">
        <v>718</v>
      </c>
    </row>
    <row r="40" spans="32:33" x14ac:dyDescent="0.35">
      <c r="AF40" s="148" t="s">
        <v>616</v>
      </c>
      <c r="AG40" s="99" t="s">
        <v>723</v>
      </c>
    </row>
    <row r="41" spans="32:33" x14ac:dyDescent="0.35">
      <c r="AF41" s="148" t="s">
        <v>627</v>
      </c>
      <c r="AG41" s="99" t="s">
        <v>728</v>
      </c>
    </row>
    <row r="42" spans="32:33" x14ac:dyDescent="0.35">
      <c r="AF42" s="148" t="s">
        <v>621</v>
      </c>
      <c r="AG42" s="99" t="s">
        <v>734</v>
      </c>
    </row>
    <row r="43" spans="32:33" x14ac:dyDescent="0.35">
      <c r="AF43" s="148" t="s">
        <v>624</v>
      </c>
      <c r="AG43" s="99" t="s">
        <v>739</v>
      </c>
    </row>
    <row r="44" spans="32:33" x14ac:dyDescent="0.35">
      <c r="AF44" s="148" t="s">
        <v>642</v>
      </c>
      <c r="AG44" s="99" t="s">
        <v>745</v>
      </c>
    </row>
    <row r="45" spans="32:33" x14ac:dyDescent="0.35">
      <c r="AF45" s="148" t="s">
        <v>619</v>
      </c>
      <c r="AG45" s="99" t="s">
        <v>750</v>
      </c>
    </row>
    <row r="46" spans="32:33" x14ac:dyDescent="0.35">
      <c r="AF46" s="148" t="s">
        <v>629</v>
      </c>
      <c r="AG46" s="99" t="s">
        <v>756</v>
      </c>
    </row>
  </sheetData>
  <mergeCells count="33">
    <mergeCell ref="H5:I6"/>
    <mergeCell ref="A8:H8"/>
    <mergeCell ref="AB8:AD8"/>
    <mergeCell ref="A22:I22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AD5:AD7"/>
    <mergeCell ref="S6:S7"/>
    <mergeCell ref="J5:J7"/>
    <mergeCell ref="N5:Y5"/>
    <mergeCell ref="AB5:AB7"/>
    <mergeCell ref="AC5:AC7"/>
    <mergeCell ref="Z6:Z7"/>
    <mergeCell ref="AA6:AA7"/>
    <mergeCell ref="K6:K7"/>
    <mergeCell ref="L6:L7"/>
    <mergeCell ref="M6:M7"/>
    <mergeCell ref="A5:A7"/>
    <mergeCell ref="B5:B7"/>
    <mergeCell ref="C5:D5"/>
    <mergeCell ref="E5:F5"/>
    <mergeCell ref="G5:G7"/>
    <mergeCell ref="E6:E7"/>
    <mergeCell ref="C6:C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workbookViewId="0">
      <pane ySplit="6" topLeftCell="A13" activePane="bottomLeft" state="frozen"/>
      <selection pane="bottomLeft" activeCell="B26" sqref="B26"/>
    </sheetView>
  </sheetViews>
  <sheetFormatPr defaultColWidth="9.08984375" defaultRowHeight="10.5" x14ac:dyDescent="0.25"/>
  <cols>
    <col min="1" max="1" width="9.08984375" style="27"/>
    <col min="2" max="2" width="34.6328125" style="27" bestFit="1" customWidth="1"/>
    <col min="3" max="4" width="9.08984375" style="27"/>
    <col min="5" max="5" width="13" style="27" customWidth="1"/>
    <col min="6" max="6" width="12.7265625" style="27" customWidth="1"/>
    <col min="7" max="16384" width="9.08984375" style="27"/>
  </cols>
  <sheetData>
    <row r="1" spans="1:21" x14ac:dyDescent="0.25">
      <c r="A1" s="344" t="s">
        <v>1566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28"/>
      <c r="Q1" s="28"/>
      <c r="R1" s="28"/>
      <c r="S1" s="28"/>
      <c r="T1" s="28"/>
      <c r="U1" s="28"/>
    </row>
    <row r="2" spans="1:21" x14ac:dyDescent="0.25">
      <c r="A2" s="344" t="s">
        <v>668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28"/>
      <c r="Q2" s="28"/>
      <c r="R2" s="28"/>
      <c r="S2" s="28"/>
      <c r="T2" s="28"/>
      <c r="U2" s="28"/>
    </row>
    <row r="3" spans="1:21" x14ac:dyDescent="0.25">
      <c r="A3" s="344" t="s">
        <v>596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28"/>
      <c r="Q3" s="28"/>
      <c r="R3" s="28"/>
      <c r="S3" s="28"/>
      <c r="T3" s="28"/>
      <c r="U3" s="28"/>
    </row>
    <row r="4" spans="1:21" ht="11" thickBot="1" x14ac:dyDescent="0.3"/>
    <row r="5" spans="1:21" x14ac:dyDescent="0.25">
      <c r="A5" s="29"/>
      <c r="B5" s="105" t="s">
        <v>600</v>
      </c>
      <c r="C5" s="30" t="s">
        <v>601</v>
      </c>
      <c r="D5" s="30" t="s">
        <v>602</v>
      </c>
      <c r="E5" s="30" t="s">
        <v>603</v>
      </c>
      <c r="F5" s="30" t="s">
        <v>604</v>
      </c>
      <c r="G5" s="30" t="s">
        <v>605</v>
      </c>
      <c r="H5" s="30" t="s">
        <v>606</v>
      </c>
      <c r="I5" s="30" t="s">
        <v>607</v>
      </c>
      <c r="J5" s="30" t="s">
        <v>608</v>
      </c>
      <c r="K5" s="30" t="s">
        <v>609</v>
      </c>
      <c r="L5" s="30" t="s">
        <v>610</v>
      </c>
      <c r="M5" s="30" t="s">
        <v>611</v>
      </c>
      <c r="N5" s="30" t="s">
        <v>612</v>
      </c>
      <c r="O5" s="34" t="s">
        <v>613</v>
      </c>
    </row>
    <row r="6" spans="1:21" x14ac:dyDescent="0.25">
      <c r="A6" s="31"/>
      <c r="B6" s="32"/>
      <c r="C6" s="33" t="s">
        <v>614</v>
      </c>
      <c r="D6" s="33" t="s">
        <v>614</v>
      </c>
      <c r="E6" s="33" t="s">
        <v>614</v>
      </c>
      <c r="F6" s="33" t="s">
        <v>614</v>
      </c>
      <c r="G6" s="33" t="s">
        <v>614</v>
      </c>
      <c r="H6" s="33" t="s">
        <v>614</v>
      </c>
      <c r="I6" s="33" t="s">
        <v>614</v>
      </c>
      <c r="J6" s="33" t="s">
        <v>614</v>
      </c>
      <c r="K6" s="33" t="s">
        <v>614</v>
      </c>
      <c r="L6" s="33" t="s">
        <v>614</v>
      </c>
      <c r="M6" s="33" t="s">
        <v>614</v>
      </c>
      <c r="N6" s="33" t="s">
        <v>614</v>
      </c>
      <c r="O6" s="35" t="s">
        <v>614</v>
      </c>
    </row>
    <row r="7" spans="1:21" x14ac:dyDescent="0.25">
      <c r="A7" s="36"/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</row>
    <row r="8" spans="1:21" x14ac:dyDescent="0.25">
      <c r="A8" s="40" t="s">
        <v>646</v>
      </c>
      <c r="B8" s="41"/>
      <c r="C8" s="42">
        <f>SUM(C9:C14)</f>
        <v>0</v>
      </c>
      <c r="D8" s="43">
        <f t="shared" ref="D8:O8" si="0">SUM(D9:D14)</f>
        <v>0</v>
      </c>
      <c r="E8" s="43">
        <f t="shared" si="0"/>
        <v>0</v>
      </c>
      <c r="F8" s="43">
        <f t="shared" si="0"/>
        <v>0</v>
      </c>
      <c r="G8" s="43">
        <f t="shared" si="0"/>
        <v>0</v>
      </c>
      <c r="H8" s="43">
        <f t="shared" si="0"/>
        <v>0</v>
      </c>
      <c r="I8" s="43">
        <f t="shared" si="0"/>
        <v>0</v>
      </c>
      <c r="J8" s="43">
        <f t="shared" si="0"/>
        <v>0</v>
      </c>
      <c r="K8" s="43">
        <f t="shared" si="0"/>
        <v>0</v>
      </c>
      <c r="L8" s="43">
        <f t="shared" si="0"/>
        <v>0</v>
      </c>
      <c r="M8" s="43">
        <f t="shared" si="0"/>
        <v>0</v>
      </c>
      <c r="N8" s="43">
        <f t="shared" si="0"/>
        <v>0</v>
      </c>
      <c r="O8" s="44">
        <f t="shared" si="0"/>
        <v>0</v>
      </c>
    </row>
    <row r="9" spans="1:21" x14ac:dyDescent="0.25">
      <c r="A9" s="45"/>
      <c r="B9" s="46" t="s">
        <v>647</v>
      </c>
      <c r="C9" s="47">
        <f t="shared" ref="C9:C14" si="1">SUM(D9:O9)</f>
        <v>0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2"/>
    </row>
    <row r="10" spans="1:21" x14ac:dyDescent="0.25">
      <c r="A10" s="45"/>
      <c r="B10" s="46" t="s">
        <v>648</v>
      </c>
      <c r="C10" s="47">
        <f t="shared" si="1"/>
        <v>0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spans="1:21" x14ac:dyDescent="0.25">
      <c r="A11" s="45"/>
      <c r="B11" s="46" t="s">
        <v>649</v>
      </c>
      <c r="C11" s="47">
        <f t="shared" si="1"/>
        <v>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2"/>
    </row>
    <row r="12" spans="1:21" x14ac:dyDescent="0.25">
      <c r="A12" s="45"/>
      <c r="B12" s="46" t="s">
        <v>650</v>
      </c>
      <c r="C12" s="47">
        <f t="shared" si="1"/>
        <v>0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2"/>
    </row>
    <row r="13" spans="1:21" x14ac:dyDescent="0.25">
      <c r="A13" s="45"/>
      <c r="B13" s="46" t="s">
        <v>651</v>
      </c>
      <c r="C13" s="47">
        <f t="shared" si="1"/>
        <v>0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</row>
    <row r="14" spans="1:21" x14ac:dyDescent="0.25">
      <c r="A14" s="103"/>
      <c r="B14" s="104" t="s">
        <v>652</v>
      </c>
      <c r="C14" s="47">
        <f t="shared" si="1"/>
        <v>0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2"/>
    </row>
    <row r="15" spans="1:21" x14ac:dyDescent="0.25">
      <c r="A15" s="55"/>
      <c r="B15" s="102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7"/>
    </row>
    <row r="16" spans="1:21" x14ac:dyDescent="0.25">
      <c r="A16" s="40" t="s">
        <v>653</v>
      </c>
      <c r="B16" s="41"/>
      <c r="C16" s="42">
        <f t="shared" ref="C16:O16" si="2">SUM(C17:C35)</f>
        <v>0</v>
      </c>
      <c r="D16" s="43">
        <f t="shared" si="2"/>
        <v>0</v>
      </c>
      <c r="E16" s="43">
        <f t="shared" si="2"/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  <c r="N16" s="43">
        <f t="shared" si="2"/>
        <v>0</v>
      </c>
      <c r="O16" s="44">
        <f t="shared" si="2"/>
        <v>0</v>
      </c>
    </row>
    <row r="17" spans="1:15" x14ac:dyDescent="0.25">
      <c r="A17" s="45"/>
      <c r="B17" s="46" t="s">
        <v>654</v>
      </c>
      <c r="C17" s="47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</row>
    <row r="18" spans="1:15" x14ac:dyDescent="0.25">
      <c r="A18" s="45"/>
      <c r="B18" s="58" t="s">
        <v>77</v>
      </c>
      <c r="C18" s="47">
        <f t="shared" ref="C18:C23" si="3">SUM(D18:O18)</f>
        <v>0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spans="1:15" x14ac:dyDescent="0.25">
      <c r="A19" s="45"/>
      <c r="B19" s="58" t="s">
        <v>78</v>
      </c>
      <c r="C19" s="47">
        <f t="shared" si="3"/>
        <v>0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</row>
    <row r="20" spans="1:15" x14ac:dyDescent="0.25">
      <c r="A20" s="45"/>
      <c r="B20" s="58" t="s">
        <v>80</v>
      </c>
      <c r="C20" s="47">
        <f t="shared" si="3"/>
        <v>0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2"/>
    </row>
    <row r="21" spans="1:15" x14ac:dyDescent="0.25">
      <c r="A21" s="45"/>
      <c r="B21" s="58" t="s">
        <v>84</v>
      </c>
      <c r="C21" s="47">
        <f t="shared" si="3"/>
        <v>0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2"/>
    </row>
    <row r="22" spans="1:15" x14ac:dyDescent="0.25">
      <c r="A22" s="45"/>
      <c r="B22" s="58" t="s">
        <v>552</v>
      </c>
      <c r="C22" s="47">
        <f t="shared" si="3"/>
        <v>0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</row>
    <row r="23" spans="1:15" x14ac:dyDescent="0.25">
      <c r="A23" s="45"/>
      <c r="B23" s="58" t="s">
        <v>564</v>
      </c>
      <c r="C23" s="47">
        <f t="shared" si="3"/>
        <v>0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2"/>
    </row>
    <row r="24" spans="1:15" x14ac:dyDescent="0.25">
      <c r="A24" s="45"/>
      <c r="B24" s="58"/>
      <c r="C24" s="47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</row>
    <row r="25" spans="1:15" x14ac:dyDescent="0.25">
      <c r="A25" s="45"/>
      <c r="B25" s="46" t="s">
        <v>655</v>
      </c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9"/>
    </row>
    <row r="26" spans="1:15" x14ac:dyDescent="0.25">
      <c r="A26" s="45"/>
      <c r="B26" s="58" t="s">
        <v>77</v>
      </c>
      <c r="C26" s="47">
        <f t="shared" ref="C26:C31" si="4">SUM(D26:O26)</f>
        <v>0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2"/>
    </row>
    <row r="27" spans="1:15" x14ac:dyDescent="0.25">
      <c r="A27" s="45"/>
      <c r="B27" s="58" t="s">
        <v>78</v>
      </c>
      <c r="C27" s="47">
        <f t="shared" si="4"/>
        <v>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2"/>
    </row>
    <row r="28" spans="1:15" x14ac:dyDescent="0.25">
      <c r="A28" s="45"/>
      <c r="B28" s="58" t="s">
        <v>80</v>
      </c>
      <c r="C28" s="47">
        <f t="shared" si="4"/>
        <v>0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2"/>
    </row>
    <row r="29" spans="1:15" x14ac:dyDescent="0.25">
      <c r="A29" s="45"/>
      <c r="B29" s="58" t="s">
        <v>84</v>
      </c>
      <c r="C29" s="47">
        <f t="shared" si="4"/>
        <v>0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</row>
    <row r="30" spans="1:15" x14ac:dyDescent="0.25">
      <c r="A30" s="45"/>
      <c r="B30" s="58" t="s">
        <v>552</v>
      </c>
      <c r="C30" s="47">
        <f t="shared" si="4"/>
        <v>0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</row>
    <row r="31" spans="1:15" x14ac:dyDescent="0.25">
      <c r="A31" s="45"/>
      <c r="B31" s="58" t="s">
        <v>564</v>
      </c>
      <c r="C31" s="47">
        <f t="shared" si="4"/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2"/>
    </row>
    <row r="32" spans="1:15" x14ac:dyDescent="0.25">
      <c r="A32" s="45"/>
      <c r="B32" s="50"/>
      <c r="C32" s="47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</row>
    <row r="33" spans="1:15" x14ac:dyDescent="0.25">
      <c r="A33" s="45"/>
      <c r="B33" s="46" t="s">
        <v>665</v>
      </c>
      <c r="C33" s="47">
        <f>SUM(D33:O33)</f>
        <v>0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2"/>
    </row>
    <row r="34" spans="1:15" x14ac:dyDescent="0.25">
      <c r="A34" s="53"/>
      <c r="B34" s="61"/>
      <c r="C34" s="54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0"/>
    </row>
    <row r="35" spans="1:15" x14ac:dyDescent="0.25">
      <c r="A35" s="62"/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5"/>
    </row>
    <row r="36" spans="1:15" x14ac:dyDescent="0.25">
      <c r="A36" s="40" t="s">
        <v>660</v>
      </c>
      <c r="B36" s="41"/>
      <c r="C36" s="42">
        <f t="shared" ref="C36:O36" si="5">SUM(C37:C41)</f>
        <v>0</v>
      </c>
      <c r="D36" s="43">
        <f t="shared" si="5"/>
        <v>0</v>
      </c>
      <c r="E36" s="43">
        <f t="shared" si="5"/>
        <v>0</v>
      </c>
      <c r="F36" s="43">
        <f t="shared" si="5"/>
        <v>0</v>
      </c>
      <c r="G36" s="43">
        <f t="shared" si="5"/>
        <v>0</v>
      </c>
      <c r="H36" s="43">
        <f t="shared" si="5"/>
        <v>0</v>
      </c>
      <c r="I36" s="43">
        <f t="shared" si="5"/>
        <v>0</v>
      </c>
      <c r="J36" s="43">
        <f t="shared" si="5"/>
        <v>0</v>
      </c>
      <c r="K36" s="43">
        <f t="shared" si="5"/>
        <v>0</v>
      </c>
      <c r="L36" s="43">
        <f t="shared" si="5"/>
        <v>0</v>
      </c>
      <c r="M36" s="43">
        <f t="shared" si="5"/>
        <v>0</v>
      </c>
      <c r="N36" s="43">
        <f t="shared" si="5"/>
        <v>0</v>
      </c>
      <c r="O36" s="44">
        <f t="shared" si="5"/>
        <v>0</v>
      </c>
    </row>
    <row r="37" spans="1:15" x14ac:dyDescent="0.25">
      <c r="A37" s="45"/>
      <c r="B37" s="46" t="s">
        <v>658</v>
      </c>
      <c r="C37" s="47">
        <f>SUM(D37:O37)</f>
        <v>0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2"/>
    </row>
    <row r="38" spans="1:15" x14ac:dyDescent="0.25">
      <c r="A38" s="45"/>
      <c r="B38" s="46" t="s">
        <v>659</v>
      </c>
      <c r="C38" s="47">
        <f>SUM(D38:O38)</f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2"/>
    </row>
    <row r="39" spans="1:15" x14ac:dyDescent="0.25">
      <c r="A39" s="45"/>
      <c r="B39" s="46" t="s">
        <v>656</v>
      </c>
      <c r="C39" s="47">
        <f>SUM(D39:O39)</f>
        <v>0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2"/>
    </row>
    <row r="40" spans="1:15" x14ac:dyDescent="0.25">
      <c r="A40" s="45"/>
      <c r="B40" s="46" t="s">
        <v>657</v>
      </c>
      <c r="C40" s="47">
        <f>SUM(D40:O40)</f>
        <v>0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2"/>
    </row>
    <row r="41" spans="1:15" x14ac:dyDescent="0.25">
      <c r="A41" s="62"/>
      <c r="B41" s="63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7"/>
    </row>
    <row r="42" spans="1:15" x14ac:dyDescent="0.25">
      <c r="A42" s="68" t="s">
        <v>661</v>
      </c>
      <c r="B42" s="69"/>
      <c r="C42" s="70">
        <f t="shared" ref="C42:O42" si="6">C8+C16+C36</f>
        <v>0</v>
      </c>
      <c r="D42" s="71">
        <f t="shared" si="6"/>
        <v>0</v>
      </c>
      <c r="E42" s="72">
        <f t="shared" si="6"/>
        <v>0</v>
      </c>
      <c r="F42" s="72">
        <f t="shared" si="6"/>
        <v>0</v>
      </c>
      <c r="G42" s="72">
        <f t="shared" si="6"/>
        <v>0</v>
      </c>
      <c r="H42" s="72">
        <f t="shared" si="6"/>
        <v>0</v>
      </c>
      <c r="I42" s="72">
        <f t="shared" si="6"/>
        <v>0</v>
      </c>
      <c r="J42" s="72">
        <f t="shared" si="6"/>
        <v>0</v>
      </c>
      <c r="K42" s="72">
        <f t="shared" si="6"/>
        <v>0</v>
      </c>
      <c r="L42" s="72">
        <f t="shared" si="6"/>
        <v>0</v>
      </c>
      <c r="M42" s="72">
        <f t="shared" si="6"/>
        <v>0</v>
      </c>
      <c r="N42" s="72">
        <f t="shared" si="6"/>
        <v>0</v>
      </c>
      <c r="O42" s="73">
        <f t="shared" si="6"/>
        <v>0</v>
      </c>
    </row>
    <row r="43" spans="1:15" x14ac:dyDescent="0.25">
      <c r="A43" s="55"/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6"/>
    </row>
    <row r="44" spans="1:15" x14ac:dyDescent="0.25">
      <c r="A44" s="77" t="s">
        <v>662</v>
      </c>
      <c r="B44" s="78"/>
      <c r="C44" s="79">
        <f>D44</f>
        <v>0</v>
      </c>
      <c r="D44" s="80"/>
      <c r="E44" s="81">
        <f>IF(E42=0,0,D46)</f>
        <v>0</v>
      </c>
      <c r="F44" s="81">
        <f t="shared" ref="F44:O44" si="7">IF(F42=0,0,E46)</f>
        <v>0</v>
      </c>
      <c r="G44" s="81">
        <f t="shared" si="7"/>
        <v>0</v>
      </c>
      <c r="H44" s="81">
        <f t="shared" si="7"/>
        <v>0</v>
      </c>
      <c r="I44" s="81">
        <f t="shared" si="7"/>
        <v>0</v>
      </c>
      <c r="J44" s="81">
        <f t="shared" si="7"/>
        <v>0</v>
      </c>
      <c r="K44" s="81">
        <f t="shared" si="7"/>
        <v>0</v>
      </c>
      <c r="L44" s="81">
        <f t="shared" si="7"/>
        <v>0</v>
      </c>
      <c r="M44" s="81">
        <f t="shared" si="7"/>
        <v>0</v>
      </c>
      <c r="N44" s="81">
        <f t="shared" si="7"/>
        <v>0</v>
      </c>
      <c r="O44" s="82">
        <f t="shared" si="7"/>
        <v>0</v>
      </c>
    </row>
    <row r="45" spans="1:15" x14ac:dyDescent="0.25">
      <c r="A45" s="55"/>
      <c r="B45" s="74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4"/>
    </row>
    <row r="46" spans="1:15" ht="11" thickBot="1" x14ac:dyDescent="0.3">
      <c r="A46" s="85" t="s">
        <v>663</v>
      </c>
      <c r="B46" s="86"/>
      <c r="C46" s="87">
        <f>C44+C42</f>
        <v>0</v>
      </c>
      <c r="D46" s="88">
        <f t="shared" ref="D46:O46" si="8">D44+D42</f>
        <v>0</v>
      </c>
      <c r="E46" s="89">
        <f t="shared" si="8"/>
        <v>0</v>
      </c>
      <c r="F46" s="89">
        <f t="shared" si="8"/>
        <v>0</v>
      </c>
      <c r="G46" s="89">
        <f t="shared" si="8"/>
        <v>0</v>
      </c>
      <c r="H46" s="89">
        <f t="shared" si="8"/>
        <v>0</v>
      </c>
      <c r="I46" s="89">
        <f t="shared" si="8"/>
        <v>0</v>
      </c>
      <c r="J46" s="89">
        <f t="shared" si="8"/>
        <v>0</v>
      </c>
      <c r="K46" s="89">
        <f t="shared" si="8"/>
        <v>0</v>
      </c>
      <c r="L46" s="89">
        <f t="shared" si="8"/>
        <v>0</v>
      </c>
      <c r="M46" s="89">
        <f t="shared" si="8"/>
        <v>0</v>
      </c>
      <c r="N46" s="89">
        <f t="shared" si="8"/>
        <v>0</v>
      </c>
      <c r="O46" s="90">
        <f t="shared" si="8"/>
        <v>0</v>
      </c>
    </row>
    <row r="47" spans="1:15" x14ac:dyDescent="0.25">
      <c r="A47" s="91"/>
      <c r="B47" s="91"/>
      <c r="C47" s="92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</row>
    <row r="48" spans="1:15" ht="11" thickBot="1" x14ac:dyDescent="0.3">
      <c r="A48" s="93" t="s">
        <v>664</v>
      </c>
      <c r="B48" s="94"/>
      <c r="C48" s="95"/>
      <c r="D48" s="96"/>
      <c r="E48" s="97">
        <f>[1]KONV!C204</f>
        <v>0</v>
      </c>
      <c r="F48" s="97">
        <f>[1]KONV!D204</f>
        <v>0</v>
      </c>
      <c r="G48" s="97">
        <f>[1]KONV!E204</f>
        <v>0</v>
      </c>
      <c r="H48" s="97">
        <f>[1]KONV!F204</f>
        <v>0</v>
      </c>
      <c r="I48" s="97">
        <f>[1]KONV!G204</f>
        <v>0</v>
      </c>
      <c r="J48" s="97">
        <f>[1]KONV!H204</f>
        <v>0</v>
      </c>
      <c r="K48" s="97">
        <f>[1]KONV!I204</f>
        <v>0</v>
      </c>
      <c r="L48" s="97">
        <f>[1]KONV!J204</f>
        <v>0</v>
      </c>
      <c r="M48" s="97">
        <f>[1]KONV!K204</f>
        <v>0</v>
      </c>
      <c r="N48" s="97">
        <f>[1]KONV!L204</f>
        <v>0</v>
      </c>
      <c r="O48" s="98">
        <f>[1]KONV!M204</f>
        <v>0</v>
      </c>
    </row>
  </sheetData>
  <mergeCells count="3">
    <mergeCell ref="A1:O1"/>
    <mergeCell ref="A2:O2"/>
    <mergeCell ref="A3:O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K26"/>
  <sheetViews>
    <sheetView workbookViewId="0">
      <pane xSplit="6" ySplit="6" topLeftCell="G7" activePane="bottomRight" state="frozen"/>
      <selection activeCell="D21" sqref="D21"/>
      <selection pane="topRight" activeCell="D21" sqref="D21"/>
      <selection pane="bottomLeft" activeCell="D21" sqref="D21"/>
      <selection pane="bottomRight" activeCell="B11" sqref="B11"/>
    </sheetView>
  </sheetViews>
  <sheetFormatPr defaultColWidth="9.08984375" defaultRowHeight="13" x14ac:dyDescent="0.3"/>
  <cols>
    <col min="1" max="1" width="3.7265625" style="115" customWidth="1"/>
    <col min="2" max="2" width="42.6328125" style="115" customWidth="1"/>
    <col min="3" max="3" width="15.7265625" style="115" customWidth="1"/>
    <col min="4" max="6" width="15.7265625" style="280" customWidth="1"/>
    <col min="7" max="11" width="14.7265625" style="280" customWidth="1"/>
    <col min="12" max="12" width="24.6328125" style="115" bestFit="1" customWidth="1"/>
    <col min="13" max="16384" width="9.08984375" style="115"/>
  </cols>
  <sheetData>
    <row r="1" spans="1:11" x14ac:dyDescent="0.3">
      <c r="A1" s="345" t="s">
        <v>1566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</row>
    <row r="2" spans="1:11" x14ac:dyDescent="0.3">
      <c r="A2" s="346" t="s">
        <v>667</v>
      </c>
      <c r="B2" s="346"/>
      <c r="C2" s="346"/>
      <c r="D2" s="346"/>
      <c r="E2" s="346"/>
      <c r="F2" s="347"/>
      <c r="G2" s="346"/>
      <c r="H2" s="346"/>
      <c r="I2" s="346"/>
      <c r="J2" s="346"/>
      <c r="K2" s="345"/>
    </row>
    <row r="3" spans="1:11" x14ac:dyDescent="0.3">
      <c r="A3" s="346" t="s">
        <v>1585</v>
      </c>
      <c r="B3" s="346"/>
      <c r="C3" s="346"/>
      <c r="D3" s="346"/>
      <c r="E3" s="346"/>
      <c r="F3" s="346"/>
      <c r="G3" s="346"/>
      <c r="H3" s="346"/>
      <c r="I3" s="346"/>
      <c r="J3" s="346"/>
      <c r="K3" s="345"/>
    </row>
    <row r="4" spans="1:11" x14ac:dyDescent="0.3">
      <c r="A4" s="109"/>
      <c r="B4" s="109"/>
      <c r="C4" s="110"/>
      <c r="D4" s="276"/>
      <c r="E4" s="276"/>
      <c r="F4" s="284"/>
      <c r="G4" s="276"/>
      <c r="H4" s="276"/>
      <c r="I4" s="276"/>
      <c r="J4" s="276"/>
      <c r="K4" s="276"/>
    </row>
    <row r="5" spans="1:11" x14ac:dyDescent="0.3">
      <c r="A5" s="117" t="s">
        <v>673</v>
      </c>
      <c r="B5" s="111" t="s">
        <v>678</v>
      </c>
      <c r="C5" s="117" t="s">
        <v>669</v>
      </c>
      <c r="D5" s="277" t="s">
        <v>672</v>
      </c>
      <c r="E5" s="281"/>
      <c r="F5" s="285" t="s">
        <v>669</v>
      </c>
      <c r="G5" s="282" t="s">
        <v>667</v>
      </c>
      <c r="H5" s="287"/>
      <c r="I5" s="287"/>
      <c r="J5" s="287"/>
      <c r="K5" s="289"/>
    </row>
    <row r="6" spans="1:11" x14ac:dyDescent="0.3">
      <c r="A6" s="112"/>
      <c r="B6" s="112"/>
      <c r="C6" s="114" t="s">
        <v>670</v>
      </c>
      <c r="D6" s="278" t="s">
        <v>674</v>
      </c>
      <c r="E6" s="278" t="s">
        <v>676</v>
      </c>
      <c r="F6" s="286" t="s">
        <v>671</v>
      </c>
      <c r="G6" s="283" t="s">
        <v>681</v>
      </c>
      <c r="H6" s="283" t="s">
        <v>682</v>
      </c>
      <c r="I6" s="288" t="s">
        <v>679</v>
      </c>
      <c r="J6" s="288" t="s">
        <v>680</v>
      </c>
      <c r="K6" s="288" t="s">
        <v>683</v>
      </c>
    </row>
    <row r="7" spans="1:11" x14ac:dyDescent="0.3">
      <c r="A7" s="131">
        <v>1</v>
      </c>
      <c r="B7" s="131" t="s">
        <v>1586</v>
      </c>
      <c r="C7" s="131">
        <v>0</v>
      </c>
      <c r="D7" s="279">
        <v>1352400</v>
      </c>
      <c r="E7" s="279">
        <v>0</v>
      </c>
      <c r="F7" s="279">
        <f>C7+D7-E7</f>
        <v>1352400</v>
      </c>
      <c r="G7" s="279"/>
      <c r="H7" s="279">
        <f>F7</f>
        <v>1352400</v>
      </c>
      <c r="I7" s="279"/>
      <c r="J7" s="279"/>
      <c r="K7" s="279"/>
    </row>
    <row r="8" spans="1:11" x14ac:dyDescent="0.3">
      <c r="A8" s="131">
        <v>2</v>
      </c>
      <c r="B8" s="131" t="s">
        <v>1587</v>
      </c>
      <c r="C8" s="131">
        <v>0</v>
      </c>
      <c r="D8" s="279">
        <v>676200</v>
      </c>
      <c r="E8" s="279">
        <v>0</v>
      </c>
      <c r="F8" s="279">
        <f>C8+D8-E8</f>
        <v>676200</v>
      </c>
      <c r="G8" s="279"/>
      <c r="H8" s="279">
        <f>F8</f>
        <v>676200</v>
      </c>
      <c r="I8" s="279"/>
      <c r="J8" s="279"/>
      <c r="K8" s="279"/>
    </row>
    <row r="9" spans="1:11" x14ac:dyDescent="0.3">
      <c r="A9" s="131">
        <v>3</v>
      </c>
      <c r="B9" s="131" t="s">
        <v>1588</v>
      </c>
      <c r="C9" s="131">
        <v>0</v>
      </c>
      <c r="D9" s="279">
        <v>688275</v>
      </c>
      <c r="E9" s="279">
        <v>-53137.05</v>
      </c>
      <c r="F9" s="290">
        <v>635137.94999999995</v>
      </c>
      <c r="G9" s="279"/>
      <c r="H9" s="279">
        <v>688275</v>
      </c>
      <c r="I9" s="279"/>
      <c r="J9" s="279"/>
      <c r="K9" s="279"/>
    </row>
    <row r="10" spans="1:11" x14ac:dyDescent="0.3">
      <c r="A10" s="131">
        <v>4</v>
      </c>
      <c r="B10" s="131" t="s">
        <v>1589</v>
      </c>
      <c r="C10" s="131">
        <v>0</v>
      </c>
      <c r="D10" s="279">
        <v>1014300</v>
      </c>
      <c r="E10" s="279">
        <v>0</v>
      </c>
      <c r="F10" s="279">
        <f t="shared" ref="F10:F23" si="0">C10+D10-E10</f>
        <v>1014300</v>
      </c>
      <c r="G10" s="279">
        <f t="shared" ref="G10:G23" si="1">F10</f>
        <v>1014300</v>
      </c>
      <c r="H10" s="279"/>
      <c r="I10" s="279"/>
      <c r="J10" s="279"/>
      <c r="K10" s="279"/>
    </row>
    <row r="11" spans="1:11" x14ac:dyDescent="0.3">
      <c r="A11" s="131">
        <v>5</v>
      </c>
      <c r="B11" s="131" t="s">
        <v>1590</v>
      </c>
      <c r="C11" s="131">
        <v>0</v>
      </c>
      <c r="D11" s="279">
        <v>835763</v>
      </c>
      <c r="E11" s="279">
        <v>0</v>
      </c>
      <c r="F11" s="279">
        <f t="shared" si="0"/>
        <v>835763</v>
      </c>
      <c r="G11" s="279">
        <f t="shared" si="1"/>
        <v>835763</v>
      </c>
      <c r="H11" s="279"/>
      <c r="I11" s="279"/>
      <c r="J11" s="279"/>
      <c r="K11" s="279"/>
    </row>
    <row r="12" spans="1:11" x14ac:dyDescent="0.3">
      <c r="A12" s="131">
        <v>6</v>
      </c>
      <c r="B12" s="131" t="s">
        <v>1591</v>
      </c>
      <c r="C12" s="131">
        <v>0</v>
      </c>
      <c r="D12" s="279">
        <v>35462082</v>
      </c>
      <c r="E12" s="279">
        <v>0</v>
      </c>
      <c r="F12" s="279">
        <f t="shared" si="0"/>
        <v>35462082</v>
      </c>
      <c r="G12" s="279">
        <v>35462082</v>
      </c>
      <c r="H12" s="279">
        <v>0</v>
      </c>
      <c r="I12" s="279"/>
      <c r="J12" s="279"/>
      <c r="K12" s="279"/>
    </row>
    <row r="13" spans="1:11" x14ac:dyDescent="0.3">
      <c r="A13" s="131">
        <v>7</v>
      </c>
      <c r="B13" s="131" t="s">
        <v>1592</v>
      </c>
      <c r="C13" s="131">
        <v>0</v>
      </c>
      <c r="D13" s="279">
        <v>609221</v>
      </c>
      <c r="E13" s="279"/>
      <c r="F13" s="279">
        <f t="shared" si="0"/>
        <v>609221</v>
      </c>
      <c r="G13" s="279">
        <f>F13</f>
        <v>609221</v>
      </c>
      <c r="H13" s="279">
        <v>0</v>
      </c>
      <c r="I13" s="279"/>
      <c r="J13" s="279"/>
      <c r="K13" s="279"/>
    </row>
    <row r="14" spans="1:11" x14ac:dyDescent="0.3">
      <c r="A14" s="131">
        <v>8</v>
      </c>
      <c r="B14" s="131" t="s">
        <v>1595</v>
      </c>
      <c r="C14" s="131">
        <v>0</v>
      </c>
      <c r="D14" s="279">
        <v>1200000</v>
      </c>
      <c r="E14" s="279"/>
      <c r="F14" s="279">
        <f t="shared" si="0"/>
        <v>1200000</v>
      </c>
      <c r="G14" s="279">
        <v>600000</v>
      </c>
      <c r="H14" s="279">
        <v>600000</v>
      </c>
      <c r="I14" s="279"/>
      <c r="J14" s="279"/>
      <c r="K14" s="279"/>
    </row>
    <row r="15" spans="1:11" x14ac:dyDescent="0.3">
      <c r="A15" s="131">
        <v>9</v>
      </c>
      <c r="B15" s="131" t="s">
        <v>1593</v>
      </c>
      <c r="C15" s="131">
        <v>0</v>
      </c>
      <c r="D15" s="279">
        <v>900000</v>
      </c>
      <c r="E15" s="279"/>
      <c r="F15" s="279">
        <f t="shared" si="0"/>
        <v>900000</v>
      </c>
      <c r="G15" s="279">
        <f t="shared" si="1"/>
        <v>900000</v>
      </c>
      <c r="H15" s="279"/>
      <c r="I15" s="279"/>
      <c r="J15" s="279"/>
      <c r="K15" s="279"/>
    </row>
    <row r="16" spans="1:11" x14ac:dyDescent="0.3">
      <c r="A16" s="131"/>
      <c r="B16" s="131" t="s">
        <v>1594</v>
      </c>
      <c r="C16" s="131">
        <v>0</v>
      </c>
      <c r="D16" s="279">
        <v>975000</v>
      </c>
      <c r="E16" s="279"/>
      <c r="F16" s="279">
        <f t="shared" si="0"/>
        <v>975000</v>
      </c>
      <c r="G16" s="279">
        <f t="shared" si="1"/>
        <v>975000</v>
      </c>
      <c r="H16" s="279"/>
      <c r="I16" s="279"/>
      <c r="J16" s="279"/>
      <c r="K16" s="279"/>
    </row>
    <row r="17" spans="1:11" x14ac:dyDescent="0.3">
      <c r="A17" s="131"/>
      <c r="B17" s="131"/>
      <c r="C17" s="131">
        <v>0</v>
      </c>
      <c r="D17" s="279"/>
      <c r="E17" s="279"/>
      <c r="F17" s="279">
        <f t="shared" si="0"/>
        <v>0</v>
      </c>
      <c r="G17" s="279">
        <f t="shared" si="1"/>
        <v>0</v>
      </c>
      <c r="H17" s="279"/>
      <c r="I17" s="279"/>
      <c r="J17" s="279"/>
      <c r="K17" s="279"/>
    </row>
    <row r="18" spans="1:11" x14ac:dyDescent="0.3">
      <c r="A18" s="131"/>
      <c r="B18" s="131"/>
      <c r="C18" s="131">
        <v>0</v>
      </c>
      <c r="D18" s="279"/>
      <c r="E18" s="279"/>
      <c r="F18" s="279">
        <f t="shared" si="0"/>
        <v>0</v>
      </c>
      <c r="G18" s="279">
        <f t="shared" si="1"/>
        <v>0</v>
      </c>
      <c r="H18" s="279"/>
      <c r="I18" s="279"/>
      <c r="J18" s="279"/>
      <c r="K18" s="279"/>
    </row>
    <row r="19" spans="1:11" x14ac:dyDescent="0.3">
      <c r="A19" s="131"/>
      <c r="B19" s="131"/>
      <c r="C19" s="131">
        <v>0</v>
      </c>
      <c r="D19" s="279"/>
      <c r="E19" s="279"/>
      <c r="F19" s="279">
        <f t="shared" si="0"/>
        <v>0</v>
      </c>
      <c r="G19" s="279">
        <f t="shared" si="1"/>
        <v>0</v>
      </c>
      <c r="H19" s="279"/>
      <c r="I19" s="279"/>
      <c r="J19" s="279"/>
      <c r="K19" s="279"/>
    </row>
    <row r="20" spans="1:11" x14ac:dyDescent="0.3">
      <c r="A20" s="131"/>
      <c r="B20" s="131"/>
      <c r="C20" s="131">
        <v>0</v>
      </c>
      <c r="D20" s="279"/>
      <c r="E20" s="279"/>
      <c r="F20" s="279">
        <f t="shared" si="0"/>
        <v>0</v>
      </c>
      <c r="G20" s="279">
        <f t="shared" si="1"/>
        <v>0</v>
      </c>
      <c r="H20" s="279"/>
      <c r="I20" s="279"/>
      <c r="J20" s="279"/>
      <c r="K20" s="279"/>
    </row>
    <row r="21" spans="1:11" x14ac:dyDescent="0.3">
      <c r="A21" s="131"/>
      <c r="B21" s="131"/>
      <c r="C21" s="131">
        <v>0</v>
      </c>
      <c r="D21" s="279"/>
      <c r="E21" s="279"/>
      <c r="F21" s="279">
        <f t="shared" si="0"/>
        <v>0</v>
      </c>
      <c r="G21" s="279">
        <f t="shared" si="1"/>
        <v>0</v>
      </c>
      <c r="H21" s="279"/>
      <c r="I21" s="279"/>
      <c r="J21" s="279"/>
      <c r="K21" s="279"/>
    </row>
    <row r="22" spans="1:11" x14ac:dyDescent="0.3">
      <c r="A22" s="131"/>
      <c r="B22" s="131"/>
      <c r="C22" s="131">
        <v>0</v>
      </c>
      <c r="D22" s="279"/>
      <c r="E22" s="279"/>
      <c r="F22" s="279">
        <f t="shared" si="0"/>
        <v>0</v>
      </c>
      <c r="G22" s="279">
        <f t="shared" si="1"/>
        <v>0</v>
      </c>
      <c r="H22" s="279"/>
      <c r="I22" s="279"/>
      <c r="J22" s="279"/>
      <c r="K22" s="279"/>
    </row>
    <row r="23" spans="1:11" x14ac:dyDescent="0.3">
      <c r="A23" s="131"/>
      <c r="B23" s="131"/>
      <c r="C23" s="131">
        <v>0</v>
      </c>
      <c r="D23" s="279"/>
      <c r="E23" s="279"/>
      <c r="F23" s="279">
        <f t="shared" si="0"/>
        <v>0</v>
      </c>
      <c r="G23" s="279">
        <f t="shared" si="1"/>
        <v>0</v>
      </c>
      <c r="H23" s="279"/>
      <c r="I23" s="279"/>
      <c r="J23" s="279"/>
      <c r="K23" s="279"/>
    </row>
    <row r="24" spans="1:11" x14ac:dyDescent="0.3">
      <c r="A24" s="131"/>
      <c r="B24" s="131"/>
      <c r="C24" s="131"/>
      <c r="D24" s="279"/>
      <c r="E24" s="279"/>
      <c r="F24" s="279"/>
      <c r="G24" s="279"/>
      <c r="H24" s="279"/>
      <c r="I24" s="279"/>
      <c r="J24" s="279"/>
      <c r="K24" s="279"/>
    </row>
    <row r="25" spans="1:11" x14ac:dyDescent="0.3">
      <c r="A25" s="131"/>
      <c r="B25" s="131" t="s">
        <v>1584</v>
      </c>
      <c r="C25" s="279">
        <f t="shared" ref="C25:K25" si="2">SUM(C7:C24)</f>
        <v>0</v>
      </c>
      <c r="D25" s="279">
        <f t="shared" si="2"/>
        <v>43713241</v>
      </c>
      <c r="E25" s="279">
        <f t="shared" si="2"/>
        <v>-53137.05</v>
      </c>
      <c r="F25" s="290">
        <f t="shared" si="2"/>
        <v>43660103.950000003</v>
      </c>
      <c r="G25" s="279">
        <f t="shared" si="2"/>
        <v>40396366</v>
      </c>
      <c r="H25" s="279">
        <f t="shared" si="2"/>
        <v>3316875</v>
      </c>
      <c r="I25" s="279">
        <f t="shared" si="2"/>
        <v>0</v>
      </c>
      <c r="J25" s="279">
        <f t="shared" si="2"/>
        <v>0</v>
      </c>
      <c r="K25" s="279">
        <f t="shared" si="2"/>
        <v>0</v>
      </c>
    </row>
    <row r="26" spans="1:11" x14ac:dyDescent="0.3">
      <c r="B26" s="115" t="s">
        <v>1596</v>
      </c>
      <c r="C26" s="293">
        <v>5.62E-2</v>
      </c>
      <c r="D26" s="291">
        <v>1</v>
      </c>
      <c r="E26" s="292">
        <f>E25/D25</f>
        <v>-1.2155824822048771E-3</v>
      </c>
      <c r="F26" s="291"/>
      <c r="G26" s="292">
        <f>G25/F25</f>
        <v>0.92524667477343459</v>
      </c>
      <c r="H26" s="292">
        <f>H25/F25</f>
        <v>7.5970387147921564E-2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45"/>
  <sheetViews>
    <sheetView workbookViewId="0">
      <pane xSplit="6" ySplit="6" topLeftCell="G16" activePane="bottomRight" state="frozen"/>
      <selection activeCell="D21" sqref="D21"/>
      <selection pane="topRight" activeCell="D21" sqref="D21"/>
      <selection pane="bottomLeft" activeCell="D21" sqref="D21"/>
      <selection pane="bottomRight" activeCell="A23" sqref="A23:A45"/>
    </sheetView>
  </sheetViews>
  <sheetFormatPr defaultColWidth="9.08984375" defaultRowHeight="13" x14ac:dyDescent="0.3"/>
  <cols>
    <col min="1" max="1" width="3.7265625" style="115" customWidth="1"/>
    <col min="2" max="2" width="28.7265625" style="115" customWidth="1"/>
    <col min="3" max="3" width="21" style="115" customWidth="1"/>
    <col min="4" max="6" width="15.7265625" style="115" customWidth="1"/>
    <col min="7" max="11" width="14.7265625" style="115" customWidth="1"/>
    <col min="12" max="12" width="24.6328125" style="115" bestFit="1" customWidth="1"/>
    <col min="13" max="16384" width="9.08984375" style="115"/>
  </cols>
  <sheetData>
    <row r="1" spans="1:11" x14ac:dyDescent="0.3">
      <c r="A1" s="346" t="s">
        <v>1566</v>
      </c>
      <c r="B1" s="346"/>
      <c r="C1" s="346"/>
      <c r="D1" s="346"/>
      <c r="E1" s="346"/>
      <c r="F1" s="347"/>
      <c r="G1" s="346"/>
      <c r="H1" s="346"/>
      <c r="I1" s="346"/>
      <c r="J1" s="346"/>
      <c r="K1" s="346"/>
    </row>
    <row r="2" spans="1:11" x14ac:dyDescent="0.3">
      <c r="A2" s="346" t="s">
        <v>666</v>
      </c>
      <c r="B2" s="346"/>
      <c r="C2" s="346"/>
      <c r="D2" s="346"/>
      <c r="E2" s="346"/>
      <c r="F2" s="347"/>
      <c r="G2" s="346"/>
      <c r="H2" s="346"/>
      <c r="I2" s="346"/>
      <c r="J2" s="346"/>
      <c r="K2" s="346"/>
    </row>
    <row r="3" spans="1:11" x14ac:dyDescent="0.3">
      <c r="A3" s="346" t="s">
        <v>1597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</row>
    <row r="4" spans="1:11" x14ac:dyDescent="0.3">
      <c r="A4" s="116"/>
      <c r="B4" s="116"/>
      <c r="C4" s="106"/>
      <c r="D4" s="106"/>
      <c r="E4" s="106"/>
      <c r="F4" s="107"/>
      <c r="G4" s="106"/>
      <c r="H4" s="106"/>
      <c r="I4" s="106"/>
      <c r="J4" s="106"/>
      <c r="K4" s="108"/>
    </row>
    <row r="5" spans="1:11" x14ac:dyDescent="0.3">
      <c r="A5" s="117" t="s">
        <v>673</v>
      </c>
      <c r="B5" s="117" t="s">
        <v>677</v>
      </c>
      <c r="C5" s="117" t="s">
        <v>669</v>
      </c>
      <c r="D5" s="118" t="s">
        <v>672</v>
      </c>
      <c r="E5" s="119"/>
      <c r="F5" s="117" t="s">
        <v>669</v>
      </c>
      <c r="G5" s="118" t="s">
        <v>666</v>
      </c>
      <c r="H5" s="120"/>
      <c r="I5" s="120"/>
      <c r="J5" s="120"/>
      <c r="K5" s="121"/>
    </row>
    <row r="6" spans="1:11" x14ac:dyDescent="0.3">
      <c r="A6" s="122"/>
      <c r="B6" s="122"/>
      <c r="C6" s="114" t="s">
        <v>670</v>
      </c>
      <c r="D6" s="113" t="s">
        <v>676</v>
      </c>
      <c r="E6" s="123" t="s">
        <v>675</v>
      </c>
      <c r="F6" s="124" t="s">
        <v>671</v>
      </c>
      <c r="G6" s="125" t="s">
        <v>681</v>
      </c>
      <c r="H6" s="125" t="s">
        <v>682</v>
      </c>
      <c r="I6" s="125" t="s">
        <v>679</v>
      </c>
      <c r="J6" s="125" t="s">
        <v>680</v>
      </c>
      <c r="K6" s="125" t="s">
        <v>683</v>
      </c>
    </row>
    <row r="7" spans="1:11" x14ac:dyDescent="0.3">
      <c r="A7" s="126"/>
      <c r="B7" s="126"/>
      <c r="C7" s="127"/>
      <c r="D7" s="128"/>
      <c r="E7" s="129"/>
      <c r="F7" s="130"/>
      <c r="G7" s="129"/>
      <c r="H7" s="129"/>
      <c r="I7" s="129"/>
      <c r="J7" s="129"/>
      <c r="K7" s="129"/>
    </row>
    <row r="8" spans="1:11" x14ac:dyDescent="0.3">
      <c r="A8" s="131">
        <v>1</v>
      </c>
      <c r="B8" s="131" t="s">
        <v>1567</v>
      </c>
      <c r="C8" s="302">
        <v>11541302</v>
      </c>
      <c r="D8" s="279"/>
      <c r="E8" s="279">
        <v>5922072</v>
      </c>
      <c r="F8" s="279">
        <f>C8-D8+E8</f>
        <v>17463374</v>
      </c>
      <c r="G8" s="279"/>
      <c r="H8" s="279">
        <v>11541302</v>
      </c>
      <c r="I8" s="129"/>
      <c r="J8" s="129"/>
      <c r="K8" s="129"/>
    </row>
    <row r="9" spans="1:11" x14ac:dyDescent="0.3">
      <c r="A9" s="131">
        <v>2</v>
      </c>
      <c r="B9" s="131" t="s">
        <v>1568</v>
      </c>
      <c r="C9" s="302">
        <v>3614000</v>
      </c>
      <c r="D9" s="279">
        <v>2764550</v>
      </c>
      <c r="E9" s="279">
        <v>3614000</v>
      </c>
      <c r="F9" s="279">
        <f>C9-D9+E9</f>
        <v>4463450</v>
      </c>
      <c r="G9" s="279"/>
      <c r="H9" s="279">
        <v>849450</v>
      </c>
      <c r="I9" s="129"/>
      <c r="J9" s="129"/>
      <c r="K9" s="129"/>
    </row>
    <row r="10" spans="1:11" x14ac:dyDescent="0.3">
      <c r="A10" s="131">
        <v>3</v>
      </c>
      <c r="B10" s="131" t="s">
        <v>1569</v>
      </c>
      <c r="C10" s="302">
        <v>4930000</v>
      </c>
      <c r="D10" s="279"/>
      <c r="E10" s="279">
        <v>5355000</v>
      </c>
      <c r="F10" s="279">
        <f t="shared" ref="F10:F23" si="0">C10-D10+E10</f>
        <v>10285000</v>
      </c>
      <c r="G10" s="279"/>
      <c r="H10" s="279"/>
      <c r="I10" s="129"/>
      <c r="J10" s="129"/>
      <c r="K10" s="129"/>
    </row>
    <row r="11" spans="1:11" x14ac:dyDescent="0.3">
      <c r="A11" s="131">
        <v>4</v>
      </c>
      <c r="B11" s="131" t="s">
        <v>1570</v>
      </c>
      <c r="C11" s="302">
        <v>7176000</v>
      </c>
      <c r="D11" s="279">
        <v>7176000</v>
      </c>
      <c r="E11" s="279">
        <v>0</v>
      </c>
      <c r="F11" s="279">
        <f t="shared" si="0"/>
        <v>0</v>
      </c>
      <c r="G11" s="279"/>
      <c r="H11" s="279"/>
      <c r="I11" s="129"/>
      <c r="J11" s="129"/>
      <c r="K11" s="129"/>
    </row>
    <row r="12" spans="1:11" x14ac:dyDescent="0.3">
      <c r="A12" s="131">
        <v>5</v>
      </c>
      <c r="B12" s="131" t="s">
        <v>1571</v>
      </c>
      <c r="C12" s="302">
        <v>22260000</v>
      </c>
      <c r="D12" s="279">
        <v>22260000</v>
      </c>
      <c r="E12" s="279">
        <v>0</v>
      </c>
      <c r="F12" s="279">
        <f t="shared" si="0"/>
        <v>0</v>
      </c>
      <c r="G12" s="279"/>
      <c r="H12" s="279"/>
      <c r="I12" s="129"/>
      <c r="J12" s="129"/>
      <c r="K12" s="129"/>
    </row>
    <row r="13" spans="1:11" x14ac:dyDescent="0.3">
      <c r="A13" s="131">
        <v>6</v>
      </c>
      <c r="B13" s="131" t="s">
        <v>1572</v>
      </c>
      <c r="C13" s="302">
        <v>65879016</v>
      </c>
      <c r="D13" s="279">
        <v>65879016</v>
      </c>
      <c r="E13" s="279">
        <v>0</v>
      </c>
      <c r="F13" s="279">
        <f t="shared" si="0"/>
        <v>0</v>
      </c>
      <c r="G13" s="279"/>
      <c r="H13" s="279"/>
      <c r="I13" s="129"/>
      <c r="J13" s="129"/>
      <c r="K13" s="129"/>
    </row>
    <row r="14" spans="1:11" x14ac:dyDescent="0.3">
      <c r="A14" s="131">
        <v>7</v>
      </c>
      <c r="B14" s="131" t="s">
        <v>1573</v>
      </c>
      <c r="C14" s="302">
        <v>3012000</v>
      </c>
      <c r="D14" s="279">
        <v>3012000</v>
      </c>
      <c r="E14" s="279">
        <v>1506000</v>
      </c>
      <c r="F14" s="279">
        <f t="shared" si="0"/>
        <v>1506000</v>
      </c>
      <c r="G14" s="279"/>
      <c r="H14" s="279"/>
      <c r="I14" s="129"/>
      <c r="J14" s="129"/>
      <c r="K14" s="129"/>
    </row>
    <row r="15" spans="1:11" x14ac:dyDescent="0.3">
      <c r="A15" s="131">
        <v>8</v>
      </c>
      <c r="B15" s="131" t="s">
        <v>1574</v>
      </c>
      <c r="C15" s="302">
        <v>37770000</v>
      </c>
      <c r="D15" s="279">
        <v>37700000</v>
      </c>
      <c r="E15" s="279"/>
      <c r="F15" s="279">
        <f t="shared" si="0"/>
        <v>70000</v>
      </c>
      <c r="G15" s="279"/>
      <c r="H15" s="279"/>
      <c r="I15" s="129"/>
      <c r="J15" s="129"/>
      <c r="K15" s="129"/>
    </row>
    <row r="16" spans="1:11" x14ac:dyDescent="0.3">
      <c r="A16" s="131">
        <v>9</v>
      </c>
      <c r="B16" s="131" t="s">
        <v>1575</v>
      </c>
      <c r="C16" s="302">
        <v>16148000</v>
      </c>
      <c r="D16" s="279">
        <v>16148000</v>
      </c>
      <c r="E16" s="279">
        <v>8074000</v>
      </c>
      <c r="F16" s="279">
        <f t="shared" si="0"/>
        <v>8074000</v>
      </c>
      <c r="G16" s="279"/>
      <c r="H16" s="279"/>
      <c r="I16" s="129"/>
      <c r="J16" s="129"/>
      <c r="K16" s="129"/>
    </row>
    <row r="17" spans="1:11" x14ac:dyDescent="0.3">
      <c r="A17" s="131">
        <v>10</v>
      </c>
      <c r="B17" s="131" t="s">
        <v>1576</v>
      </c>
      <c r="C17" s="302">
        <v>20464250</v>
      </c>
      <c r="D17" s="279">
        <v>20464250</v>
      </c>
      <c r="E17" s="279"/>
      <c r="F17" s="279">
        <f t="shared" si="0"/>
        <v>0</v>
      </c>
      <c r="G17" s="279"/>
      <c r="H17" s="279"/>
      <c r="I17" s="129"/>
      <c r="J17" s="129"/>
      <c r="K17" s="129"/>
    </row>
    <row r="18" spans="1:11" x14ac:dyDescent="0.3">
      <c r="A18" s="131">
        <v>11</v>
      </c>
      <c r="B18" s="131" t="s">
        <v>1577</v>
      </c>
      <c r="C18" s="302">
        <v>4275000</v>
      </c>
      <c r="D18" s="279">
        <v>4275000</v>
      </c>
      <c r="E18" s="279"/>
      <c r="F18" s="279">
        <f t="shared" si="0"/>
        <v>0</v>
      </c>
      <c r="G18" s="279"/>
      <c r="H18" s="279"/>
      <c r="I18" s="129"/>
      <c r="J18" s="129"/>
      <c r="K18" s="129"/>
    </row>
    <row r="19" spans="1:11" x14ac:dyDescent="0.3">
      <c r="A19" s="131">
        <v>12</v>
      </c>
      <c r="B19" s="131" t="s">
        <v>1578</v>
      </c>
      <c r="C19" s="302">
        <v>34060000</v>
      </c>
      <c r="D19" s="279">
        <v>34060000</v>
      </c>
      <c r="E19" s="279"/>
      <c r="F19" s="279">
        <f t="shared" si="0"/>
        <v>0</v>
      </c>
      <c r="G19" s="279"/>
      <c r="H19" s="279"/>
      <c r="I19" s="129"/>
      <c r="J19" s="129"/>
      <c r="K19" s="129"/>
    </row>
    <row r="20" spans="1:11" x14ac:dyDescent="0.3">
      <c r="A20" s="131">
        <v>13</v>
      </c>
      <c r="B20" s="131" t="s">
        <v>1579</v>
      </c>
      <c r="C20" s="302">
        <v>12336000</v>
      </c>
      <c r="D20" s="279">
        <v>12336000</v>
      </c>
      <c r="E20" s="279"/>
      <c r="F20" s="279">
        <f t="shared" si="0"/>
        <v>0</v>
      </c>
      <c r="G20" s="279"/>
      <c r="H20" s="279"/>
      <c r="I20" s="129"/>
      <c r="J20" s="129"/>
      <c r="K20" s="129"/>
    </row>
    <row r="21" spans="1:11" x14ac:dyDescent="0.3">
      <c r="A21" s="131">
        <v>14</v>
      </c>
      <c r="B21" s="131" t="s">
        <v>1580</v>
      </c>
      <c r="C21" s="302">
        <v>8936700</v>
      </c>
      <c r="D21" s="279">
        <v>8936700</v>
      </c>
      <c r="E21" s="279"/>
      <c r="F21" s="279">
        <f t="shared" si="0"/>
        <v>0</v>
      </c>
      <c r="G21" s="279"/>
      <c r="H21" s="279"/>
      <c r="I21" s="129"/>
      <c r="J21" s="129"/>
      <c r="K21" s="129"/>
    </row>
    <row r="22" spans="1:11" x14ac:dyDescent="0.3">
      <c r="A22" s="131">
        <v>15</v>
      </c>
      <c r="B22" s="131" t="s">
        <v>1581</v>
      </c>
      <c r="C22" s="302">
        <v>5425000</v>
      </c>
      <c r="D22" s="279">
        <v>5425000</v>
      </c>
      <c r="E22" s="279">
        <v>12570000</v>
      </c>
      <c r="F22" s="279">
        <f t="shared" si="0"/>
        <v>12570000</v>
      </c>
      <c r="G22" s="279"/>
      <c r="H22" s="279"/>
      <c r="I22" s="129"/>
      <c r="J22" s="129"/>
      <c r="K22" s="129"/>
    </row>
    <row r="23" spans="1:11" x14ac:dyDescent="0.3">
      <c r="A23" s="131">
        <v>16</v>
      </c>
      <c r="B23" s="131" t="s">
        <v>1582</v>
      </c>
      <c r="C23" s="302">
        <v>3906000</v>
      </c>
      <c r="D23" s="279">
        <v>2098000</v>
      </c>
      <c r="E23" s="279">
        <v>9014000</v>
      </c>
      <c r="F23" s="279">
        <f t="shared" si="0"/>
        <v>10822000</v>
      </c>
      <c r="G23" s="279"/>
      <c r="H23" s="279"/>
      <c r="I23" s="129"/>
      <c r="J23" s="129"/>
      <c r="K23" s="129"/>
    </row>
    <row r="24" spans="1:11" x14ac:dyDescent="0.3">
      <c r="A24" s="131">
        <v>17</v>
      </c>
      <c r="B24" s="131" t="s">
        <v>1583</v>
      </c>
      <c r="C24" s="302">
        <v>4590000</v>
      </c>
      <c r="D24" s="279"/>
      <c r="E24" s="279">
        <v>7362500</v>
      </c>
      <c r="F24" s="279">
        <f>C24-D24+E24</f>
        <v>11952500</v>
      </c>
      <c r="G24" s="279"/>
      <c r="H24" s="279"/>
      <c r="I24" s="129"/>
      <c r="J24" s="129"/>
      <c r="K24" s="129"/>
    </row>
    <row r="25" spans="1:11" x14ac:dyDescent="0.3">
      <c r="A25" s="131">
        <v>18</v>
      </c>
      <c r="B25" s="131" t="s">
        <v>1598</v>
      </c>
      <c r="C25" s="131"/>
      <c r="D25" s="279"/>
      <c r="E25" s="302">
        <v>240300</v>
      </c>
      <c r="F25" s="279">
        <f t="shared" ref="F25:F44" si="1">C25-D25+E25</f>
        <v>240300</v>
      </c>
      <c r="G25" s="279"/>
      <c r="H25" s="279"/>
      <c r="I25" s="129"/>
      <c r="J25" s="129"/>
      <c r="K25" s="129"/>
    </row>
    <row r="26" spans="1:11" x14ac:dyDescent="0.3">
      <c r="A26" s="131">
        <v>19</v>
      </c>
      <c r="B26" s="131" t="s">
        <v>1599</v>
      </c>
      <c r="C26" s="131"/>
      <c r="D26" s="279"/>
      <c r="E26" s="302">
        <v>3891415</v>
      </c>
      <c r="F26" s="279">
        <f t="shared" si="1"/>
        <v>3891415</v>
      </c>
      <c r="G26" s="279"/>
      <c r="H26" s="279"/>
      <c r="I26" s="129"/>
      <c r="J26" s="129"/>
      <c r="K26" s="129"/>
    </row>
    <row r="27" spans="1:11" x14ac:dyDescent="0.3">
      <c r="A27" s="131">
        <v>20</v>
      </c>
      <c r="B27" s="131" t="s">
        <v>1600</v>
      </c>
      <c r="C27" s="131"/>
      <c r="D27" s="279"/>
      <c r="E27" s="302">
        <f>487500+150000</f>
        <v>637500</v>
      </c>
      <c r="F27" s="279">
        <f t="shared" si="1"/>
        <v>637500</v>
      </c>
      <c r="G27" s="279"/>
      <c r="H27" s="279"/>
      <c r="I27" s="129"/>
      <c r="J27" s="129"/>
      <c r="K27" s="129"/>
    </row>
    <row r="28" spans="1:11" x14ac:dyDescent="0.3">
      <c r="A28" s="131">
        <v>21</v>
      </c>
      <c r="B28" s="303" t="s">
        <v>1601</v>
      </c>
      <c r="C28" s="127"/>
      <c r="D28" s="128"/>
      <c r="E28" s="304">
        <v>415000</v>
      </c>
      <c r="F28" s="279">
        <f t="shared" si="1"/>
        <v>415000</v>
      </c>
      <c r="G28" s="129"/>
      <c r="H28" s="129"/>
      <c r="I28" s="129"/>
      <c r="J28" s="129"/>
      <c r="K28" s="129"/>
    </row>
    <row r="29" spans="1:11" x14ac:dyDescent="0.3">
      <c r="A29" s="131">
        <v>22</v>
      </c>
      <c r="B29" s="126"/>
      <c r="C29" s="127"/>
      <c r="D29" s="128"/>
      <c r="E29" s="304">
        <v>11275000</v>
      </c>
      <c r="F29" s="279">
        <f t="shared" si="1"/>
        <v>11275000</v>
      </c>
      <c r="G29" s="129"/>
      <c r="H29" s="129"/>
      <c r="I29" s="129"/>
      <c r="J29" s="129"/>
      <c r="K29" s="129"/>
    </row>
    <row r="30" spans="1:11" x14ac:dyDescent="0.3">
      <c r="A30" s="131">
        <v>23</v>
      </c>
      <c r="B30" s="126"/>
      <c r="C30" s="127"/>
      <c r="D30" s="128"/>
      <c r="E30" s="304">
        <v>560000</v>
      </c>
      <c r="F30" s="279">
        <f t="shared" si="1"/>
        <v>560000</v>
      </c>
      <c r="G30" s="129"/>
      <c r="H30" s="129"/>
      <c r="I30" s="129"/>
      <c r="J30" s="129"/>
      <c r="K30" s="129"/>
    </row>
    <row r="31" spans="1:11" x14ac:dyDescent="0.3">
      <c r="A31" s="131">
        <v>24</v>
      </c>
      <c r="B31" s="126"/>
      <c r="C31" s="127"/>
      <c r="D31" s="128"/>
      <c r="E31" s="304">
        <v>189000</v>
      </c>
      <c r="F31" s="279">
        <f t="shared" si="1"/>
        <v>189000</v>
      </c>
      <c r="G31" s="129"/>
      <c r="H31" s="129"/>
      <c r="I31" s="129"/>
      <c r="J31" s="129"/>
      <c r="K31" s="129"/>
    </row>
    <row r="32" spans="1:11" x14ac:dyDescent="0.3">
      <c r="A32" s="131">
        <v>25</v>
      </c>
      <c r="B32" s="126"/>
      <c r="C32" s="127"/>
      <c r="D32" s="128"/>
      <c r="E32" s="304">
        <v>90180000</v>
      </c>
      <c r="F32" s="279">
        <f t="shared" si="1"/>
        <v>90180000</v>
      </c>
      <c r="G32" s="129"/>
      <c r="H32" s="129"/>
      <c r="I32" s="129"/>
      <c r="J32" s="129"/>
      <c r="K32" s="129"/>
    </row>
    <row r="33" spans="1:11" x14ac:dyDescent="0.3">
      <c r="A33" s="131">
        <v>26</v>
      </c>
      <c r="B33" s="126"/>
      <c r="C33" s="127"/>
      <c r="D33" s="128"/>
      <c r="E33" s="304">
        <v>3000000</v>
      </c>
      <c r="F33" s="279">
        <f t="shared" si="1"/>
        <v>3000000</v>
      </c>
      <c r="G33" s="129"/>
      <c r="H33" s="129"/>
      <c r="I33" s="129"/>
      <c r="J33" s="129"/>
      <c r="K33" s="129"/>
    </row>
    <row r="34" spans="1:11" x14ac:dyDescent="0.3">
      <c r="A34" s="131">
        <v>27</v>
      </c>
      <c r="B34" s="126"/>
      <c r="C34" s="127"/>
      <c r="D34" s="128"/>
      <c r="E34" s="304">
        <v>2800000</v>
      </c>
      <c r="F34" s="279">
        <f t="shared" si="1"/>
        <v>2800000</v>
      </c>
      <c r="G34" s="129"/>
      <c r="H34" s="129"/>
      <c r="I34" s="129"/>
      <c r="J34" s="129"/>
      <c r="K34" s="129"/>
    </row>
    <row r="35" spans="1:11" x14ac:dyDescent="0.3">
      <c r="A35" s="131">
        <v>28</v>
      </c>
      <c r="B35" s="126"/>
      <c r="C35" s="127"/>
      <c r="D35" s="128"/>
      <c r="E35" s="304">
        <v>8074000</v>
      </c>
      <c r="F35" s="279">
        <f t="shared" si="1"/>
        <v>8074000</v>
      </c>
      <c r="G35" s="129"/>
      <c r="H35" s="129"/>
      <c r="I35" s="129"/>
      <c r="J35" s="129"/>
      <c r="K35" s="129"/>
    </row>
    <row r="36" spans="1:11" x14ac:dyDescent="0.3">
      <c r="A36" s="131">
        <v>29</v>
      </c>
      <c r="B36" s="126"/>
      <c r="C36" s="127"/>
      <c r="D36" s="128"/>
      <c r="E36" s="304">
        <v>1050000</v>
      </c>
      <c r="F36" s="279">
        <f t="shared" si="1"/>
        <v>1050000</v>
      </c>
      <c r="G36" s="129"/>
      <c r="H36" s="129"/>
      <c r="I36" s="129"/>
      <c r="J36" s="129"/>
      <c r="K36" s="129"/>
    </row>
    <row r="37" spans="1:11" x14ac:dyDescent="0.3">
      <c r="A37" s="131">
        <v>30</v>
      </c>
      <c r="B37" s="126"/>
      <c r="C37" s="127"/>
      <c r="D37" s="128"/>
      <c r="E37" s="304">
        <v>2405000</v>
      </c>
      <c r="F37" s="279">
        <f t="shared" si="1"/>
        <v>2405000</v>
      </c>
      <c r="G37" s="129"/>
      <c r="H37" s="129"/>
      <c r="I37" s="129"/>
      <c r="J37" s="129"/>
      <c r="K37" s="129"/>
    </row>
    <row r="38" spans="1:11" x14ac:dyDescent="0.3">
      <c r="A38" s="131">
        <v>31</v>
      </c>
      <c r="B38" s="126"/>
      <c r="C38" s="127"/>
      <c r="D38" s="128"/>
      <c r="E38" s="304">
        <v>2115000</v>
      </c>
      <c r="F38" s="279">
        <f t="shared" si="1"/>
        <v>2115000</v>
      </c>
      <c r="G38" s="129"/>
      <c r="H38" s="129"/>
      <c r="I38" s="129"/>
      <c r="J38" s="129"/>
      <c r="K38" s="129"/>
    </row>
    <row r="39" spans="1:11" x14ac:dyDescent="0.3">
      <c r="A39" s="131">
        <v>32</v>
      </c>
      <c r="B39" s="126"/>
      <c r="C39" s="127"/>
      <c r="D39" s="128"/>
      <c r="E39" s="304">
        <v>11790000</v>
      </c>
      <c r="F39" s="279">
        <f t="shared" si="1"/>
        <v>11790000</v>
      </c>
      <c r="G39" s="129"/>
      <c r="H39" s="129"/>
      <c r="I39" s="129"/>
      <c r="J39" s="129"/>
      <c r="K39" s="129"/>
    </row>
    <row r="40" spans="1:11" x14ac:dyDescent="0.3">
      <c r="A40" s="131">
        <v>33</v>
      </c>
      <c r="B40" s="126"/>
      <c r="C40" s="127"/>
      <c r="D40" s="128"/>
      <c r="E40" s="304">
        <v>3200000</v>
      </c>
      <c r="F40" s="279">
        <f t="shared" si="1"/>
        <v>3200000</v>
      </c>
      <c r="G40" s="129"/>
      <c r="H40" s="129"/>
      <c r="I40" s="129"/>
      <c r="J40" s="129"/>
      <c r="K40" s="129"/>
    </row>
    <row r="41" spans="1:11" x14ac:dyDescent="0.3">
      <c r="A41" s="131">
        <v>34</v>
      </c>
      <c r="B41" s="126"/>
      <c r="C41" s="127"/>
      <c r="D41" s="128"/>
      <c r="E41" s="304">
        <v>186000</v>
      </c>
      <c r="F41" s="279">
        <f t="shared" si="1"/>
        <v>186000</v>
      </c>
      <c r="G41" s="129"/>
      <c r="H41" s="129"/>
      <c r="I41" s="129"/>
      <c r="J41" s="129"/>
      <c r="K41" s="129"/>
    </row>
    <row r="42" spans="1:11" x14ac:dyDescent="0.3">
      <c r="A42" s="131">
        <v>35</v>
      </c>
      <c r="B42" s="126"/>
      <c r="C42" s="127"/>
      <c r="D42" s="128"/>
      <c r="E42" s="304">
        <v>1125000</v>
      </c>
      <c r="F42" s="279">
        <f t="shared" si="1"/>
        <v>1125000</v>
      </c>
      <c r="G42" s="129"/>
      <c r="H42" s="129"/>
      <c r="I42" s="129"/>
      <c r="J42" s="129"/>
      <c r="K42" s="129"/>
    </row>
    <row r="43" spans="1:11" x14ac:dyDescent="0.3">
      <c r="A43" s="131">
        <v>36</v>
      </c>
      <c r="B43" s="126"/>
      <c r="C43" s="127"/>
      <c r="D43" s="128"/>
      <c r="E43" s="304"/>
      <c r="F43" s="279"/>
      <c r="G43" s="129"/>
      <c r="H43" s="129"/>
      <c r="I43" s="129"/>
      <c r="J43" s="129"/>
      <c r="K43" s="129"/>
    </row>
    <row r="44" spans="1:11" x14ac:dyDescent="0.3">
      <c r="A44" s="131">
        <v>37</v>
      </c>
      <c r="B44" s="126"/>
      <c r="C44" s="127"/>
      <c r="D44" s="128"/>
      <c r="E44" s="304"/>
      <c r="F44" s="279">
        <f t="shared" si="1"/>
        <v>0</v>
      </c>
      <c r="G44" s="129"/>
      <c r="H44" s="129"/>
      <c r="I44" s="129"/>
      <c r="J44" s="129"/>
      <c r="K44" s="129"/>
    </row>
    <row r="45" spans="1:11" x14ac:dyDescent="0.3">
      <c r="A45" s="131">
        <v>38</v>
      </c>
      <c r="B45" s="126"/>
      <c r="C45" s="130">
        <f t="shared" ref="C45:H45" si="2">SUM(C8:C44)</f>
        <v>266323268</v>
      </c>
      <c r="D45" s="301">
        <f t="shared" si="2"/>
        <v>242534516</v>
      </c>
      <c r="E45" s="301">
        <f t="shared" si="2"/>
        <v>196550787</v>
      </c>
      <c r="F45" s="301">
        <f t="shared" si="2"/>
        <v>220339539</v>
      </c>
      <c r="G45" s="301">
        <f t="shared" si="2"/>
        <v>0</v>
      </c>
      <c r="H45" s="301">
        <f t="shared" si="2"/>
        <v>12390752</v>
      </c>
      <c r="I45" s="129"/>
      <c r="J45" s="129"/>
      <c r="K45" s="129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G152"/>
  <sheetViews>
    <sheetView workbookViewId="0">
      <pane ySplit="5" topLeftCell="A6" activePane="bottomLeft" state="frozen"/>
      <selection pane="bottomLeft" activeCell="F10" sqref="F10"/>
    </sheetView>
  </sheetViews>
  <sheetFormatPr defaultColWidth="9.08984375" defaultRowHeight="10.5" x14ac:dyDescent="0.35"/>
  <cols>
    <col min="1" max="1" width="2" style="28" customWidth="1"/>
    <col min="2" max="2" width="34.36328125" style="28" bestFit="1" customWidth="1"/>
    <col min="3" max="3" width="20.08984375" style="101" customWidth="1"/>
    <col min="4" max="4" width="17.6328125" style="101" customWidth="1"/>
    <col min="5" max="5" width="6.36328125" style="101" customWidth="1"/>
    <col min="6" max="6" width="23.6328125" style="28" customWidth="1"/>
    <col min="7" max="7" width="6.26953125" style="28" customWidth="1"/>
    <col min="8" max="16384" width="9.08984375" style="28"/>
  </cols>
  <sheetData>
    <row r="1" spans="1:7" x14ac:dyDescent="0.35">
      <c r="A1" s="153"/>
      <c r="B1" s="153"/>
      <c r="C1" s="153"/>
      <c r="D1" s="153"/>
      <c r="E1" s="153"/>
      <c r="F1" s="153"/>
      <c r="G1" s="153"/>
    </row>
    <row r="2" spans="1:7" x14ac:dyDescent="0.35">
      <c r="A2" s="153"/>
      <c r="B2" s="153"/>
      <c r="C2" s="153"/>
      <c r="D2" s="153"/>
      <c r="E2" s="153"/>
      <c r="F2" s="153"/>
      <c r="G2" s="153"/>
    </row>
    <row r="3" spans="1:7" x14ac:dyDescent="0.35">
      <c r="A3" s="153"/>
      <c r="B3" s="153"/>
      <c r="C3" s="153"/>
      <c r="D3" s="153"/>
      <c r="E3" s="153"/>
      <c r="F3" s="153"/>
      <c r="G3" s="153"/>
    </row>
    <row r="4" spans="1:7" x14ac:dyDescent="0.35">
      <c r="C4" s="155"/>
      <c r="D4" s="157"/>
      <c r="E4" s="157"/>
      <c r="F4" s="158"/>
      <c r="G4" s="159"/>
    </row>
    <row r="5" spans="1:7" s="99" customFormat="1" x14ac:dyDescent="0.35">
      <c r="B5" s="162" t="s">
        <v>17</v>
      </c>
      <c r="C5" s="177" t="s">
        <v>1608</v>
      </c>
      <c r="D5" s="179" t="s">
        <v>1607</v>
      </c>
      <c r="E5" s="179" t="s">
        <v>784</v>
      </c>
      <c r="F5" s="180" t="s">
        <v>1609</v>
      </c>
      <c r="G5" s="181" t="s">
        <v>784</v>
      </c>
    </row>
    <row r="6" spans="1:7" ht="11" thickBot="1" x14ac:dyDescent="0.4">
      <c r="E6" s="28"/>
      <c r="F6" s="101"/>
      <c r="G6" s="101"/>
    </row>
    <row r="7" spans="1:7" x14ac:dyDescent="0.25">
      <c r="B7" s="311" t="s">
        <v>1604</v>
      </c>
      <c r="C7" s="170">
        <v>365</v>
      </c>
      <c r="D7" s="170">
        <v>30</v>
      </c>
      <c r="E7" s="148"/>
      <c r="F7" s="170">
        <v>1</v>
      </c>
      <c r="G7" s="170"/>
    </row>
    <row r="8" spans="1:7" x14ac:dyDescent="0.25">
      <c r="B8" s="312" t="s">
        <v>1605</v>
      </c>
      <c r="C8" s="188">
        <f>37*C7</f>
        <v>13505</v>
      </c>
      <c r="D8" s="188">
        <f>78*D7</f>
        <v>2340</v>
      </c>
      <c r="E8" s="152"/>
      <c r="F8" s="188">
        <f>78*F7</f>
        <v>78</v>
      </c>
      <c r="G8" s="188"/>
    </row>
    <row r="9" spans="1:7" x14ac:dyDescent="0.25">
      <c r="B9" s="312" t="s">
        <v>780</v>
      </c>
      <c r="C9" s="170">
        <f>C10*C8</f>
        <v>8586.929166666665</v>
      </c>
      <c r="D9" s="170">
        <f>D10*D8</f>
        <v>1404</v>
      </c>
      <c r="E9" s="148"/>
      <c r="F9" s="170">
        <f>F10*F8</f>
        <v>46.8</v>
      </c>
      <c r="G9" s="170"/>
    </row>
    <row r="10" spans="1:7" x14ac:dyDescent="0.25">
      <c r="B10" s="312" t="s">
        <v>615</v>
      </c>
      <c r="C10" s="190">
        <f>'[2]1 Year Consolidated'!$Z$10</f>
        <v>0.63583333333333325</v>
      </c>
      <c r="D10" s="190">
        <v>0.6</v>
      </c>
      <c r="E10" s="152"/>
      <c r="F10" s="190">
        <v>0.6</v>
      </c>
      <c r="G10" s="188"/>
    </row>
    <row r="11" spans="1:7" x14ac:dyDescent="0.25">
      <c r="B11" s="312" t="s">
        <v>781</v>
      </c>
      <c r="C11" s="170">
        <f>[2]INTRODUCTION!$H$44</f>
        <v>83220.290279433699</v>
      </c>
      <c r="D11" s="170">
        <f>C11</f>
        <v>83220.290279433699</v>
      </c>
      <c r="E11" s="148"/>
      <c r="F11" s="170">
        <f>C11</f>
        <v>83220.290279433699</v>
      </c>
      <c r="G11" s="170"/>
    </row>
    <row r="12" spans="1:7" x14ac:dyDescent="0.25">
      <c r="B12" s="312" t="s">
        <v>1606</v>
      </c>
      <c r="C12" s="313">
        <f>C16/C8</f>
        <v>52914.234569339918</v>
      </c>
      <c r="D12" s="313">
        <f>C12</f>
        <v>52914.234569339918</v>
      </c>
      <c r="E12" s="152"/>
      <c r="F12" s="313">
        <f>D12</f>
        <v>52914.234569339918</v>
      </c>
      <c r="G12" s="188"/>
    </row>
    <row r="13" spans="1:7" x14ac:dyDescent="0.35">
      <c r="B13" s="148" t="s">
        <v>644</v>
      </c>
      <c r="C13" s="170">
        <v>0</v>
      </c>
      <c r="D13" s="170"/>
      <c r="E13" s="148"/>
      <c r="F13" s="170">
        <f>C13-D13</f>
        <v>0</v>
      </c>
      <c r="G13" s="170"/>
    </row>
    <row r="14" spans="1:7" x14ac:dyDescent="0.35">
      <c r="E14" s="100"/>
      <c r="F14" s="101"/>
      <c r="G14" s="101"/>
    </row>
    <row r="15" spans="1:7" x14ac:dyDescent="0.35">
      <c r="B15" s="198" t="s">
        <v>8</v>
      </c>
      <c r="C15" s="199"/>
      <c r="D15" s="199"/>
      <c r="E15" s="200"/>
      <c r="F15" s="199"/>
      <c r="G15" s="199"/>
    </row>
    <row r="16" spans="1:7" x14ac:dyDescent="0.35">
      <c r="B16" s="148" t="s">
        <v>622</v>
      </c>
      <c r="C16" s="170">
        <f>C11*C9</f>
        <v>714606737.85893559</v>
      </c>
      <c r="D16" s="170">
        <f>C16/12</f>
        <v>59550561.48824463</v>
      </c>
      <c r="E16" s="191">
        <f>D16/$D$21</f>
        <v>1</v>
      </c>
      <c r="F16" s="170">
        <f>F11*F9</f>
        <v>3894709.5850774967</v>
      </c>
      <c r="G16" s="191">
        <f>F16/$D$21</f>
        <v>6.5401727334616619E-2</v>
      </c>
    </row>
    <row r="17" spans="2:7" x14ac:dyDescent="0.35">
      <c r="B17" s="148" t="s">
        <v>616</v>
      </c>
      <c r="C17" s="170" t="e">
        <f>#REF!</f>
        <v>#REF!</v>
      </c>
      <c r="D17" s="170"/>
      <c r="E17" s="191">
        <f>D17/$D$21</f>
        <v>0</v>
      </c>
      <c r="F17" s="170"/>
      <c r="G17" s="191">
        <f>F17/$D$21</f>
        <v>0</v>
      </c>
    </row>
    <row r="18" spans="2:7" x14ac:dyDescent="0.35">
      <c r="B18" s="148" t="s">
        <v>623</v>
      </c>
      <c r="C18" s="170"/>
      <c r="D18" s="170"/>
      <c r="E18" s="191">
        <f>D18/$D$21</f>
        <v>0</v>
      </c>
      <c r="F18" s="315"/>
      <c r="G18" s="191">
        <f>F18/$D$21</f>
        <v>0</v>
      </c>
    </row>
    <row r="19" spans="2:7" x14ac:dyDescent="0.35">
      <c r="B19" s="148" t="s">
        <v>624</v>
      </c>
      <c r="C19" s="170"/>
      <c r="D19" s="170"/>
      <c r="E19" s="191">
        <f>D19/$D$21</f>
        <v>0</v>
      </c>
      <c r="F19" s="170"/>
      <c r="G19" s="191">
        <f>F19/$D$21</f>
        <v>0</v>
      </c>
    </row>
    <row r="20" spans="2:7" x14ac:dyDescent="0.35">
      <c r="B20" s="148"/>
      <c r="C20" s="170"/>
      <c r="D20" s="170"/>
      <c r="E20" s="202"/>
      <c r="F20" s="170"/>
      <c r="G20" s="170"/>
    </row>
    <row r="21" spans="2:7" x14ac:dyDescent="0.35">
      <c r="B21" s="203" t="s">
        <v>793</v>
      </c>
      <c r="C21" s="204" t="e">
        <f>SUM(C16:C19)</f>
        <v>#REF!</v>
      </c>
      <c r="D21" s="204">
        <f>SUM(D16:D19)</f>
        <v>59550561.48824463</v>
      </c>
      <c r="E21" s="314">
        <f>SUM(E16:E19)</f>
        <v>1</v>
      </c>
      <c r="F21" s="204">
        <f>SUM(F16:F19)</f>
        <v>3894709.5850774967</v>
      </c>
      <c r="G21" s="314">
        <f>SUM(G16:G19)</f>
        <v>6.5401727334616619E-2</v>
      </c>
    </row>
    <row r="22" spans="2:7" x14ac:dyDescent="0.35">
      <c r="E22" s="163"/>
      <c r="F22" s="101"/>
      <c r="G22" s="163"/>
    </row>
    <row r="23" spans="2:7" x14ac:dyDescent="0.35">
      <c r="B23" s="198" t="s">
        <v>628</v>
      </c>
      <c r="C23" s="199"/>
      <c r="D23" s="199"/>
      <c r="E23" s="201"/>
      <c r="F23" s="199"/>
      <c r="G23" s="201"/>
    </row>
    <row r="24" spans="2:7" x14ac:dyDescent="0.35">
      <c r="B24" s="148"/>
      <c r="C24" s="170"/>
      <c r="D24" s="170"/>
      <c r="E24" s="187"/>
      <c r="F24" s="170"/>
      <c r="G24" s="187"/>
    </row>
    <row r="25" spans="2:7" x14ac:dyDescent="0.35">
      <c r="B25" s="206" t="s">
        <v>630</v>
      </c>
      <c r="C25" s="207">
        <f>SUM(C26:C29)</f>
        <v>0</v>
      </c>
      <c r="D25" s="207">
        <f>SUM(D26:D29)</f>
        <v>0</v>
      </c>
      <c r="E25" s="208">
        <f>D25/$D$21</f>
        <v>0</v>
      </c>
      <c r="F25" s="207">
        <f>SUM(F26:F29)</f>
        <v>0</v>
      </c>
      <c r="G25" s="208" t="e">
        <f>F25/D25</f>
        <v>#DIV/0!</v>
      </c>
    </row>
    <row r="26" spans="2:7" x14ac:dyDescent="0.35">
      <c r="B26" s="148" t="s">
        <v>616</v>
      </c>
      <c r="C26" s="170"/>
      <c r="D26" s="170"/>
      <c r="E26" s="191">
        <f>D26/$D$21</f>
        <v>0</v>
      </c>
      <c r="F26" s="170">
        <f>C26-D26</f>
        <v>0</v>
      </c>
      <c r="G26" s="191" t="e">
        <f>F26/D26</f>
        <v>#DIV/0!</v>
      </c>
    </row>
    <row r="27" spans="2:7" x14ac:dyDescent="0.35">
      <c r="B27" s="148" t="s">
        <v>623</v>
      </c>
      <c r="C27" s="170"/>
      <c r="D27" s="170"/>
      <c r="E27" s="191">
        <f>D27/$D$21</f>
        <v>0</v>
      </c>
      <c r="F27" s="170">
        <f>C27-D27</f>
        <v>0</v>
      </c>
      <c r="G27" s="191" t="e">
        <f>F27/D27</f>
        <v>#DIV/0!</v>
      </c>
    </row>
    <row r="28" spans="2:7" x14ac:dyDescent="0.35">
      <c r="B28" s="148" t="s">
        <v>621</v>
      </c>
      <c r="C28" s="170"/>
      <c r="D28" s="170"/>
      <c r="E28" s="191">
        <f>D28/$D$21</f>
        <v>0</v>
      </c>
      <c r="F28" s="170">
        <f>C28-D28</f>
        <v>0</v>
      </c>
      <c r="G28" s="191" t="e">
        <f>F28/D28</f>
        <v>#DIV/0!</v>
      </c>
    </row>
    <row r="29" spans="2:7" x14ac:dyDescent="0.35">
      <c r="B29" s="148" t="s">
        <v>624</v>
      </c>
      <c r="C29" s="170"/>
      <c r="D29" s="170"/>
      <c r="E29" s="191">
        <f>D29/$D$21</f>
        <v>0</v>
      </c>
      <c r="F29" s="170">
        <f>C29-D29</f>
        <v>0</v>
      </c>
      <c r="G29" s="191" t="e">
        <f>F29/D29</f>
        <v>#DIV/0!</v>
      </c>
    </row>
    <row r="30" spans="2:7" x14ac:dyDescent="0.35">
      <c r="B30" s="148"/>
      <c r="C30" s="170"/>
      <c r="D30" s="170"/>
      <c r="E30" s="191"/>
      <c r="F30" s="209"/>
      <c r="G30" s="191"/>
    </row>
    <row r="31" spans="2:7" x14ac:dyDescent="0.35">
      <c r="B31" s="206" t="s">
        <v>631</v>
      </c>
      <c r="C31" s="207">
        <f>SUM(C32:C37)</f>
        <v>0</v>
      </c>
      <c r="D31" s="207">
        <f>SUM(D32:D37)</f>
        <v>0</v>
      </c>
      <c r="E31" s="208">
        <f t="shared" ref="E31:E37" si="0">D31/$D$21</f>
        <v>0</v>
      </c>
      <c r="F31" s="207">
        <f>SUM(F32:F37)</f>
        <v>0</v>
      </c>
      <c r="G31" s="208" t="e">
        <f t="shared" ref="G31:G37" si="1">F31/D31</f>
        <v>#DIV/0!</v>
      </c>
    </row>
    <row r="32" spans="2:7" x14ac:dyDescent="0.35">
      <c r="B32" s="148" t="s">
        <v>622</v>
      </c>
      <c r="C32" s="170"/>
      <c r="D32" s="170"/>
      <c r="E32" s="191">
        <f t="shared" si="0"/>
        <v>0</v>
      </c>
      <c r="F32" s="170">
        <f t="shared" ref="F32:F37" si="2">C32-D32</f>
        <v>0</v>
      </c>
      <c r="G32" s="191" t="e">
        <f t="shared" si="1"/>
        <v>#DIV/0!</v>
      </c>
    </row>
    <row r="33" spans="2:7" x14ac:dyDescent="0.35">
      <c r="B33" s="148" t="s">
        <v>626</v>
      </c>
      <c r="C33" s="170"/>
      <c r="D33" s="170"/>
      <c r="E33" s="191">
        <f t="shared" si="0"/>
        <v>0</v>
      </c>
      <c r="F33" s="170">
        <f t="shared" si="2"/>
        <v>0</v>
      </c>
      <c r="G33" s="191" t="e">
        <f t="shared" si="1"/>
        <v>#DIV/0!</v>
      </c>
    </row>
    <row r="34" spans="2:7" x14ac:dyDescent="0.35">
      <c r="B34" s="148" t="s">
        <v>616</v>
      </c>
      <c r="C34" s="170"/>
      <c r="D34" s="170"/>
      <c r="E34" s="191">
        <f t="shared" si="0"/>
        <v>0</v>
      </c>
      <c r="F34" s="170">
        <f t="shared" si="2"/>
        <v>0</v>
      </c>
      <c r="G34" s="191" t="e">
        <f t="shared" si="1"/>
        <v>#DIV/0!</v>
      </c>
    </row>
    <row r="35" spans="2:7" x14ac:dyDescent="0.35">
      <c r="B35" s="148" t="s">
        <v>627</v>
      </c>
      <c r="C35" s="170"/>
      <c r="D35" s="170"/>
      <c r="E35" s="191">
        <f t="shared" si="0"/>
        <v>0</v>
      </c>
      <c r="F35" s="170">
        <f t="shared" si="2"/>
        <v>0</v>
      </c>
      <c r="G35" s="191" t="e">
        <f t="shared" si="1"/>
        <v>#DIV/0!</v>
      </c>
    </row>
    <row r="36" spans="2:7" x14ac:dyDescent="0.35">
      <c r="B36" s="148" t="s">
        <v>621</v>
      </c>
      <c r="C36" s="170"/>
      <c r="D36" s="170"/>
      <c r="E36" s="191">
        <f t="shared" si="0"/>
        <v>0</v>
      </c>
      <c r="F36" s="170">
        <f t="shared" si="2"/>
        <v>0</v>
      </c>
      <c r="G36" s="191" t="e">
        <f t="shared" si="1"/>
        <v>#DIV/0!</v>
      </c>
    </row>
    <row r="37" spans="2:7" x14ac:dyDescent="0.35">
      <c r="B37" s="148" t="s">
        <v>624</v>
      </c>
      <c r="C37" s="170"/>
      <c r="D37" s="170"/>
      <c r="E37" s="191">
        <f t="shared" si="0"/>
        <v>0</v>
      </c>
      <c r="F37" s="170">
        <f t="shared" si="2"/>
        <v>0</v>
      </c>
      <c r="G37" s="191" t="e">
        <f t="shared" si="1"/>
        <v>#DIV/0!</v>
      </c>
    </row>
    <row r="38" spans="2:7" x14ac:dyDescent="0.35">
      <c r="B38" s="148"/>
      <c r="C38" s="170"/>
      <c r="D38" s="170"/>
      <c r="E38" s="191"/>
      <c r="F38" s="209"/>
      <c r="G38" s="191"/>
    </row>
    <row r="39" spans="2:7" x14ac:dyDescent="0.35">
      <c r="B39" s="206" t="s">
        <v>12</v>
      </c>
      <c r="C39" s="207">
        <f>SUM(C40:C43)</f>
        <v>0</v>
      </c>
      <c r="D39" s="207">
        <f>SUM(D40:D43)</f>
        <v>0</v>
      </c>
      <c r="E39" s="208">
        <f>D39/$D$21</f>
        <v>0</v>
      </c>
      <c r="F39" s="207">
        <f>SUM(F40:F43)</f>
        <v>0</v>
      </c>
      <c r="G39" s="208" t="e">
        <f>F39/D39</f>
        <v>#DIV/0!</v>
      </c>
    </row>
    <row r="40" spans="2:7" x14ac:dyDescent="0.35">
      <c r="B40" s="148" t="s">
        <v>622</v>
      </c>
      <c r="C40" s="170"/>
      <c r="D40" s="170"/>
      <c r="E40" s="191">
        <f>D40/$D$21</f>
        <v>0</v>
      </c>
      <c r="F40" s="170">
        <f>C40-D40</f>
        <v>0</v>
      </c>
      <c r="G40" s="191" t="e">
        <f>F40/D40</f>
        <v>#DIV/0!</v>
      </c>
    </row>
    <row r="41" spans="2:7" x14ac:dyDescent="0.35">
      <c r="B41" s="148" t="s">
        <v>616</v>
      </c>
      <c r="C41" s="170"/>
      <c r="D41" s="170"/>
      <c r="E41" s="191">
        <f>D41/$D$21</f>
        <v>0</v>
      </c>
      <c r="F41" s="170">
        <f>C41-D41</f>
        <v>0</v>
      </c>
      <c r="G41" s="191" t="e">
        <f>F41/D41</f>
        <v>#DIV/0!</v>
      </c>
    </row>
    <row r="42" spans="2:7" x14ac:dyDescent="0.35">
      <c r="B42" s="148" t="s">
        <v>621</v>
      </c>
      <c r="C42" s="170"/>
      <c r="D42" s="170"/>
      <c r="E42" s="191">
        <f>D42/$D$21</f>
        <v>0</v>
      </c>
      <c r="F42" s="170">
        <f>C42-D42</f>
        <v>0</v>
      </c>
      <c r="G42" s="191" t="e">
        <f>F42/D42</f>
        <v>#DIV/0!</v>
      </c>
    </row>
    <row r="43" spans="2:7" x14ac:dyDescent="0.35">
      <c r="B43" s="148" t="s">
        <v>624</v>
      </c>
      <c r="C43" s="170"/>
      <c r="D43" s="170"/>
      <c r="E43" s="191">
        <f>D43/$D$21</f>
        <v>0</v>
      </c>
      <c r="F43" s="170">
        <f>C43-D43</f>
        <v>0</v>
      </c>
      <c r="G43" s="191" t="e">
        <f>F43/D43</f>
        <v>#DIV/0!</v>
      </c>
    </row>
    <row r="44" spans="2:7" x14ac:dyDescent="0.35">
      <c r="B44" s="148"/>
      <c r="C44" s="170"/>
      <c r="D44" s="170"/>
      <c r="E44" s="191"/>
      <c r="F44" s="209"/>
      <c r="G44" s="191"/>
    </row>
    <row r="45" spans="2:7" x14ac:dyDescent="0.35">
      <c r="B45" s="206" t="s">
        <v>632</v>
      </c>
      <c r="C45" s="207">
        <f>SUM(C46:C49)</f>
        <v>0</v>
      </c>
      <c r="D45" s="207">
        <f>SUM(D46:D49)</f>
        <v>0</v>
      </c>
      <c r="E45" s="208">
        <f>D45/$D$21</f>
        <v>0</v>
      </c>
      <c r="F45" s="207">
        <f>SUM(F46:F49)</f>
        <v>0</v>
      </c>
      <c r="G45" s="208" t="e">
        <f>F45/D45</f>
        <v>#DIV/0!</v>
      </c>
    </row>
    <row r="46" spans="2:7" x14ac:dyDescent="0.35">
      <c r="B46" s="148" t="s">
        <v>622</v>
      </c>
      <c r="C46" s="170"/>
      <c r="D46" s="170"/>
      <c r="E46" s="191">
        <f>D46/$D$21</f>
        <v>0</v>
      </c>
      <c r="F46" s="170">
        <f>C46-D46</f>
        <v>0</v>
      </c>
      <c r="G46" s="191" t="e">
        <f>F46/D46</f>
        <v>#DIV/0!</v>
      </c>
    </row>
    <row r="47" spans="2:7" x14ac:dyDescent="0.35">
      <c r="B47" s="148" t="s">
        <v>616</v>
      </c>
      <c r="C47" s="170"/>
      <c r="D47" s="170"/>
      <c r="E47" s="191">
        <f>D47/$D$21</f>
        <v>0</v>
      </c>
      <c r="F47" s="170">
        <f>C47-D47</f>
        <v>0</v>
      </c>
      <c r="G47" s="191" t="e">
        <f>F47/D47</f>
        <v>#DIV/0!</v>
      </c>
    </row>
    <row r="48" spans="2:7" x14ac:dyDescent="0.35">
      <c r="B48" s="148" t="s">
        <v>621</v>
      </c>
      <c r="C48" s="170"/>
      <c r="D48" s="170"/>
      <c r="E48" s="191">
        <f>D48/$D$21</f>
        <v>0</v>
      </c>
      <c r="F48" s="170">
        <f>C48-D48</f>
        <v>0</v>
      </c>
      <c r="G48" s="191" t="e">
        <f>F48/D48</f>
        <v>#DIV/0!</v>
      </c>
    </row>
    <row r="49" spans="2:7" x14ac:dyDescent="0.35">
      <c r="B49" s="148" t="s">
        <v>624</v>
      </c>
      <c r="C49" s="170"/>
      <c r="D49" s="170"/>
      <c r="E49" s="191">
        <f>D49/$D$21</f>
        <v>0</v>
      </c>
      <c r="F49" s="170">
        <f>C49-D49</f>
        <v>0</v>
      </c>
      <c r="G49" s="191" t="e">
        <f>F49/D49</f>
        <v>#DIV/0!</v>
      </c>
    </row>
    <row r="50" spans="2:7" x14ac:dyDescent="0.35">
      <c r="B50" s="148"/>
      <c r="C50" s="170"/>
      <c r="D50" s="170"/>
      <c r="E50" s="191"/>
      <c r="F50" s="209"/>
      <c r="G50" s="191"/>
    </row>
    <row r="51" spans="2:7" x14ac:dyDescent="0.35">
      <c r="B51" s="203" t="s">
        <v>636</v>
      </c>
      <c r="C51" s="204">
        <f>C25+C31+C39+C45</f>
        <v>0</v>
      </c>
      <c r="D51" s="204">
        <f>D25+D31+D39+D45</f>
        <v>0</v>
      </c>
      <c r="E51" s="205">
        <f>D51/$D$21</f>
        <v>0</v>
      </c>
      <c r="F51" s="204">
        <f>C51-D51</f>
        <v>0</v>
      </c>
      <c r="G51" s="205" t="e">
        <f>F51/D51</f>
        <v>#DIV/0!</v>
      </c>
    </row>
    <row r="52" spans="2:7" x14ac:dyDescent="0.35">
      <c r="E52" s="164"/>
      <c r="F52" s="165"/>
      <c r="G52" s="164"/>
    </row>
    <row r="53" spans="2:7" x14ac:dyDescent="0.35">
      <c r="B53" s="198" t="s">
        <v>633</v>
      </c>
      <c r="C53" s="199"/>
      <c r="D53" s="199"/>
      <c r="E53" s="210"/>
      <c r="F53" s="211"/>
      <c r="G53" s="210"/>
    </row>
    <row r="54" spans="2:7" x14ac:dyDescent="0.35">
      <c r="B54" s="148"/>
      <c r="C54" s="170"/>
      <c r="D54" s="170"/>
      <c r="E54" s="191"/>
      <c r="F54" s="209"/>
      <c r="G54" s="191"/>
    </row>
    <row r="55" spans="2:7" x14ac:dyDescent="0.35">
      <c r="B55" s="206" t="s">
        <v>631</v>
      </c>
      <c r="C55" s="207">
        <f>SUM(C56:C58)</f>
        <v>0</v>
      </c>
      <c r="D55" s="207">
        <f>SUM(D56:D58)</f>
        <v>0</v>
      </c>
      <c r="E55" s="208">
        <f>D55/$D$21</f>
        <v>0</v>
      </c>
      <c r="F55" s="207">
        <f>SUM(F56:F58)</f>
        <v>0</v>
      </c>
      <c r="G55" s="208" t="e">
        <f>F55/D55</f>
        <v>#DIV/0!</v>
      </c>
    </row>
    <row r="56" spans="2:7" x14ac:dyDescent="0.35">
      <c r="B56" s="148" t="s">
        <v>642</v>
      </c>
      <c r="C56" s="170"/>
      <c r="D56" s="170"/>
      <c r="E56" s="191">
        <f>D56/$D$21</f>
        <v>0</v>
      </c>
      <c r="F56" s="170">
        <f>C56-D56</f>
        <v>0</v>
      </c>
      <c r="G56" s="191" t="e">
        <f>F56/D56</f>
        <v>#DIV/0!</v>
      </c>
    </row>
    <row r="57" spans="2:7" x14ac:dyDescent="0.35">
      <c r="B57" s="148" t="s">
        <v>619</v>
      </c>
      <c r="C57" s="170"/>
      <c r="D57" s="170"/>
      <c r="E57" s="191">
        <f>D57/$D$21</f>
        <v>0</v>
      </c>
      <c r="F57" s="170">
        <f>C57-D57</f>
        <v>0</v>
      </c>
      <c r="G57" s="191" t="e">
        <f>F57/D57</f>
        <v>#DIV/0!</v>
      </c>
    </row>
    <row r="58" spans="2:7" x14ac:dyDescent="0.35">
      <c r="B58" s="148" t="s">
        <v>629</v>
      </c>
      <c r="C58" s="170"/>
      <c r="D58" s="170"/>
      <c r="E58" s="191">
        <f>D58/$D$21</f>
        <v>0</v>
      </c>
      <c r="F58" s="170">
        <f>C58-D58</f>
        <v>0</v>
      </c>
      <c r="G58" s="191" t="e">
        <f>F58/D58</f>
        <v>#DIV/0!</v>
      </c>
    </row>
    <row r="59" spans="2:7" x14ac:dyDescent="0.35">
      <c r="B59" s="148"/>
      <c r="C59" s="170"/>
      <c r="D59" s="170"/>
      <c r="E59" s="191"/>
      <c r="F59" s="209"/>
      <c r="G59" s="191"/>
    </row>
    <row r="60" spans="2:7" x14ac:dyDescent="0.35">
      <c r="B60" s="206" t="s">
        <v>12</v>
      </c>
      <c r="C60" s="207">
        <f>SUM(C61:C64)</f>
        <v>0</v>
      </c>
      <c r="D60" s="207">
        <f>SUM(D61:D64)</f>
        <v>0</v>
      </c>
      <c r="E60" s="208">
        <f>D60/$D$21</f>
        <v>0</v>
      </c>
      <c r="F60" s="207">
        <f>SUM(F61:F64)</f>
        <v>0</v>
      </c>
      <c r="G60" s="208" t="e">
        <f>F60/D60</f>
        <v>#DIV/0!</v>
      </c>
    </row>
    <row r="61" spans="2:7" x14ac:dyDescent="0.35">
      <c r="B61" s="148" t="s">
        <v>617</v>
      </c>
      <c r="C61" s="170"/>
      <c r="D61" s="170"/>
      <c r="E61" s="191">
        <f>D61/$D$21</f>
        <v>0</v>
      </c>
      <c r="F61" s="170">
        <f>C61-D61</f>
        <v>0</v>
      </c>
      <c r="G61" s="191" t="e">
        <f>F61/D61</f>
        <v>#DIV/0!</v>
      </c>
    </row>
    <row r="62" spans="2:7" x14ac:dyDescent="0.35">
      <c r="B62" s="148" t="s">
        <v>618</v>
      </c>
      <c r="C62" s="170"/>
      <c r="D62" s="170"/>
      <c r="E62" s="191">
        <f>D62/$D$21</f>
        <v>0</v>
      </c>
      <c r="F62" s="170">
        <f>C62-D62</f>
        <v>0</v>
      </c>
      <c r="G62" s="191" t="e">
        <f>F62/D62</f>
        <v>#DIV/0!</v>
      </c>
    </row>
    <row r="63" spans="2:7" x14ac:dyDescent="0.35">
      <c r="B63" s="148" t="s">
        <v>619</v>
      </c>
      <c r="C63" s="170"/>
      <c r="D63" s="170"/>
      <c r="E63" s="191">
        <f>D63/$D$21</f>
        <v>0</v>
      </c>
      <c r="F63" s="170">
        <f>C63-D63</f>
        <v>0</v>
      </c>
      <c r="G63" s="191" t="e">
        <f>F63/D63</f>
        <v>#DIV/0!</v>
      </c>
    </row>
    <row r="64" spans="2:7" x14ac:dyDescent="0.35">
      <c r="B64" s="148" t="s">
        <v>629</v>
      </c>
      <c r="C64" s="170"/>
      <c r="D64" s="170"/>
      <c r="E64" s="191">
        <f>D64/$D$21</f>
        <v>0</v>
      </c>
      <c r="F64" s="170">
        <f>C64-D64</f>
        <v>0</v>
      </c>
      <c r="G64" s="191" t="e">
        <f>F64/D64</f>
        <v>#DIV/0!</v>
      </c>
    </row>
    <row r="65" spans="2:7" x14ac:dyDescent="0.35">
      <c r="B65" s="148"/>
      <c r="C65" s="170"/>
      <c r="D65" s="170"/>
      <c r="E65" s="191"/>
      <c r="F65" s="209"/>
      <c r="G65" s="191"/>
    </row>
    <row r="66" spans="2:7" x14ac:dyDescent="0.35">
      <c r="B66" s="206" t="s">
        <v>632</v>
      </c>
      <c r="C66" s="207">
        <f>SUM(C67:C69)</f>
        <v>0</v>
      </c>
      <c r="D66" s="207">
        <f>SUM(D67:D69)</f>
        <v>0</v>
      </c>
      <c r="E66" s="208">
        <f>D66/$D$21</f>
        <v>0</v>
      </c>
      <c r="F66" s="207">
        <f>SUM(F67:F69)</f>
        <v>0</v>
      </c>
      <c r="G66" s="208" t="e">
        <f>F66/D66</f>
        <v>#DIV/0!</v>
      </c>
    </row>
    <row r="67" spans="2:7" x14ac:dyDescent="0.35">
      <c r="B67" s="148" t="s">
        <v>642</v>
      </c>
      <c r="C67" s="170"/>
      <c r="D67" s="170"/>
      <c r="E67" s="191">
        <f>D67/$D$21</f>
        <v>0</v>
      </c>
      <c r="F67" s="170">
        <f>C67-D67</f>
        <v>0</v>
      </c>
      <c r="G67" s="191" t="e">
        <f>F67/D67</f>
        <v>#DIV/0!</v>
      </c>
    </row>
    <row r="68" spans="2:7" x14ac:dyDescent="0.35">
      <c r="B68" s="148" t="s">
        <v>619</v>
      </c>
      <c r="C68" s="170"/>
      <c r="D68" s="170"/>
      <c r="E68" s="191">
        <f>D68/$D$21</f>
        <v>0</v>
      </c>
      <c r="F68" s="170">
        <f>C68-D68</f>
        <v>0</v>
      </c>
      <c r="G68" s="191" t="e">
        <f>F68/D68</f>
        <v>#DIV/0!</v>
      </c>
    </row>
    <row r="69" spans="2:7" x14ac:dyDescent="0.35">
      <c r="B69" s="148" t="s">
        <v>629</v>
      </c>
      <c r="C69" s="170"/>
      <c r="D69" s="170"/>
      <c r="E69" s="191">
        <f>D69/$D$21</f>
        <v>0</v>
      </c>
      <c r="F69" s="170">
        <f>C69-D69</f>
        <v>0</v>
      </c>
      <c r="G69" s="191" t="e">
        <f>F69/D69</f>
        <v>#DIV/0!</v>
      </c>
    </row>
    <row r="70" spans="2:7" x14ac:dyDescent="0.35">
      <c r="B70" s="148"/>
      <c r="C70" s="170"/>
      <c r="D70" s="170"/>
      <c r="E70" s="191"/>
      <c r="F70" s="209"/>
      <c r="G70" s="191"/>
    </row>
    <row r="71" spans="2:7" x14ac:dyDescent="0.35">
      <c r="B71" s="203" t="s">
        <v>637</v>
      </c>
      <c r="C71" s="204">
        <f>C55+C60+C66</f>
        <v>0</v>
      </c>
      <c r="D71" s="204">
        <f>D55+D60+D66</f>
        <v>0</v>
      </c>
      <c r="E71" s="205">
        <f>D71/$D$21</f>
        <v>0</v>
      </c>
      <c r="F71" s="204">
        <f>F55+F60+F66</f>
        <v>0</v>
      </c>
      <c r="G71" s="205" t="e">
        <f>F71/D71</f>
        <v>#DIV/0!</v>
      </c>
    </row>
    <row r="72" spans="2:7" x14ac:dyDescent="0.35">
      <c r="E72" s="164"/>
      <c r="F72" s="101"/>
      <c r="G72" s="164"/>
    </row>
    <row r="73" spans="2:7" x14ac:dyDescent="0.35">
      <c r="B73" s="203" t="s">
        <v>620</v>
      </c>
      <c r="C73" s="204" t="e">
        <f>C21-C51-C71</f>
        <v>#REF!</v>
      </c>
      <c r="D73" s="204">
        <f>D21-D51-D71</f>
        <v>59550561.48824463</v>
      </c>
      <c r="E73" s="205">
        <f>D73/$D$21</f>
        <v>1</v>
      </c>
      <c r="F73" s="204" t="e">
        <f>C73-D73</f>
        <v>#REF!</v>
      </c>
      <c r="G73" s="205" t="e">
        <f>F73/D73</f>
        <v>#REF!</v>
      </c>
    </row>
    <row r="74" spans="2:7" x14ac:dyDescent="0.35">
      <c r="E74" s="164"/>
      <c r="F74" s="165"/>
      <c r="G74" s="309"/>
    </row>
    <row r="75" spans="2:7" x14ac:dyDescent="0.35">
      <c r="B75" s="198" t="s">
        <v>14</v>
      </c>
      <c r="C75" s="199"/>
      <c r="D75" s="199"/>
      <c r="E75" s="210"/>
      <c r="F75" s="211"/>
      <c r="G75" s="210"/>
    </row>
    <row r="76" spans="2:7" x14ac:dyDescent="0.35">
      <c r="B76" s="148"/>
      <c r="C76" s="170"/>
      <c r="D76" s="170"/>
      <c r="E76" s="191"/>
      <c r="F76" s="209"/>
      <c r="G76" s="191"/>
    </row>
    <row r="77" spans="2:7" x14ac:dyDescent="0.35">
      <c r="B77" s="212" t="s">
        <v>482</v>
      </c>
      <c r="C77" s="207">
        <f>SUM(C78:C82)</f>
        <v>0</v>
      </c>
      <c r="D77" s="207">
        <f>SUM(D78:D82)</f>
        <v>0</v>
      </c>
      <c r="E77" s="208">
        <f t="shared" ref="E77:E82" si="3">D77/$D$21</f>
        <v>0</v>
      </c>
      <c r="F77" s="207">
        <f>SUM(F78:F82)</f>
        <v>0</v>
      </c>
      <c r="G77" s="208" t="e">
        <f t="shared" ref="G77:G82" si="4">F77/D77</f>
        <v>#DIV/0!</v>
      </c>
    </row>
    <row r="78" spans="2:7" x14ac:dyDescent="0.35">
      <c r="B78" s="154" t="s">
        <v>589</v>
      </c>
      <c r="C78" s="170"/>
      <c r="D78" s="170"/>
      <c r="E78" s="191">
        <f t="shared" si="3"/>
        <v>0</v>
      </c>
      <c r="F78" s="170">
        <f>C78-D78</f>
        <v>0</v>
      </c>
      <c r="G78" s="191" t="e">
        <f t="shared" si="4"/>
        <v>#DIV/0!</v>
      </c>
    </row>
    <row r="79" spans="2:7" x14ac:dyDescent="0.35">
      <c r="B79" s="154" t="s">
        <v>485</v>
      </c>
      <c r="C79" s="170"/>
      <c r="D79" s="170"/>
      <c r="E79" s="191">
        <f t="shared" si="3"/>
        <v>0</v>
      </c>
      <c r="F79" s="170">
        <f>C79-D79</f>
        <v>0</v>
      </c>
      <c r="G79" s="191" t="e">
        <f t="shared" si="4"/>
        <v>#DIV/0!</v>
      </c>
    </row>
    <row r="80" spans="2:7" x14ac:dyDescent="0.35">
      <c r="B80" s="148" t="s">
        <v>484</v>
      </c>
      <c r="C80" s="170"/>
      <c r="D80" s="170"/>
      <c r="E80" s="191">
        <f t="shared" si="3"/>
        <v>0</v>
      </c>
      <c r="F80" s="170">
        <f>C80-D80</f>
        <v>0</v>
      </c>
      <c r="G80" s="191" t="e">
        <f t="shared" si="4"/>
        <v>#DIV/0!</v>
      </c>
    </row>
    <row r="81" spans="2:7" x14ac:dyDescent="0.35">
      <c r="B81" s="148" t="s">
        <v>488</v>
      </c>
      <c r="C81" s="170"/>
      <c r="D81" s="170"/>
      <c r="E81" s="191">
        <f t="shared" si="3"/>
        <v>0</v>
      </c>
      <c r="F81" s="170">
        <f>C81-D81</f>
        <v>0</v>
      </c>
      <c r="G81" s="191" t="e">
        <f t="shared" si="4"/>
        <v>#DIV/0!</v>
      </c>
    </row>
    <row r="82" spans="2:7" x14ac:dyDescent="0.35">
      <c r="B82" s="154" t="s">
        <v>486</v>
      </c>
      <c r="C82" s="170"/>
      <c r="D82" s="170"/>
      <c r="E82" s="191">
        <f t="shared" si="3"/>
        <v>0</v>
      </c>
      <c r="F82" s="170">
        <f>C82-D82</f>
        <v>0</v>
      </c>
      <c r="G82" s="191" t="e">
        <f t="shared" si="4"/>
        <v>#DIV/0!</v>
      </c>
    </row>
    <row r="83" spans="2:7" x14ac:dyDescent="0.35">
      <c r="B83" s="154"/>
      <c r="C83" s="170"/>
      <c r="D83" s="170"/>
      <c r="E83" s="191"/>
      <c r="F83" s="209"/>
      <c r="G83" s="191"/>
    </row>
    <row r="84" spans="2:7" x14ac:dyDescent="0.35">
      <c r="B84" s="212" t="s">
        <v>561</v>
      </c>
      <c r="C84" s="207">
        <f>SUM(C85:C92)</f>
        <v>0</v>
      </c>
      <c r="D84" s="207">
        <f>SUM(D85:D92)</f>
        <v>0</v>
      </c>
      <c r="E84" s="208">
        <f t="shared" ref="E84:E92" si="5">D84/$D$21</f>
        <v>0</v>
      </c>
      <c r="F84" s="207">
        <f>SUM(F85:F92)</f>
        <v>0</v>
      </c>
      <c r="G84" s="208" t="e">
        <f t="shared" ref="G84:G92" si="6">F84/D84</f>
        <v>#DIV/0!</v>
      </c>
    </row>
    <row r="85" spans="2:7" x14ac:dyDescent="0.35">
      <c r="B85" s="154" t="s">
        <v>489</v>
      </c>
      <c r="C85" s="170"/>
      <c r="D85" s="170"/>
      <c r="E85" s="191">
        <f t="shared" si="5"/>
        <v>0</v>
      </c>
      <c r="F85" s="170">
        <f t="shared" ref="F85:F92" si="7">C85-D85</f>
        <v>0</v>
      </c>
      <c r="G85" s="191" t="e">
        <f t="shared" si="6"/>
        <v>#DIV/0!</v>
      </c>
    </row>
    <row r="86" spans="2:7" x14ac:dyDescent="0.35">
      <c r="B86" s="154" t="s">
        <v>490</v>
      </c>
      <c r="C86" s="170"/>
      <c r="D86" s="170"/>
      <c r="E86" s="191">
        <f t="shared" si="5"/>
        <v>0</v>
      </c>
      <c r="F86" s="170">
        <f t="shared" si="7"/>
        <v>0</v>
      </c>
      <c r="G86" s="191" t="e">
        <f t="shared" si="6"/>
        <v>#DIV/0!</v>
      </c>
    </row>
    <row r="87" spans="2:7" x14ac:dyDescent="0.35">
      <c r="B87" s="154" t="s">
        <v>491</v>
      </c>
      <c r="C87" s="170"/>
      <c r="D87" s="170"/>
      <c r="E87" s="191">
        <f t="shared" si="5"/>
        <v>0</v>
      </c>
      <c r="F87" s="170">
        <f t="shared" si="7"/>
        <v>0</v>
      </c>
      <c r="G87" s="191" t="e">
        <f t="shared" si="6"/>
        <v>#DIV/0!</v>
      </c>
    </row>
    <row r="88" spans="2:7" x14ac:dyDescent="0.35">
      <c r="B88" s="154" t="s">
        <v>492</v>
      </c>
      <c r="C88" s="170"/>
      <c r="D88" s="170"/>
      <c r="E88" s="191">
        <f t="shared" si="5"/>
        <v>0</v>
      </c>
      <c r="F88" s="170">
        <f t="shared" si="7"/>
        <v>0</v>
      </c>
      <c r="G88" s="191" t="e">
        <f t="shared" si="6"/>
        <v>#DIV/0!</v>
      </c>
    </row>
    <row r="89" spans="2:7" x14ac:dyDescent="0.35">
      <c r="B89" s="154" t="s">
        <v>493</v>
      </c>
      <c r="C89" s="170"/>
      <c r="D89" s="170"/>
      <c r="E89" s="191">
        <f t="shared" si="5"/>
        <v>0</v>
      </c>
      <c r="F89" s="170">
        <f t="shared" si="7"/>
        <v>0</v>
      </c>
      <c r="G89" s="191" t="e">
        <f t="shared" si="6"/>
        <v>#DIV/0!</v>
      </c>
    </row>
    <row r="90" spans="2:7" x14ac:dyDescent="0.35">
      <c r="B90" s="154" t="s">
        <v>494</v>
      </c>
      <c r="C90" s="170"/>
      <c r="D90" s="170"/>
      <c r="E90" s="191">
        <f t="shared" si="5"/>
        <v>0</v>
      </c>
      <c r="F90" s="170">
        <f t="shared" si="7"/>
        <v>0</v>
      </c>
      <c r="G90" s="191" t="e">
        <f t="shared" si="6"/>
        <v>#DIV/0!</v>
      </c>
    </row>
    <row r="91" spans="2:7" x14ac:dyDescent="0.35">
      <c r="B91" s="154" t="s">
        <v>549</v>
      </c>
      <c r="C91" s="170"/>
      <c r="D91" s="170"/>
      <c r="E91" s="191">
        <f t="shared" si="5"/>
        <v>0</v>
      </c>
      <c r="F91" s="170">
        <f t="shared" si="7"/>
        <v>0</v>
      </c>
      <c r="G91" s="191" t="e">
        <f t="shared" si="6"/>
        <v>#DIV/0!</v>
      </c>
    </row>
    <row r="92" spans="2:7" x14ac:dyDescent="0.35">
      <c r="B92" s="154" t="s">
        <v>495</v>
      </c>
      <c r="C92" s="170"/>
      <c r="D92" s="170"/>
      <c r="E92" s="191">
        <f t="shared" si="5"/>
        <v>0</v>
      </c>
      <c r="F92" s="170">
        <f t="shared" si="7"/>
        <v>0</v>
      </c>
      <c r="G92" s="191" t="e">
        <f t="shared" si="6"/>
        <v>#DIV/0!</v>
      </c>
    </row>
    <row r="93" spans="2:7" x14ac:dyDescent="0.35">
      <c r="B93" s="154"/>
      <c r="C93" s="170"/>
      <c r="D93" s="170"/>
      <c r="E93" s="191"/>
      <c r="F93" s="209"/>
      <c r="G93" s="191"/>
    </row>
    <row r="94" spans="2:7" x14ac:dyDescent="0.35">
      <c r="B94" s="212" t="s">
        <v>562</v>
      </c>
      <c r="C94" s="207">
        <f>SUM(C95:C97)</f>
        <v>0</v>
      </c>
      <c r="D94" s="207">
        <f>SUM(D95:D97)</f>
        <v>0</v>
      </c>
      <c r="E94" s="208">
        <f>D94/$D$21</f>
        <v>0</v>
      </c>
      <c r="F94" s="207">
        <f>SUM(F95:F97)</f>
        <v>0</v>
      </c>
      <c r="G94" s="208" t="e">
        <f>F94/D94</f>
        <v>#DIV/0!</v>
      </c>
    </row>
    <row r="95" spans="2:7" x14ac:dyDescent="0.35">
      <c r="B95" s="154" t="s">
        <v>496</v>
      </c>
      <c r="C95" s="170"/>
      <c r="D95" s="170"/>
      <c r="E95" s="191">
        <f>D95/$D$21</f>
        <v>0</v>
      </c>
      <c r="F95" s="170">
        <f>C95-D95</f>
        <v>0</v>
      </c>
      <c r="G95" s="191" t="e">
        <f>F95/D95</f>
        <v>#DIV/0!</v>
      </c>
    </row>
    <row r="96" spans="2:7" x14ac:dyDescent="0.35">
      <c r="B96" s="154" t="s">
        <v>497</v>
      </c>
      <c r="C96" s="170"/>
      <c r="D96" s="170"/>
      <c r="E96" s="191">
        <f>D96/$D$21</f>
        <v>0</v>
      </c>
      <c r="F96" s="170">
        <f>C96-D96</f>
        <v>0</v>
      </c>
      <c r="G96" s="191" t="e">
        <f>F96/D96</f>
        <v>#DIV/0!</v>
      </c>
    </row>
    <row r="97" spans="2:7" x14ac:dyDescent="0.35">
      <c r="B97" s="154" t="s">
        <v>498</v>
      </c>
      <c r="C97" s="170"/>
      <c r="D97" s="170"/>
      <c r="E97" s="191">
        <f>D97/$D$21</f>
        <v>0</v>
      </c>
      <c r="F97" s="170">
        <f>C97-D97</f>
        <v>0</v>
      </c>
      <c r="G97" s="191" t="e">
        <f>F97/D97</f>
        <v>#DIV/0!</v>
      </c>
    </row>
    <row r="98" spans="2:7" x14ac:dyDescent="0.35">
      <c r="B98" s="154"/>
      <c r="C98" s="170"/>
      <c r="D98" s="170"/>
      <c r="E98" s="191"/>
      <c r="F98" s="209"/>
      <c r="G98" s="191"/>
    </row>
    <row r="99" spans="2:7" x14ac:dyDescent="0.35">
      <c r="B99" s="212" t="s">
        <v>583</v>
      </c>
      <c r="C99" s="207">
        <f>SUM(C100:C102)</f>
        <v>0</v>
      </c>
      <c r="D99" s="207">
        <f>SUM(D100:D102)</f>
        <v>0</v>
      </c>
      <c r="E99" s="208">
        <f>D99/$D$21</f>
        <v>0</v>
      </c>
      <c r="F99" s="207">
        <f>SUM(F100:F102)</f>
        <v>0</v>
      </c>
      <c r="G99" s="208" t="e">
        <f>F99/D99</f>
        <v>#DIV/0!</v>
      </c>
    </row>
    <row r="100" spans="2:7" x14ac:dyDescent="0.35">
      <c r="B100" s="154" t="s">
        <v>499</v>
      </c>
      <c r="C100" s="170"/>
      <c r="D100" s="170"/>
      <c r="E100" s="191">
        <f>D100/$D$21</f>
        <v>0</v>
      </c>
      <c r="F100" s="170">
        <f>C100-D100</f>
        <v>0</v>
      </c>
      <c r="G100" s="191" t="e">
        <f>F100/D100</f>
        <v>#DIV/0!</v>
      </c>
    </row>
    <row r="101" spans="2:7" x14ac:dyDescent="0.35">
      <c r="B101" s="154" t="s">
        <v>500</v>
      </c>
      <c r="C101" s="170"/>
      <c r="D101" s="170"/>
      <c r="E101" s="191">
        <f>D101/$D$21</f>
        <v>0</v>
      </c>
      <c r="F101" s="170">
        <f>C101-D101</f>
        <v>0</v>
      </c>
      <c r="G101" s="191" t="e">
        <f>F101/D101</f>
        <v>#DIV/0!</v>
      </c>
    </row>
    <row r="102" spans="2:7" x14ac:dyDescent="0.35">
      <c r="B102" s="154" t="s">
        <v>501</v>
      </c>
      <c r="C102" s="170"/>
      <c r="D102" s="170"/>
      <c r="E102" s="191">
        <f>D102/$D$21</f>
        <v>0</v>
      </c>
      <c r="F102" s="170">
        <f>C102-D102</f>
        <v>0</v>
      </c>
      <c r="G102" s="191" t="e">
        <f>F102/D102</f>
        <v>#DIV/0!</v>
      </c>
    </row>
    <row r="103" spans="2:7" x14ac:dyDescent="0.35">
      <c r="B103" s="154"/>
      <c r="C103" s="170"/>
      <c r="D103" s="170"/>
      <c r="E103" s="191"/>
      <c r="F103" s="209"/>
      <c r="G103" s="191"/>
    </row>
    <row r="104" spans="2:7" x14ac:dyDescent="0.35">
      <c r="B104" s="213" t="s">
        <v>789</v>
      </c>
      <c r="C104" s="214" t="e">
        <f>C73-C77-C84-C94-C99</f>
        <v>#REF!</v>
      </c>
      <c r="D104" s="214">
        <f>D73-D77-D84-D94-D99</f>
        <v>59550561.48824463</v>
      </c>
      <c r="E104" s="215">
        <f>D104/$D$21</f>
        <v>1</v>
      </c>
      <c r="F104" s="214" t="e">
        <f>F73-F77-F84-F94-F99</f>
        <v>#REF!</v>
      </c>
      <c r="G104" s="215" t="e">
        <f>F104/D104</f>
        <v>#REF!</v>
      </c>
    </row>
    <row r="105" spans="2:7" x14ac:dyDescent="0.35">
      <c r="B105" s="5"/>
      <c r="E105" s="164"/>
      <c r="F105" s="165"/>
      <c r="G105" s="164"/>
    </row>
    <row r="106" spans="2:7" x14ac:dyDescent="0.35">
      <c r="B106" s="212" t="s">
        <v>507</v>
      </c>
      <c r="C106" s="207">
        <f>SUM(C107:C113)</f>
        <v>0</v>
      </c>
      <c r="D106" s="207">
        <f>SUM(D107:D113)</f>
        <v>0</v>
      </c>
      <c r="E106" s="208">
        <f t="shared" ref="E106:E113" si="8">D106/$D$21</f>
        <v>0</v>
      </c>
      <c r="F106" s="207">
        <f>SUM(F107:F113)</f>
        <v>0</v>
      </c>
      <c r="G106" s="208" t="e">
        <f t="shared" ref="G106:G119" si="9">F106/D106</f>
        <v>#DIV/0!</v>
      </c>
    </row>
    <row r="107" spans="2:7" x14ac:dyDescent="0.35">
      <c r="B107" s="142" t="s">
        <v>581</v>
      </c>
      <c r="C107" s="216"/>
      <c r="D107" s="216"/>
      <c r="E107" s="217">
        <f t="shared" si="8"/>
        <v>0</v>
      </c>
      <c r="F107" s="170">
        <f t="shared" ref="F107:F113" si="10">C107-D107</f>
        <v>0</v>
      </c>
      <c r="G107" s="217" t="e">
        <f t="shared" si="9"/>
        <v>#DIV/0!</v>
      </c>
    </row>
    <row r="108" spans="2:7" x14ac:dyDescent="0.35">
      <c r="B108" s="142" t="s">
        <v>509</v>
      </c>
      <c r="C108" s="216"/>
      <c r="D108" s="216"/>
      <c r="E108" s="217">
        <f t="shared" si="8"/>
        <v>0</v>
      </c>
      <c r="F108" s="170">
        <f t="shared" si="10"/>
        <v>0</v>
      </c>
      <c r="G108" s="217" t="e">
        <f t="shared" si="9"/>
        <v>#DIV/0!</v>
      </c>
    </row>
    <row r="109" spans="2:7" x14ac:dyDescent="0.35">
      <c r="B109" s="142" t="s">
        <v>582</v>
      </c>
      <c r="C109" s="216"/>
      <c r="D109" s="216"/>
      <c r="E109" s="217">
        <f t="shared" si="8"/>
        <v>0</v>
      </c>
      <c r="F109" s="170">
        <f t="shared" si="10"/>
        <v>0</v>
      </c>
      <c r="G109" s="217" t="e">
        <f t="shared" si="9"/>
        <v>#DIV/0!</v>
      </c>
    </row>
    <row r="110" spans="2:7" x14ac:dyDescent="0.35">
      <c r="B110" s="154" t="s">
        <v>514</v>
      </c>
      <c r="C110" s="216"/>
      <c r="D110" s="216"/>
      <c r="E110" s="217">
        <f t="shared" si="8"/>
        <v>0</v>
      </c>
      <c r="F110" s="170">
        <f t="shared" si="10"/>
        <v>0</v>
      </c>
      <c r="G110" s="217" t="e">
        <f t="shared" si="9"/>
        <v>#DIV/0!</v>
      </c>
    </row>
    <row r="111" spans="2:7" x14ac:dyDescent="0.35">
      <c r="B111" s="154" t="s">
        <v>1602</v>
      </c>
      <c r="C111" s="216"/>
      <c r="D111" s="216"/>
      <c r="E111" s="217">
        <f t="shared" si="8"/>
        <v>0</v>
      </c>
      <c r="F111" s="170">
        <f t="shared" si="10"/>
        <v>0</v>
      </c>
      <c r="G111" s="217" t="e">
        <f t="shared" si="9"/>
        <v>#DIV/0!</v>
      </c>
    </row>
    <row r="112" spans="2:7" x14ac:dyDescent="0.35">
      <c r="B112" s="154" t="s">
        <v>510</v>
      </c>
      <c r="C112" s="216"/>
      <c r="D112" s="216"/>
      <c r="E112" s="217">
        <f t="shared" si="8"/>
        <v>0</v>
      </c>
      <c r="F112" s="170">
        <f t="shared" si="10"/>
        <v>0</v>
      </c>
      <c r="G112" s="217" t="e">
        <f t="shared" si="9"/>
        <v>#DIV/0!</v>
      </c>
    </row>
    <row r="113" spans="2:7" x14ac:dyDescent="0.35">
      <c r="B113" s="154" t="s">
        <v>511</v>
      </c>
      <c r="C113" s="170"/>
      <c r="D113" s="216"/>
      <c r="E113" s="217">
        <f t="shared" si="8"/>
        <v>0</v>
      </c>
      <c r="F113" s="170">
        <f t="shared" si="10"/>
        <v>0</v>
      </c>
      <c r="G113" s="217" t="e">
        <f t="shared" si="9"/>
        <v>#DIV/0!</v>
      </c>
    </row>
    <row r="114" spans="2:7" x14ac:dyDescent="0.35">
      <c r="B114" s="212" t="s">
        <v>515</v>
      </c>
      <c r="C114" s="207">
        <f>SUM(C115:C118)</f>
        <v>0</v>
      </c>
      <c r="D114" s="207">
        <f>SUM(D115:D118)</f>
        <v>0</v>
      </c>
      <c r="E114" s="208">
        <f t="shared" ref="E114:E119" si="11">D114/$D$21</f>
        <v>0</v>
      </c>
      <c r="F114" s="207">
        <f>SUM(F115:F117)</f>
        <v>0</v>
      </c>
      <c r="G114" s="208" t="e">
        <f t="shared" si="9"/>
        <v>#DIV/0!</v>
      </c>
    </row>
    <row r="115" spans="2:7" x14ac:dyDescent="0.35">
      <c r="B115" s="142" t="s">
        <v>516</v>
      </c>
      <c r="C115" s="216"/>
      <c r="D115" s="216"/>
      <c r="E115" s="217">
        <f t="shared" si="11"/>
        <v>0</v>
      </c>
      <c r="F115" s="170">
        <f>C115-D115</f>
        <v>0</v>
      </c>
      <c r="G115" s="217" t="e">
        <f t="shared" si="9"/>
        <v>#DIV/0!</v>
      </c>
    </row>
    <row r="116" spans="2:7" x14ac:dyDescent="0.35">
      <c r="B116" s="142" t="s">
        <v>521</v>
      </c>
      <c r="C116" s="216"/>
      <c r="D116" s="216"/>
      <c r="E116" s="217">
        <f t="shared" si="11"/>
        <v>0</v>
      </c>
      <c r="F116" s="170">
        <f>C116-D116</f>
        <v>0</v>
      </c>
      <c r="G116" s="217" t="e">
        <f t="shared" si="9"/>
        <v>#DIV/0!</v>
      </c>
    </row>
    <row r="117" spans="2:7" x14ac:dyDescent="0.35">
      <c r="B117" s="154" t="s">
        <v>522</v>
      </c>
      <c r="C117" s="216"/>
      <c r="D117" s="216"/>
      <c r="E117" s="217">
        <f t="shared" si="11"/>
        <v>0</v>
      </c>
      <c r="F117" s="170">
        <f>C117-D117</f>
        <v>0</v>
      </c>
      <c r="G117" s="217" t="e">
        <f t="shared" si="9"/>
        <v>#DIV/0!</v>
      </c>
    </row>
    <row r="118" spans="2:7" x14ac:dyDescent="0.35">
      <c r="B118" s="154" t="s">
        <v>1603</v>
      </c>
      <c r="C118" s="170"/>
      <c r="D118" s="170"/>
      <c r="E118" s="191">
        <f t="shared" si="11"/>
        <v>0</v>
      </c>
      <c r="F118" s="170">
        <f>C118-D118</f>
        <v>0</v>
      </c>
      <c r="G118" s="191" t="e">
        <f t="shared" si="9"/>
        <v>#DIV/0!</v>
      </c>
    </row>
    <row r="119" spans="2:7" x14ac:dyDescent="0.35">
      <c r="B119" s="213" t="s">
        <v>790</v>
      </c>
      <c r="C119" s="204" t="e">
        <f>C104-C106-C114</f>
        <v>#REF!</v>
      </c>
      <c r="D119" s="204">
        <f>D104-D106-D114</f>
        <v>59550561.48824463</v>
      </c>
      <c r="E119" s="205">
        <f t="shared" si="11"/>
        <v>1</v>
      </c>
      <c r="F119" s="204" t="e">
        <f>F104-F106-F114</f>
        <v>#REF!</v>
      </c>
      <c r="G119" s="205" t="e">
        <f t="shared" si="9"/>
        <v>#REF!</v>
      </c>
    </row>
    <row r="120" spans="2:7" x14ac:dyDescent="0.35">
      <c r="B120" s="5"/>
      <c r="E120" s="164"/>
      <c r="F120" s="165"/>
      <c r="G120" s="164"/>
    </row>
    <row r="121" spans="2:7" x14ac:dyDescent="0.35">
      <c r="B121" s="212" t="s">
        <v>502</v>
      </c>
      <c r="C121" s="207">
        <f>SUM(C122:C124)</f>
        <v>0</v>
      </c>
      <c r="D121" s="207">
        <f>SUM(D122:D124)</f>
        <v>0</v>
      </c>
      <c r="E121" s="208">
        <f>D121/$D$21</f>
        <v>0</v>
      </c>
      <c r="F121" s="207">
        <f>SUM(F122:F124)</f>
        <v>0</v>
      </c>
      <c r="G121" s="208" t="e">
        <f>F121/D121</f>
        <v>#DIV/0!</v>
      </c>
    </row>
    <row r="122" spans="2:7" x14ac:dyDescent="0.35">
      <c r="B122" s="154" t="s">
        <v>503</v>
      </c>
      <c r="C122" s="170"/>
      <c r="D122" s="170"/>
      <c r="E122" s="191">
        <f>D122/$D$21</f>
        <v>0</v>
      </c>
      <c r="F122" s="170">
        <f>C122-D122</f>
        <v>0</v>
      </c>
      <c r="G122" s="191" t="e">
        <f>F122/D122</f>
        <v>#DIV/0!</v>
      </c>
    </row>
    <row r="123" spans="2:7" x14ac:dyDescent="0.35">
      <c r="B123" s="154" t="s">
        <v>504</v>
      </c>
      <c r="C123" s="170"/>
      <c r="D123" s="170"/>
      <c r="E123" s="191">
        <f>D123/$D$21</f>
        <v>0</v>
      </c>
      <c r="F123" s="170">
        <f>C123-D123</f>
        <v>0</v>
      </c>
      <c r="G123" s="191" t="e">
        <f>F123/D123</f>
        <v>#DIV/0!</v>
      </c>
    </row>
    <row r="124" spans="2:7" x14ac:dyDescent="0.35">
      <c r="B124" s="154" t="s">
        <v>505</v>
      </c>
      <c r="C124" s="170"/>
      <c r="D124" s="170"/>
      <c r="E124" s="191">
        <f>D124/$D$21</f>
        <v>0</v>
      </c>
      <c r="F124" s="170">
        <f>C124-D124</f>
        <v>0</v>
      </c>
      <c r="G124" s="191" t="e">
        <f>F124/D124</f>
        <v>#DIV/0!</v>
      </c>
    </row>
    <row r="125" spans="2:7" x14ac:dyDescent="0.35">
      <c r="B125" s="154"/>
      <c r="C125" s="170"/>
      <c r="D125" s="170"/>
      <c r="E125" s="191"/>
      <c r="F125" s="209"/>
      <c r="G125" s="191"/>
    </row>
    <row r="126" spans="2:7" x14ac:dyDescent="0.35">
      <c r="B126" s="213" t="s">
        <v>791</v>
      </c>
      <c r="C126" s="204" t="e">
        <f>C119-C121</f>
        <v>#REF!</v>
      </c>
      <c r="D126" s="204">
        <f>D119-D121</f>
        <v>59550561.48824463</v>
      </c>
      <c r="E126" s="205">
        <f>D126/$D$21</f>
        <v>1</v>
      </c>
      <c r="F126" s="204" t="e">
        <f>F119-F121</f>
        <v>#REF!</v>
      </c>
      <c r="G126" s="205" t="e">
        <f>F126/D126</f>
        <v>#REF!</v>
      </c>
    </row>
    <row r="127" spans="2:7" x14ac:dyDescent="0.35">
      <c r="B127" s="5"/>
      <c r="E127" s="164"/>
      <c r="F127" s="101"/>
      <c r="G127" s="164"/>
    </row>
    <row r="128" spans="2:7" x14ac:dyDescent="0.35">
      <c r="B128" s="218" t="s">
        <v>523</v>
      </c>
      <c r="C128" s="207"/>
      <c r="D128" s="207">
        <v>0</v>
      </c>
      <c r="E128" s="208">
        <f>D128/$D$21</f>
        <v>0</v>
      </c>
      <c r="F128" s="207">
        <f>C128-D128</f>
        <v>0</v>
      </c>
      <c r="G128" s="208" t="e">
        <f>F128/D128</f>
        <v>#DIV/0!</v>
      </c>
    </row>
    <row r="129" spans="2:7" x14ac:dyDescent="0.35">
      <c r="B129" s="148"/>
      <c r="C129" s="170"/>
      <c r="D129" s="170"/>
      <c r="E129" s="191"/>
      <c r="F129" s="170"/>
      <c r="G129" s="191"/>
    </row>
    <row r="130" spans="2:7" x14ac:dyDescent="0.35">
      <c r="B130" s="203" t="s">
        <v>792</v>
      </c>
      <c r="C130" s="204" t="e">
        <f>C126-C128</f>
        <v>#REF!</v>
      </c>
      <c r="D130" s="204">
        <f>D126-D128</f>
        <v>59550561.48824463</v>
      </c>
      <c r="E130" s="205">
        <f>D130/$D$21</f>
        <v>1</v>
      </c>
      <c r="F130" s="204" t="e">
        <f>F126-F128</f>
        <v>#REF!</v>
      </c>
      <c r="G130" s="205" t="e">
        <f>F130/D130</f>
        <v>#REF!</v>
      </c>
    </row>
    <row r="131" spans="2:7" x14ac:dyDescent="0.35">
      <c r="E131" s="100"/>
      <c r="F131" s="101"/>
      <c r="G131" s="101"/>
    </row>
    <row r="132" spans="2:7" x14ac:dyDescent="0.35">
      <c r="B132" s="28" t="s">
        <v>810</v>
      </c>
      <c r="F132" s="100"/>
      <c r="G132" s="100"/>
    </row>
    <row r="133" spans="2:7" x14ac:dyDescent="0.35">
      <c r="B133" s="28" t="s">
        <v>622</v>
      </c>
      <c r="C133" s="101">
        <f>C16-C32-C33-C40-C46</f>
        <v>714606737.85893559</v>
      </c>
      <c r="F133" s="100"/>
      <c r="G133" s="100"/>
    </row>
    <row r="134" spans="2:7" x14ac:dyDescent="0.35">
      <c r="B134" s="28" t="s">
        <v>616</v>
      </c>
      <c r="C134" s="101" t="e">
        <f>C17-C26-C34-C41</f>
        <v>#REF!</v>
      </c>
      <c r="F134" s="100"/>
      <c r="G134" s="100"/>
    </row>
    <row r="135" spans="2:7" x14ac:dyDescent="0.35">
      <c r="B135" s="28" t="s">
        <v>623</v>
      </c>
      <c r="C135" s="101">
        <f>C18-C27</f>
        <v>0</v>
      </c>
      <c r="F135" s="100"/>
      <c r="G135" s="100"/>
    </row>
    <row r="136" spans="2:7" x14ac:dyDescent="0.35">
      <c r="B136" s="28" t="s">
        <v>621</v>
      </c>
      <c r="C136" s="101">
        <v>0</v>
      </c>
      <c r="F136" s="100"/>
      <c r="G136" s="100"/>
    </row>
    <row r="137" spans="2:7" x14ac:dyDescent="0.35">
      <c r="B137" s="28" t="s">
        <v>624</v>
      </c>
      <c r="C137" s="101">
        <f>C19-C29-C37-C43</f>
        <v>0</v>
      </c>
      <c r="F137" s="100"/>
      <c r="G137" s="100"/>
    </row>
    <row r="138" spans="2:7" x14ac:dyDescent="0.35">
      <c r="C138" s="101" t="e">
        <f>SUM(C133:C137)-C21+C51</f>
        <v>#REF!</v>
      </c>
      <c r="F138" s="100"/>
      <c r="G138" s="100"/>
    </row>
    <row r="139" spans="2:7" x14ac:dyDescent="0.35">
      <c r="F139" s="100"/>
      <c r="G139" s="100"/>
    </row>
    <row r="140" spans="2:7" x14ac:dyDescent="0.35">
      <c r="B140" s="28" t="s">
        <v>501</v>
      </c>
      <c r="C140" s="101" t="s">
        <v>879</v>
      </c>
      <c r="D140" s="101" t="s">
        <v>880</v>
      </c>
      <c r="F140" s="100"/>
      <c r="G140" s="100"/>
    </row>
    <row r="141" spans="2:7" x14ac:dyDescent="0.35">
      <c r="B141" s="5" t="s">
        <v>632</v>
      </c>
      <c r="C141" s="28" t="s">
        <v>881</v>
      </c>
      <c r="D141" s="101" t="s">
        <v>882</v>
      </c>
      <c r="F141" s="100"/>
      <c r="G141" s="100"/>
    </row>
    <row r="142" spans="2:7" x14ac:dyDescent="0.35">
      <c r="B142" s="5" t="s">
        <v>883</v>
      </c>
      <c r="C142" s="28" t="s">
        <v>896</v>
      </c>
      <c r="F142" s="100"/>
      <c r="G142" s="100"/>
    </row>
    <row r="143" spans="2:7" x14ac:dyDescent="0.35">
      <c r="B143" s="5" t="s">
        <v>887</v>
      </c>
      <c r="C143" s="28" t="s">
        <v>884</v>
      </c>
      <c r="F143" s="100"/>
      <c r="G143" s="100"/>
    </row>
    <row r="144" spans="2:7" x14ac:dyDescent="0.35">
      <c r="B144" s="5" t="s">
        <v>885</v>
      </c>
      <c r="C144" s="28" t="s">
        <v>886</v>
      </c>
      <c r="F144" s="100"/>
      <c r="G144" s="100"/>
    </row>
    <row r="145" spans="2:7" x14ac:dyDescent="0.35">
      <c r="B145" s="5"/>
      <c r="C145" s="28"/>
      <c r="F145" s="100"/>
      <c r="G145" s="100"/>
    </row>
    <row r="146" spans="2:7" x14ac:dyDescent="0.35">
      <c r="F146" s="100"/>
      <c r="G146" s="100"/>
    </row>
    <row r="147" spans="2:7" x14ac:dyDescent="0.35">
      <c r="C147" s="28"/>
      <c r="F147" s="100"/>
      <c r="G147" s="100"/>
    </row>
    <row r="148" spans="2:7" x14ac:dyDescent="0.35">
      <c r="C148" s="28"/>
      <c r="F148" s="100"/>
      <c r="G148" s="100"/>
    </row>
    <row r="149" spans="2:7" x14ac:dyDescent="0.35">
      <c r="C149" s="28"/>
      <c r="F149" s="100"/>
      <c r="G149" s="100"/>
    </row>
    <row r="150" spans="2:7" x14ac:dyDescent="0.35">
      <c r="F150" s="100"/>
      <c r="G150" s="100"/>
    </row>
    <row r="151" spans="2:7" x14ac:dyDescent="0.35">
      <c r="F151" s="100"/>
      <c r="G151" s="100"/>
    </row>
    <row r="152" spans="2:7" x14ac:dyDescent="0.35">
      <c r="F152" s="100"/>
      <c r="G152" s="100"/>
    </row>
  </sheetData>
  <pageMargins left="0.70866141732283472" right="0.70866141732283472" top="0.74803149606299213" bottom="0.74803149606299213" header="0.31496062992125984" footer="0.31496062992125984"/>
  <pageSetup paperSize="9" scale="90" fitToWidth="2" fitToHeight="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V445"/>
  <sheetViews>
    <sheetView tabSelected="1" workbookViewId="0">
      <pane ySplit="5" topLeftCell="A6" activePane="bottomLeft" state="frozen"/>
      <selection pane="bottomLeft" activeCell="D338" sqref="D338"/>
    </sheetView>
  </sheetViews>
  <sheetFormatPr defaultColWidth="9.08984375" defaultRowHeight="10.5" x14ac:dyDescent="0.35"/>
  <cols>
    <col min="1" max="1" width="2" style="28" customWidth="1"/>
    <col min="2" max="2" width="20" style="28" bestFit="1" customWidth="1"/>
    <col min="3" max="3" width="42.7265625" style="28" bestFit="1" customWidth="1"/>
    <col min="4" max="4" width="14.81640625" style="101" customWidth="1"/>
    <col min="5" max="5" width="7.36328125" style="101" customWidth="1"/>
    <col min="6" max="6" width="11.7265625" style="101" bestFit="1" customWidth="1"/>
    <col min="7" max="7" width="7.6328125" style="101" customWidth="1"/>
    <col min="8" max="8" width="12.6328125" style="28" customWidth="1"/>
    <col min="9" max="9" width="6.81640625" style="28" customWidth="1"/>
    <col min="10" max="10" width="12.08984375" style="101" bestFit="1" customWidth="1"/>
    <col min="11" max="11" width="6.81640625" style="101" customWidth="1"/>
    <col min="12" max="12" width="12.08984375" style="28" bestFit="1" customWidth="1"/>
    <col min="13" max="13" width="6.81640625" style="28" customWidth="1"/>
    <col min="14" max="14" width="13.7265625" style="101" customWidth="1"/>
    <col min="15" max="15" width="6.36328125" style="28" customWidth="1"/>
    <col min="16" max="16" width="12.26953125" style="28" bestFit="1" customWidth="1"/>
    <col min="17" max="17" width="6.81640625" style="28" bestFit="1" customWidth="1"/>
    <col min="18" max="18" width="11.7265625" style="28" bestFit="1" customWidth="1"/>
    <col min="19" max="19" width="6.81640625" style="28" bestFit="1" customWidth="1"/>
    <col min="20" max="16384" width="9.08984375" style="28"/>
  </cols>
  <sheetData>
    <row r="1" spans="1:19" x14ac:dyDescent="0.35">
      <c r="A1" s="153"/>
      <c r="B1" s="153" t="s">
        <v>595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9" x14ac:dyDescent="0.35">
      <c r="A2" s="153"/>
      <c r="B2" s="153" t="s">
        <v>1339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9" x14ac:dyDescent="0.35">
      <c r="A3" s="153"/>
      <c r="B3" s="153" t="s">
        <v>596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9" x14ac:dyDescent="0.35">
      <c r="D4" s="155" t="s">
        <v>809</v>
      </c>
      <c r="E4" s="156"/>
      <c r="F4" s="157"/>
      <c r="G4" s="157"/>
      <c r="H4" s="158"/>
      <c r="I4" s="159"/>
      <c r="J4" s="160" t="s">
        <v>782</v>
      </c>
      <c r="K4" s="157"/>
      <c r="L4" s="157"/>
      <c r="M4" s="157"/>
      <c r="N4" s="157"/>
      <c r="O4" s="161"/>
      <c r="P4" s="160" t="s">
        <v>811</v>
      </c>
      <c r="Q4" s="175"/>
      <c r="R4" s="157"/>
      <c r="S4" s="176"/>
    </row>
    <row r="5" spans="1:19" s="99" customFormat="1" x14ac:dyDescent="0.35">
      <c r="B5" s="352" t="s">
        <v>17</v>
      </c>
      <c r="C5" s="353"/>
      <c r="D5" s="177" t="s">
        <v>783</v>
      </c>
      <c r="E5" s="178" t="s">
        <v>784</v>
      </c>
      <c r="F5" s="179" t="s">
        <v>785</v>
      </c>
      <c r="G5" s="179" t="s">
        <v>784</v>
      </c>
      <c r="H5" s="180" t="s">
        <v>786</v>
      </c>
      <c r="I5" s="181" t="s">
        <v>784</v>
      </c>
      <c r="J5" s="182" t="s">
        <v>783</v>
      </c>
      <c r="K5" s="183" t="s">
        <v>784</v>
      </c>
      <c r="L5" s="179" t="s">
        <v>785</v>
      </c>
      <c r="M5" s="179" t="s">
        <v>784</v>
      </c>
      <c r="N5" s="179" t="s">
        <v>786</v>
      </c>
      <c r="O5" s="184" t="s">
        <v>784</v>
      </c>
      <c r="P5" s="166" t="s">
        <v>787</v>
      </c>
      <c r="Q5" s="185" t="s">
        <v>597</v>
      </c>
      <c r="R5" s="166" t="s">
        <v>788</v>
      </c>
      <c r="S5" s="185" t="s">
        <v>597</v>
      </c>
    </row>
    <row r="6" spans="1:19" x14ac:dyDescent="0.35">
      <c r="B6" s="228"/>
      <c r="C6" s="228"/>
      <c r="E6" s="28"/>
      <c r="G6" s="28"/>
      <c r="H6" s="101"/>
      <c r="I6" s="101"/>
      <c r="J6" s="28"/>
      <c r="L6" s="101"/>
      <c r="N6" s="28"/>
      <c r="O6" s="101"/>
      <c r="Q6" s="163"/>
      <c r="S6" s="163"/>
    </row>
    <row r="7" spans="1:19" x14ac:dyDescent="0.35">
      <c r="B7" s="350" t="s">
        <v>634</v>
      </c>
      <c r="C7" s="351"/>
      <c r="D7" s="170" t="e">
        <f>#REF!</f>
        <v>#REF!</v>
      </c>
      <c r="E7" s="148"/>
      <c r="F7" s="170">
        <f>'PL Summary'!D7</f>
        <v>30</v>
      </c>
      <c r="G7" s="148"/>
      <c r="H7" s="170">
        <f>'PL Summary'!F7</f>
        <v>1</v>
      </c>
      <c r="I7" s="170"/>
      <c r="J7" s="170" t="e">
        <f>'PL Summary'!#REF!</f>
        <v>#REF!</v>
      </c>
      <c r="K7" s="148"/>
      <c r="L7" s="170" t="e">
        <f>'PL Summary'!#REF!</f>
        <v>#REF!</v>
      </c>
      <c r="M7" s="148"/>
      <c r="N7" s="170" t="e">
        <f>'PL Summary'!#REF!</f>
        <v>#REF!</v>
      </c>
      <c r="O7" s="186"/>
      <c r="P7" s="170"/>
      <c r="Q7" s="187"/>
      <c r="R7" s="170"/>
      <c r="S7" s="187"/>
    </row>
    <row r="8" spans="1:19" x14ac:dyDescent="0.35">
      <c r="B8" s="350" t="s">
        <v>775</v>
      </c>
      <c r="C8" s="351"/>
      <c r="D8" s="170" t="e">
        <f>#REF!</f>
        <v>#REF!</v>
      </c>
      <c r="E8" s="148"/>
      <c r="F8" s="170" t="e">
        <f>'PL Summary'!#REF!</f>
        <v>#REF!</v>
      </c>
      <c r="G8" s="148"/>
      <c r="H8" s="170" t="e">
        <f>'PL Summary'!#REF!</f>
        <v>#REF!</v>
      </c>
      <c r="I8" s="170"/>
      <c r="J8" s="170" t="e">
        <f>'PL Summary'!#REF!</f>
        <v>#REF!</v>
      </c>
      <c r="K8" s="148"/>
      <c r="L8" s="170" t="e">
        <f>'PL Summary'!#REF!</f>
        <v>#REF!</v>
      </c>
      <c r="M8" s="148"/>
      <c r="N8" s="170" t="e">
        <f>'PL Summary'!#REF!</f>
        <v>#REF!</v>
      </c>
      <c r="O8" s="186"/>
      <c r="P8" s="170"/>
      <c r="Q8" s="187"/>
      <c r="R8" s="170"/>
      <c r="S8" s="187"/>
    </row>
    <row r="9" spans="1:19" x14ac:dyDescent="0.35">
      <c r="B9" s="348" t="s">
        <v>777</v>
      </c>
      <c r="C9" s="349"/>
      <c r="D9" s="170" t="e">
        <f>#REF!</f>
        <v>#REF!</v>
      </c>
      <c r="E9" s="152"/>
      <c r="F9" s="170">
        <f>'PL Summary'!D8</f>
        <v>2340</v>
      </c>
      <c r="G9" s="152"/>
      <c r="H9" s="170">
        <f>'PL Summary'!F8</f>
        <v>78</v>
      </c>
      <c r="I9" s="188"/>
      <c r="J9" s="170" t="e">
        <f>'PL Summary'!#REF!</f>
        <v>#REF!</v>
      </c>
      <c r="K9" s="152"/>
      <c r="L9" s="170" t="e">
        <f>'PL Summary'!#REF!</f>
        <v>#REF!</v>
      </c>
      <c r="M9" s="152"/>
      <c r="N9" s="170" t="e">
        <f>'PL Summary'!#REF!</f>
        <v>#REF!</v>
      </c>
      <c r="O9" s="189"/>
      <c r="P9" s="188"/>
      <c r="Q9" s="190"/>
      <c r="R9" s="188"/>
      <c r="S9" s="190"/>
    </row>
    <row r="10" spans="1:19" x14ac:dyDescent="0.35">
      <c r="B10" s="350" t="s">
        <v>776</v>
      </c>
      <c r="C10" s="351"/>
      <c r="D10" s="170" t="e">
        <f>#REF!</f>
        <v>#REF!</v>
      </c>
      <c r="E10" s="148"/>
      <c r="F10" s="170" t="e">
        <f>'PL Summary'!#REF!</f>
        <v>#REF!</v>
      </c>
      <c r="G10" s="148"/>
      <c r="H10" s="170" t="e">
        <f>'PL Summary'!#REF!</f>
        <v>#REF!</v>
      </c>
      <c r="I10" s="170"/>
      <c r="J10" s="170" t="e">
        <f>'PL Summary'!#REF!</f>
        <v>#REF!</v>
      </c>
      <c r="K10" s="148"/>
      <c r="L10" s="170" t="e">
        <f>'PL Summary'!#REF!</f>
        <v>#REF!</v>
      </c>
      <c r="M10" s="148"/>
      <c r="N10" s="170" t="e">
        <f>'PL Summary'!#REF!</f>
        <v>#REF!</v>
      </c>
      <c r="O10" s="186"/>
      <c r="P10" s="170"/>
      <c r="Q10" s="187"/>
      <c r="R10" s="170"/>
      <c r="S10" s="187"/>
    </row>
    <row r="11" spans="1:19" x14ac:dyDescent="0.35">
      <c r="B11" s="350" t="s">
        <v>635</v>
      </c>
      <c r="C11" s="351"/>
      <c r="D11" s="170" t="e">
        <f>#REF!</f>
        <v>#REF!</v>
      </c>
      <c r="E11" s="148"/>
      <c r="F11" s="170">
        <f>'PL Summary'!D9</f>
        <v>1404</v>
      </c>
      <c r="G11" s="148"/>
      <c r="H11" s="170">
        <f>'PL Summary'!F9</f>
        <v>46.8</v>
      </c>
      <c r="I11" s="170"/>
      <c r="J11" s="170" t="e">
        <f>'PL Summary'!#REF!</f>
        <v>#REF!</v>
      </c>
      <c r="K11" s="148"/>
      <c r="L11" s="170" t="e">
        <f>'PL Summary'!#REF!</f>
        <v>#REF!</v>
      </c>
      <c r="M11" s="148"/>
      <c r="N11" s="170" t="e">
        <f>'PL Summary'!#REF!</f>
        <v>#REF!</v>
      </c>
      <c r="O11" s="186"/>
      <c r="P11" s="170"/>
      <c r="Q11" s="187"/>
      <c r="R11" s="170"/>
      <c r="S11" s="187"/>
    </row>
    <row r="12" spans="1:19" x14ac:dyDescent="0.35">
      <c r="B12" s="352" t="s">
        <v>778</v>
      </c>
      <c r="C12" s="353"/>
      <c r="D12" s="170" t="e">
        <f>#REF!</f>
        <v>#REF!</v>
      </c>
      <c r="E12" s="152"/>
      <c r="F12" s="170">
        <f>'PL Summary'!D10</f>
        <v>0.6</v>
      </c>
      <c r="G12" s="152"/>
      <c r="H12" s="170">
        <f>'PL Summary'!F10</f>
        <v>0.6</v>
      </c>
      <c r="I12" s="188"/>
      <c r="J12" s="170" t="e">
        <f>'PL Summary'!#REF!</f>
        <v>#REF!</v>
      </c>
      <c r="K12" s="152"/>
      <c r="L12" s="170" t="e">
        <f>'PL Summary'!#REF!</f>
        <v>#REF!</v>
      </c>
      <c r="M12" s="152"/>
      <c r="N12" s="170" t="e">
        <f>'PL Summary'!#REF!</f>
        <v>#REF!</v>
      </c>
      <c r="O12" s="189"/>
      <c r="P12" s="188"/>
      <c r="Q12" s="187"/>
      <c r="R12" s="170"/>
      <c r="S12" s="187"/>
    </row>
    <row r="13" spans="1:19" x14ac:dyDescent="0.35">
      <c r="B13" s="350" t="s">
        <v>643</v>
      </c>
      <c r="C13" s="351"/>
      <c r="D13" s="170" t="e">
        <f>#REF!</f>
        <v>#REF!</v>
      </c>
      <c r="E13" s="148"/>
      <c r="F13" s="170">
        <f>'PL Summary'!D11</f>
        <v>83220.290279433699</v>
      </c>
      <c r="G13" s="148"/>
      <c r="H13" s="170">
        <f>'PL Summary'!F11</f>
        <v>83220.290279433699</v>
      </c>
      <c r="I13" s="170"/>
      <c r="J13" s="170" t="e">
        <f>'PL Summary'!#REF!</f>
        <v>#REF!</v>
      </c>
      <c r="K13" s="148"/>
      <c r="L13" s="170" t="e">
        <f>'PL Summary'!#REF!</f>
        <v>#REF!</v>
      </c>
      <c r="M13" s="148"/>
      <c r="N13" s="170" t="e">
        <f>'PL Summary'!#REF!</f>
        <v>#REF!</v>
      </c>
      <c r="O13" s="186"/>
      <c r="P13" s="170"/>
      <c r="Q13" s="187"/>
      <c r="R13" s="170"/>
      <c r="S13" s="187"/>
    </row>
    <row r="14" spans="1:19" x14ac:dyDescent="0.35">
      <c r="B14" s="352" t="s">
        <v>779</v>
      </c>
      <c r="C14" s="353"/>
      <c r="D14" s="170" t="e">
        <f>#REF!</f>
        <v>#REF!</v>
      </c>
      <c r="E14" s="152"/>
      <c r="F14" s="170">
        <f>'PL Summary'!D12</f>
        <v>52914.234569339918</v>
      </c>
      <c r="G14" s="152"/>
      <c r="H14" s="170">
        <f>'PL Summary'!F12</f>
        <v>52914.234569339918</v>
      </c>
      <c r="I14" s="188"/>
      <c r="J14" s="170" t="e">
        <f>'PL Summary'!#REF!</f>
        <v>#REF!</v>
      </c>
      <c r="K14" s="152"/>
      <c r="L14" s="170" t="e">
        <f>'PL Summary'!#REF!</f>
        <v>#REF!</v>
      </c>
      <c r="M14" s="152"/>
      <c r="N14" s="170" t="e">
        <f>'PL Summary'!#REF!</f>
        <v>#REF!</v>
      </c>
      <c r="O14" s="189"/>
      <c r="P14" s="188"/>
      <c r="Q14" s="187"/>
      <c r="R14" s="170"/>
      <c r="S14" s="187"/>
    </row>
    <row r="15" spans="1:19" x14ac:dyDescent="0.35">
      <c r="B15" s="350" t="s">
        <v>644</v>
      </c>
      <c r="C15" s="351"/>
      <c r="D15" s="170" t="e">
        <f>#REF!</f>
        <v>#REF!</v>
      </c>
      <c r="E15" s="148"/>
      <c r="F15" s="170">
        <f>'PL Summary'!D13</f>
        <v>0</v>
      </c>
      <c r="G15" s="148"/>
      <c r="H15" s="170">
        <f>'PL Summary'!F13</f>
        <v>0</v>
      </c>
      <c r="I15" s="170"/>
      <c r="J15" s="170" t="e">
        <f>'PL Summary'!#REF!</f>
        <v>#REF!</v>
      </c>
      <c r="K15" s="148"/>
      <c r="L15" s="170" t="e">
        <f>'PL Summary'!#REF!</f>
        <v>#REF!</v>
      </c>
      <c r="M15" s="148"/>
      <c r="N15" s="170" t="e">
        <f>'PL Summary'!#REF!</f>
        <v>#REF!</v>
      </c>
      <c r="O15" s="186"/>
      <c r="P15" s="170"/>
      <c r="Q15" s="187"/>
      <c r="R15" s="170"/>
      <c r="S15" s="187"/>
    </row>
    <row r="16" spans="1:19" x14ac:dyDescent="0.35">
      <c r="B16" s="354" t="s">
        <v>780</v>
      </c>
      <c r="C16" s="355"/>
      <c r="D16" s="170" t="e">
        <f>#REF!</f>
        <v>#REF!</v>
      </c>
      <c r="E16" s="191" t="e">
        <f>D16/F16</f>
        <v>#REF!</v>
      </c>
      <c r="F16" s="170" t="e">
        <f>'PL Summary'!#REF!</f>
        <v>#REF!</v>
      </c>
      <c r="G16" s="191"/>
      <c r="H16" s="170" t="e">
        <f>'PL Summary'!#REF!</f>
        <v>#REF!</v>
      </c>
      <c r="I16" s="191" t="e">
        <f>H16/F16</f>
        <v>#REF!</v>
      </c>
      <c r="J16" s="170" t="e">
        <f>'PL Summary'!#REF!</f>
        <v>#REF!</v>
      </c>
      <c r="K16" s="191" t="e">
        <f>J16/L16</f>
        <v>#REF!</v>
      </c>
      <c r="L16" s="170" t="e">
        <f>'PL Summary'!#REF!</f>
        <v>#REF!</v>
      </c>
      <c r="M16" s="191"/>
      <c r="N16" s="170" t="e">
        <f>'PL Summary'!#REF!</f>
        <v>#REF!</v>
      </c>
      <c r="O16" s="192" t="e">
        <f>N16/L16</f>
        <v>#REF!</v>
      </c>
      <c r="P16" s="170"/>
      <c r="Q16" s="187" t="e">
        <f>(D16-P16)/P16</f>
        <v>#REF!</v>
      </c>
      <c r="R16" s="170"/>
      <c r="S16" s="187" t="e">
        <f>(J16-R16)/R16</f>
        <v>#REF!</v>
      </c>
    </row>
    <row r="17" spans="2:19" x14ac:dyDescent="0.25">
      <c r="B17" s="348" t="s">
        <v>615</v>
      </c>
      <c r="C17" s="349"/>
      <c r="D17" s="170" t="e">
        <f>#REF!</f>
        <v>#REF!</v>
      </c>
      <c r="E17" s="194"/>
      <c r="F17" s="170" t="e">
        <f>'PL Summary'!#REF!</f>
        <v>#REF!</v>
      </c>
      <c r="G17" s="194"/>
      <c r="H17" s="170" t="e">
        <f>'PL Summary'!#REF!</f>
        <v>#REF!</v>
      </c>
      <c r="I17" s="194"/>
      <c r="J17" s="170" t="e">
        <f>'PL Summary'!#REF!</f>
        <v>#REF!</v>
      </c>
      <c r="K17" s="194"/>
      <c r="L17" s="170" t="e">
        <f>'PL Summary'!#REF!</f>
        <v>#REF!</v>
      </c>
      <c r="M17" s="194"/>
      <c r="N17" s="170" t="e">
        <f>'PL Summary'!#REF!</f>
        <v>#REF!</v>
      </c>
      <c r="O17" s="196"/>
      <c r="P17" s="193" t="e">
        <f>(P15+P16)/P9</f>
        <v>#DIV/0!</v>
      </c>
      <c r="Q17" s="187" t="e">
        <f>(D17-P17)/P17</f>
        <v>#REF!</v>
      </c>
      <c r="R17" s="193" t="e">
        <f>(R15+R16)/R9</f>
        <v>#DIV/0!</v>
      </c>
      <c r="S17" s="187" t="e">
        <f>(J17-R17)/R17</f>
        <v>#REF!</v>
      </c>
    </row>
    <row r="18" spans="2:19" x14ac:dyDescent="0.35">
      <c r="B18" s="348" t="s">
        <v>781</v>
      </c>
      <c r="C18" s="349"/>
      <c r="D18" s="170" t="e">
        <f>#REF!</f>
        <v>#REF!</v>
      </c>
      <c r="E18" s="195" t="e">
        <f>D18/F18</f>
        <v>#REF!</v>
      </c>
      <c r="F18" s="170" t="e">
        <f>'PL Summary'!#REF!</f>
        <v>#REF!</v>
      </c>
      <c r="G18" s="195">
        <v>1</v>
      </c>
      <c r="H18" s="170" t="e">
        <f>'PL Summary'!#REF!</f>
        <v>#REF!</v>
      </c>
      <c r="I18" s="195" t="e">
        <f>H18/F18</f>
        <v>#REF!</v>
      </c>
      <c r="J18" s="170" t="e">
        <f>'PL Summary'!#REF!</f>
        <v>#REF!</v>
      </c>
      <c r="K18" s="195" t="e">
        <f>J18/L18</f>
        <v>#REF!</v>
      </c>
      <c r="L18" s="170" t="e">
        <f>'PL Summary'!#REF!</f>
        <v>#REF!</v>
      </c>
      <c r="M18" s="195">
        <v>1</v>
      </c>
      <c r="N18" s="170" t="e">
        <f>'PL Summary'!#REF!</f>
        <v>#REF!</v>
      </c>
      <c r="O18" s="197" t="e">
        <f>N18/L18</f>
        <v>#REF!</v>
      </c>
      <c r="P18" s="188" t="e">
        <f>#REF!/(P16+P15)</f>
        <v>#REF!</v>
      </c>
      <c r="Q18" s="187" t="e">
        <f>(D18-P18)/P18</f>
        <v>#REF!</v>
      </c>
      <c r="R18" s="188" t="e">
        <f>#REF!/(R16+R15)</f>
        <v>#REF!</v>
      </c>
      <c r="S18" s="187" t="e">
        <f>(J18-R18)/R18</f>
        <v>#REF!</v>
      </c>
    </row>
    <row r="19" spans="2:19" x14ac:dyDescent="0.35">
      <c r="B19" s="348" t="s">
        <v>771</v>
      </c>
      <c r="C19" s="349"/>
      <c r="D19" s="170" t="e">
        <f>#REF!</f>
        <v>#REF!</v>
      </c>
      <c r="E19" s="195" t="e">
        <f>D19/F19</f>
        <v>#REF!</v>
      </c>
      <c r="F19" s="170" t="e">
        <f>'PL Summary'!#REF!</f>
        <v>#REF!</v>
      </c>
      <c r="G19" s="195">
        <v>1</v>
      </c>
      <c r="H19" s="170" t="e">
        <f>'PL Summary'!#REF!</f>
        <v>#REF!</v>
      </c>
      <c r="I19" s="195" t="e">
        <f>H19/F19</f>
        <v>#REF!</v>
      </c>
      <c r="J19" s="170" t="e">
        <f>'PL Summary'!#REF!</f>
        <v>#REF!</v>
      </c>
      <c r="K19" s="195" t="e">
        <f>J19/L19</f>
        <v>#REF!</v>
      </c>
      <c r="L19" s="170" t="e">
        <f>'PL Summary'!#REF!</f>
        <v>#REF!</v>
      </c>
      <c r="M19" s="195">
        <v>1</v>
      </c>
      <c r="N19" s="170" t="e">
        <f>'PL Summary'!#REF!</f>
        <v>#REF!</v>
      </c>
      <c r="O19" s="197" t="e">
        <f>N19/L19</f>
        <v>#REF!</v>
      </c>
      <c r="P19" s="188" t="e">
        <f>#REF!/P9</f>
        <v>#REF!</v>
      </c>
      <c r="Q19" s="187" t="e">
        <f>(D19-P19)/P19</f>
        <v>#REF!</v>
      </c>
      <c r="R19" s="188" t="e">
        <f>#REF!/R9</f>
        <v>#REF!</v>
      </c>
      <c r="S19" s="187" t="e">
        <f>(J19-R19)/R19</f>
        <v>#REF!</v>
      </c>
    </row>
    <row r="20" spans="2:19" x14ac:dyDescent="0.35">
      <c r="E20" s="100"/>
      <c r="G20" s="100"/>
      <c r="H20" s="101"/>
      <c r="I20" s="101"/>
      <c r="J20" s="100"/>
      <c r="L20" s="101"/>
      <c r="M20" s="100"/>
      <c r="N20" s="100"/>
      <c r="O20" s="101"/>
      <c r="P20" s="229"/>
      <c r="Q20" s="230"/>
      <c r="R20" s="229"/>
      <c r="S20" s="230"/>
    </row>
    <row r="21" spans="2:19" x14ac:dyDescent="0.35">
      <c r="B21" s="221" t="s">
        <v>54</v>
      </c>
      <c r="C21" s="221" t="s">
        <v>173</v>
      </c>
      <c r="D21" s="264"/>
      <c r="E21" s="221"/>
      <c r="F21" s="221"/>
      <c r="G21" s="221"/>
      <c r="H21" s="221"/>
      <c r="I21" s="221"/>
      <c r="J21" s="221"/>
      <c r="K21" s="221"/>
      <c r="L21" s="264"/>
      <c r="M21" s="221"/>
      <c r="N21" s="221"/>
      <c r="O21" s="221"/>
      <c r="P21" s="221"/>
      <c r="Q21" s="221"/>
      <c r="R21" s="221"/>
      <c r="S21" s="221"/>
    </row>
    <row r="22" spans="2:19" x14ac:dyDescent="0.35">
      <c r="B22" s="222" t="s">
        <v>930</v>
      </c>
      <c r="C22" s="222" t="s">
        <v>175</v>
      </c>
      <c r="D22" s="265"/>
      <c r="E22" s="222"/>
      <c r="F22" s="222"/>
      <c r="G22" s="222"/>
      <c r="H22" s="222"/>
      <c r="I22" s="222"/>
      <c r="J22" s="222"/>
      <c r="K22" s="222"/>
      <c r="L22" s="265"/>
      <c r="M22" s="222"/>
      <c r="N22" s="222"/>
      <c r="O22" s="222"/>
      <c r="P22" s="222"/>
      <c r="Q22" s="222"/>
      <c r="R22" s="222"/>
      <c r="S22" s="222"/>
    </row>
    <row r="23" spans="2:19" x14ac:dyDescent="0.35">
      <c r="B23" s="223" t="s">
        <v>931</v>
      </c>
      <c r="C23" s="223" t="s">
        <v>177</v>
      </c>
      <c r="D23" s="266">
        <f>D24+D29+D42+D49</f>
        <v>0</v>
      </c>
      <c r="E23" s="266">
        <f t="shared" ref="E23:I23" si="0">E24+E29+E42+E49</f>
        <v>0</v>
      </c>
      <c r="F23" s="266">
        <f t="shared" si="0"/>
        <v>0</v>
      </c>
      <c r="G23" s="266">
        <f t="shared" si="0"/>
        <v>0</v>
      </c>
      <c r="H23" s="266">
        <f t="shared" si="0"/>
        <v>0</v>
      </c>
      <c r="I23" s="266">
        <f t="shared" si="0"/>
        <v>0</v>
      </c>
      <c r="J23" s="266">
        <f>J24+J29+J42+J49</f>
        <v>0</v>
      </c>
      <c r="K23" s="266">
        <f>K24+K29+K42+K49</f>
        <v>0</v>
      </c>
      <c r="L23" s="266">
        <f>L24+L29+L42+L49</f>
        <v>0</v>
      </c>
      <c r="M23" s="266">
        <f>M24+M29+M42+M49</f>
        <v>0</v>
      </c>
      <c r="N23" s="266">
        <f>N24+N29+N42+N49</f>
        <v>0</v>
      </c>
      <c r="O23" s="223"/>
      <c r="P23" s="223"/>
      <c r="Q23" s="223"/>
      <c r="R23" s="223"/>
      <c r="S23" s="223"/>
    </row>
    <row r="24" spans="2:19" x14ac:dyDescent="0.35">
      <c r="B24" s="272" t="s">
        <v>932</v>
      </c>
      <c r="C24" s="272" t="s">
        <v>176</v>
      </c>
      <c r="D24" s="273">
        <f>D25-D27</f>
        <v>0</v>
      </c>
      <c r="E24" s="273">
        <f t="shared" ref="E24:N24" si="1">E25-E27</f>
        <v>0</v>
      </c>
      <c r="F24" s="273">
        <f t="shared" si="1"/>
        <v>0</v>
      </c>
      <c r="G24" s="273">
        <f t="shared" si="1"/>
        <v>0</v>
      </c>
      <c r="H24" s="273">
        <f t="shared" si="1"/>
        <v>0</v>
      </c>
      <c r="I24" s="273">
        <f t="shared" si="1"/>
        <v>0</v>
      </c>
      <c r="J24" s="273">
        <f>J25-J27</f>
        <v>0</v>
      </c>
      <c r="K24" s="273">
        <f t="shared" si="1"/>
        <v>0</v>
      </c>
      <c r="L24" s="273">
        <f t="shared" si="1"/>
        <v>0</v>
      </c>
      <c r="M24" s="273">
        <f t="shared" si="1"/>
        <v>0</v>
      </c>
      <c r="N24" s="273">
        <f t="shared" si="1"/>
        <v>0</v>
      </c>
      <c r="O24" s="272"/>
      <c r="P24" s="272"/>
      <c r="Q24" s="272"/>
      <c r="R24" s="272"/>
      <c r="S24" s="272"/>
    </row>
    <row r="25" spans="2:19" x14ac:dyDescent="0.35">
      <c r="B25" s="154" t="s">
        <v>933</v>
      </c>
      <c r="C25" s="154" t="s">
        <v>178</v>
      </c>
      <c r="D25" s="271"/>
      <c r="E25" s="154"/>
      <c r="F25" s="268"/>
      <c r="G25" s="154"/>
      <c r="H25" s="268">
        <f>D25-F25</f>
        <v>0</v>
      </c>
      <c r="I25" s="154"/>
      <c r="J25" s="275"/>
      <c r="K25" s="154"/>
      <c r="L25" s="268"/>
      <c r="M25" s="154"/>
      <c r="N25" s="268">
        <f>J25-L25</f>
        <v>0</v>
      </c>
      <c r="O25" s="154"/>
      <c r="P25" s="154"/>
      <c r="Q25" s="154"/>
      <c r="R25" s="154"/>
      <c r="S25" s="154"/>
    </row>
    <row r="26" spans="2:19" x14ac:dyDescent="0.35">
      <c r="B26" s="154" t="s">
        <v>934</v>
      </c>
      <c r="C26" s="154" t="s">
        <v>179</v>
      </c>
      <c r="D26" s="268"/>
      <c r="E26" s="154"/>
      <c r="F26" s="268"/>
      <c r="G26" s="154"/>
      <c r="H26" s="268">
        <f>D26-F26</f>
        <v>0</v>
      </c>
      <c r="I26" s="154"/>
      <c r="J26" s="275"/>
      <c r="K26" s="154"/>
      <c r="L26" s="268"/>
      <c r="M26" s="154"/>
      <c r="N26" s="268">
        <f>J26-L26</f>
        <v>0</v>
      </c>
      <c r="O26" s="154"/>
      <c r="P26" s="154"/>
      <c r="Q26" s="154"/>
      <c r="R26" s="154"/>
      <c r="S26" s="154"/>
    </row>
    <row r="27" spans="2:19" x14ac:dyDescent="0.35">
      <c r="B27" s="154" t="s">
        <v>935</v>
      </c>
      <c r="C27" s="154" t="s">
        <v>180</v>
      </c>
      <c r="D27" s="268"/>
      <c r="E27" s="154"/>
      <c r="F27" s="268"/>
      <c r="G27" s="154"/>
      <c r="H27" s="268">
        <f>D27-F27</f>
        <v>0</v>
      </c>
      <c r="I27" s="154"/>
      <c r="J27" s="275"/>
      <c r="K27" s="154"/>
      <c r="L27" s="268"/>
      <c r="M27" s="154"/>
      <c r="N27" s="268">
        <f>J27-L27</f>
        <v>0</v>
      </c>
      <c r="O27" s="154"/>
      <c r="P27" s="154"/>
      <c r="Q27" s="154"/>
      <c r="R27" s="154"/>
      <c r="S27" s="154"/>
    </row>
    <row r="28" spans="2:19" x14ac:dyDescent="0.35">
      <c r="B28" s="223" t="s">
        <v>936</v>
      </c>
      <c r="C28" s="223" t="s">
        <v>181</v>
      </c>
      <c r="D28" s="266"/>
      <c r="E28" s="223"/>
      <c r="F28" s="266"/>
      <c r="G28" s="223"/>
      <c r="H28" s="266"/>
      <c r="I28" s="223"/>
      <c r="J28" s="223"/>
      <c r="K28" s="223"/>
      <c r="L28" s="266"/>
      <c r="M28" s="223"/>
      <c r="N28" s="266"/>
      <c r="O28" s="223"/>
      <c r="P28" s="223"/>
      <c r="Q28" s="223"/>
      <c r="R28" s="223"/>
      <c r="S28" s="223"/>
    </row>
    <row r="29" spans="2:19" x14ac:dyDescent="0.35">
      <c r="B29" s="272" t="s">
        <v>937</v>
      </c>
      <c r="C29" s="272" t="s">
        <v>182</v>
      </c>
      <c r="D29" s="273">
        <f>SUM(D30:D35)</f>
        <v>0</v>
      </c>
      <c r="E29" s="273">
        <f t="shared" ref="E29:I29" si="2">SUM(E30:E35)</f>
        <v>0</v>
      </c>
      <c r="F29" s="273">
        <f>SUM(F30:F35)</f>
        <v>0</v>
      </c>
      <c r="G29" s="273">
        <f t="shared" si="2"/>
        <v>0</v>
      </c>
      <c r="H29" s="273">
        <f t="shared" si="2"/>
        <v>0</v>
      </c>
      <c r="I29" s="273">
        <f t="shared" si="2"/>
        <v>0</v>
      </c>
      <c r="J29" s="273">
        <f>SUM(J30:J35)</f>
        <v>0</v>
      </c>
      <c r="K29" s="272"/>
      <c r="L29" s="273">
        <f>SUM(L30:L35)</f>
        <v>0</v>
      </c>
      <c r="M29" s="273">
        <f>SUM(M30:M35)</f>
        <v>0</v>
      </c>
      <c r="N29" s="273">
        <f>SUM(N30:N35)</f>
        <v>0</v>
      </c>
      <c r="O29" s="272"/>
      <c r="P29" s="272"/>
      <c r="Q29" s="272"/>
      <c r="R29" s="272"/>
      <c r="S29" s="272"/>
    </row>
    <row r="30" spans="2:19" x14ac:dyDescent="0.35">
      <c r="B30" s="154" t="s">
        <v>938</v>
      </c>
      <c r="C30" s="154" t="s">
        <v>183</v>
      </c>
      <c r="D30" s="268"/>
      <c r="E30" s="154"/>
      <c r="F30" s="268"/>
      <c r="G30" s="154"/>
      <c r="H30" s="268">
        <f>D30-F30</f>
        <v>0</v>
      </c>
      <c r="I30" s="154"/>
      <c r="J30" s="275"/>
      <c r="K30" s="154"/>
      <c r="L30" s="268"/>
      <c r="M30" s="154"/>
      <c r="N30" s="268">
        <f>J30-L30</f>
        <v>0</v>
      </c>
      <c r="O30" s="154"/>
      <c r="P30" s="154"/>
      <c r="Q30" s="154"/>
      <c r="R30" s="154"/>
      <c r="S30" s="154"/>
    </row>
    <row r="31" spans="2:19" x14ac:dyDescent="0.35">
      <c r="B31" s="154" t="s">
        <v>939</v>
      </c>
      <c r="C31" s="154" t="s">
        <v>184</v>
      </c>
      <c r="D31" s="268"/>
      <c r="E31" s="154"/>
      <c r="F31" s="268"/>
      <c r="G31" s="154"/>
      <c r="H31" s="268">
        <f t="shared" ref="H31:H47" si="3">D31-F31</f>
        <v>0</v>
      </c>
      <c r="I31" s="154"/>
      <c r="J31" s="275"/>
      <c r="K31" s="154"/>
      <c r="L31" s="268"/>
      <c r="M31" s="154"/>
      <c r="N31" s="268">
        <f t="shared" ref="N31:N47" si="4">J31-L31</f>
        <v>0</v>
      </c>
      <c r="O31" s="154"/>
      <c r="P31" s="154"/>
      <c r="Q31" s="154"/>
      <c r="R31" s="154"/>
      <c r="S31" s="154"/>
    </row>
    <row r="32" spans="2:19" x14ac:dyDescent="0.35">
      <c r="B32" s="154" t="s">
        <v>940</v>
      </c>
      <c r="C32" s="154" t="s">
        <v>897</v>
      </c>
      <c r="D32" s="268"/>
      <c r="E32" s="154"/>
      <c r="F32" s="268"/>
      <c r="G32" s="154"/>
      <c r="H32" s="268">
        <f t="shared" si="3"/>
        <v>0</v>
      </c>
      <c r="I32" s="154"/>
      <c r="J32" s="275"/>
      <c r="K32" s="154"/>
      <c r="L32" s="268"/>
      <c r="M32" s="154"/>
      <c r="N32" s="268">
        <f t="shared" si="4"/>
        <v>0</v>
      </c>
      <c r="O32" s="154"/>
      <c r="P32" s="154"/>
      <c r="Q32" s="154"/>
      <c r="R32" s="154"/>
      <c r="S32" s="154"/>
    </row>
    <row r="33" spans="2:19" x14ac:dyDescent="0.35">
      <c r="B33" s="154" t="s">
        <v>941</v>
      </c>
      <c r="C33" s="154" t="s">
        <v>185</v>
      </c>
      <c r="D33" s="268"/>
      <c r="E33" s="154"/>
      <c r="F33" s="268"/>
      <c r="G33" s="154"/>
      <c r="H33" s="268">
        <f t="shared" si="3"/>
        <v>0</v>
      </c>
      <c r="I33" s="154"/>
      <c r="J33" s="275"/>
      <c r="K33" s="154"/>
      <c r="L33" s="268"/>
      <c r="M33" s="154"/>
      <c r="N33" s="268">
        <f t="shared" si="4"/>
        <v>0</v>
      </c>
      <c r="O33" s="154"/>
      <c r="P33" s="154"/>
      <c r="Q33" s="154"/>
      <c r="R33" s="154"/>
      <c r="S33" s="154"/>
    </row>
    <row r="34" spans="2:19" x14ac:dyDescent="0.35">
      <c r="B34" s="154" t="s">
        <v>942</v>
      </c>
      <c r="C34" s="154" t="s">
        <v>186</v>
      </c>
      <c r="D34" s="268"/>
      <c r="E34" s="154"/>
      <c r="F34" s="268"/>
      <c r="G34" s="154"/>
      <c r="H34" s="268">
        <f t="shared" si="3"/>
        <v>0</v>
      </c>
      <c r="I34" s="154"/>
      <c r="J34" s="275"/>
      <c r="K34" s="154"/>
      <c r="L34" s="268"/>
      <c r="M34" s="154"/>
      <c r="N34" s="268">
        <f t="shared" si="4"/>
        <v>0</v>
      </c>
      <c r="O34" s="154"/>
      <c r="P34" s="154"/>
      <c r="Q34" s="154"/>
      <c r="R34" s="154"/>
      <c r="S34" s="154"/>
    </row>
    <row r="35" spans="2:19" x14ac:dyDescent="0.35">
      <c r="B35" s="154" t="s">
        <v>942</v>
      </c>
      <c r="C35" s="154" t="s">
        <v>187</v>
      </c>
      <c r="D35" s="268"/>
      <c r="E35" s="154"/>
      <c r="F35" s="268"/>
      <c r="G35" s="154"/>
      <c r="H35" s="268">
        <f t="shared" si="3"/>
        <v>0</v>
      </c>
      <c r="I35" s="154"/>
      <c r="J35" s="275"/>
      <c r="K35" s="154"/>
      <c r="L35" s="268"/>
      <c r="M35" s="154"/>
      <c r="N35" s="268">
        <f t="shared" si="4"/>
        <v>0</v>
      </c>
      <c r="O35" s="154"/>
      <c r="P35" s="154"/>
      <c r="Q35" s="154"/>
      <c r="R35" s="154"/>
      <c r="S35" s="154"/>
    </row>
    <row r="36" spans="2:19" x14ac:dyDescent="0.35">
      <c r="B36" s="272" t="s">
        <v>943</v>
      </c>
      <c r="C36" s="272" t="s">
        <v>188</v>
      </c>
      <c r="D36" s="273">
        <f>SUM(D37:D41)</f>
        <v>0</v>
      </c>
      <c r="E36" s="273">
        <f t="shared" ref="E36:N36" si="5">SUM(E37:E41)</f>
        <v>0</v>
      </c>
      <c r="F36" s="273">
        <f t="shared" si="5"/>
        <v>0</v>
      </c>
      <c r="G36" s="273">
        <f t="shared" si="5"/>
        <v>0</v>
      </c>
      <c r="H36" s="273">
        <f t="shared" si="5"/>
        <v>0</v>
      </c>
      <c r="I36" s="273">
        <f t="shared" si="5"/>
        <v>0</v>
      </c>
      <c r="J36" s="273">
        <f t="shared" si="5"/>
        <v>0</v>
      </c>
      <c r="K36" s="273">
        <f t="shared" si="5"/>
        <v>0</v>
      </c>
      <c r="L36" s="273">
        <f t="shared" si="5"/>
        <v>0</v>
      </c>
      <c r="M36" s="273">
        <f t="shared" si="5"/>
        <v>0</v>
      </c>
      <c r="N36" s="273">
        <f t="shared" si="5"/>
        <v>0</v>
      </c>
      <c r="O36" s="272"/>
      <c r="P36" s="272"/>
      <c r="Q36" s="272"/>
      <c r="R36" s="272"/>
      <c r="S36" s="272"/>
    </row>
    <row r="37" spans="2:19" x14ac:dyDescent="0.35">
      <c r="B37" s="154" t="s">
        <v>944</v>
      </c>
      <c r="C37" s="154" t="s">
        <v>189</v>
      </c>
      <c r="D37" s="268"/>
      <c r="E37" s="154"/>
      <c r="F37" s="268"/>
      <c r="G37" s="154"/>
      <c r="H37" s="268">
        <f t="shared" si="3"/>
        <v>0</v>
      </c>
      <c r="I37" s="154"/>
      <c r="J37" s="154"/>
      <c r="K37" s="154"/>
      <c r="L37" s="268"/>
      <c r="M37" s="154"/>
      <c r="N37" s="268">
        <f t="shared" si="4"/>
        <v>0</v>
      </c>
      <c r="O37" s="154"/>
      <c r="P37" s="154"/>
      <c r="Q37" s="154"/>
      <c r="R37" s="154"/>
      <c r="S37" s="154"/>
    </row>
    <row r="38" spans="2:19" x14ac:dyDescent="0.35">
      <c r="B38" s="154" t="s">
        <v>945</v>
      </c>
      <c r="C38" s="154" t="s">
        <v>190</v>
      </c>
      <c r="D38" s="268"/>
      <c r="E38" s="154"/>
      <c r="F38" s="268"/>
      <c r="G38" s="154"/>
      <c r="H38" s="268">
        <f t="shared" si="3"/>
        <v>0</v>
      </c>
      <c r="I38" s="154"/>
      <c r="J38" s="154"/>
      <c r="K38" s="154"/>
      <c r="L38" s="268"/>
      <c r="M38" s="154"/>
      <c r="N38" s="268">
        <f t="shared" si="4"/>
        <v>0</v>
      </c>
      <c r="O38" s="154"/>
      <c r="P38" s="154"/>
      <c r="Q38" s="154"/>
      <c r="R38" s="154"/>
      <c r="S38" s="154"/>
    </row>
    <row r="39" spans="2:19" x14ac:dyDescent="0.35">
      <c r="B39" s="154" t="s">
        <v>946</v>
      </c>
      <c r="C39" s="154" t="s">
        <v>191</v>
      </c>
      <c r="D39" s="268"/>
      <c r="E39" s="154"/>
      <c r="F39" s="268"/>
      <c r="G39" s="154"/>
      <c r="H39" s="268">
        <f t="shared" si="3"/>
        <v>0</v>
      </c>
      <c r="I39" s="154"/>
      <c r="J39" s="154"/>
      <c r="K39" s="154"/>
      <c r="L39" s="268"/>
      <c r="M39" s="154"/>
      <c r="N39" s="268">
        <f t="shared" si="4"/>
        <v>0</v>
      </c>
      <c r="O39" s="154"/>
      <c r="P39" s="154"/>
      <c r="Q39" s="154"/>
      <c r="R39" s="154"/>
      <c r="S39" s="154"/>
    </row>
    <row r="40" spans="2:19" x14ac:dyDescent="0.35">
      <c r="B40" s="154" t="s">
        <v>947</v>
      </c>
      <c r="C40" s="154" t="s">
        <v>192</v>
      </c>
      <c r="D40" s="268"/>
      <c r="E40" s="154"/>
      <c r="F40" s="268"/>
      <c r="G40" s="154"/>
      <c r="H40" s="268">
        <f t="shared" si="3"/>
        <v>0</v>
      </c>
      <c r="I40" s="154"/>
      <c r="J40" s="154"/>
      <c r="K40" s="154"/>
      <c r="L40" s="268"/>
      <c r="M40" s="154"/>
      <c r="N40" s="268">
        <f t="shared" si="4"/>
        <v>0</v>
      </c>
      <c r="O40" s="154"/>
      <c r="P40" s="154"/>
      <c r="Q40" s="154"/>
      <c r="R40" s="154"/>
      <c r="S40" s="154"/>
    </row>
    <row r="41" spans="2:19" x14ac:dyDescent="0.35">
      <c r="B41" s="154" t="s">
        <v>948</v>
      </c>
      <c r="C41" s="154" t="s">
        <v>193</v>
      </c>
      <c r="D41" s="268"/>
      <c r="E41" s="154"/>
      <c r="F41" s="268"/>
      <c r="G41" s="154"/>
      <c r="H41" s="268">
        <f t="shared" si="3"/>
        <v>0</v>
      </c>
      <c r="I41" s="154"/>
      <c r="J41" s="154"/>
      <c r="K41" s="154"/>
      <c r="L41" s="268"/>
      <c r="M41" s="154"/>
      <c r="N41" s="268">
        <f t="shared" si="4"/>
        <v>0</v>
      </c>
      <c r="O41" s="154"/>
      <c r="P41" s="154"/>
      <c r="Q41" s="154"/>
      <c r="R41" s="154"/>
      <c r="S41" s="154"/>
    </row>
    <row r="42" spans="2:19" x14ac:dyDescent="0.35">
      <c r="B42" s="272" t="s">
        <v>949</v>
      </c>
      <c r="C42" s="272" t="s">
        <v>194</v>
      </c>
      <c r="D42" s="273">
        <f>SUM(D43:D47)</f>
        <v>0</v>
      </c>
      <c r="E42" s="273">
        <f t="shared" ref="E42:M42" si="6">SUM(E43:E47)</f>
        <v>0</v>
      </c>
      <c r="F42" s="273">
        <f t="shared" si="6"/>
        <v>0</v>
      </c>
      <c r="G42" s="273">
        <f t="shared" si="6"/>
        <v>0</v>
      </c>
      <c r="H42" s="273">
        <f t="shared" si="6"/>
        <v>0</v>
      </c>
      <c r="I42" s="273">
        <f t="shared" si="6"/>
        <v>0</v>
      </c>
      <c r="J42" s="273">
        <f>SUM(J43:J47)</f>
        <v>0</v>
      </c>
      <c r="K42" s="273">
        <f t="shared" si="6"/>
        <v>0</v>
      </c>
      <c r="L42" s="273">
        <f t="shared" si="6"/>
        <v>0</v>
      </c>
      <c r="M42" s="273">
        <f t="shared" si="6"/>
        <v>0</v>
      </c>
      <c r="N42" s="273">
        <f>SUM(N43:N47)</f>
        <v>0</v>
      </c>
      <c r="O42" s="272"/>
      <c r="P42" s="272"/>
      <c r="Q42" s="272"/>
      <c r="R42" s="272"/>
      <c r="S42" s="272"/>
    </row>
    <row r="43" spans="2:19" x14ac:dyDescent="0.35">
      <c r="B43" s="154" t="s">
        <v>950</v>
      </c>
      <c r="C43" s="154" t="s">
        <v>195</v>
      </c>
      <c r="D43" s="268"/>
      <c r="E43" s="154"/>
      <c r="F43" s="268"/>
      <c r="G43" s="154"/>
      <c r="H43" s="268">
        <f t="shared" si="3"/>
        <v>0</v>
      </c>
      <c r="I43" s="154"/>
      <c r="J43" s="275"/>
      <c r="K43" s="154"/>
      <c r="L43" s="268"/>
      <c r="M43" s="154"/>
      <c r="N43" s="268">
        <f t="shared" si="4"/>
        <v>0</v>
      </c>
      <c r="O43" s="154"/>
      <c r="P43" s="154"/>
      <c r="Q43" s="154"/>
      <c r="R43" s="154"/>
      <c r="S43" s="154"/>
    </row>
    <row r="44" spans="2:19" x14ac:dyDescent="0.35">
      <c r="B44" s="154" t="s">
        <v>951</v>
      </c>
      <c r="C44" s="154" t="s">
        <v>196</v>
      </c>
      <c r="D44" s="268"/>
      <c r="E44" s="154"/>
      <c r="F44" s="268"/>
      <c r="G44" s="154"/>
      <c r="H44" s="268">
        <f t="shared" si="3"/>
        <v>0</v>
      </c>
      <c r="I44" s="154"/>
      <c r="J44" s="275"/>
      <c r="K44" s="154"/>
      <c r="L44" s="268"/>
      <c r="M44" s="154"/>
      <c r="N44" s="268">
        <f t="shared" si="4"/>
        <v>0</v>
      </c>
      <c r="O44" s="154"/>
      <c r="P44" s="154"/>
      <c r="Q44" s="154"/>
      <c r="R44" s="154"/>
      <c r="S44" s="154"/>
    </row>
    <row r="45" spans="2:19" x14ac:dyDescent="0.35">
      <c r="B45" s="154" t="s">
        <v>952</v>
      </c>
      <c r="C45" s="154" t="s">
        <v>197</v>
      </c>
      <c r="D45" s="268"/>
      <c r="E45" s="154"/>
      <c r="F45" s="268"/>
      <c r="G45" s="154"/>
      <c r="H45" s="268">
        <f t="shared" si="3"/>
        <v>0</v>
      </c>
      <c r="I45" s="154"/>
      <c r="J45" s="275"/>
      <c r="K45" s="154"/>
      <c r="L45" s="268"/>
      <c r="M45" s="154"/>
      <c r="N45" s="268">
        <f t="shared" si="4"/>
        <v>0</v>
      </c>
      <c r="O45" s="154"/>
      <c r="P45" s="154"/>
      <c r="Q45" s="154"/>
      <c r="R45" s="154"/>
      <c r="S45" s="154"/>
    </row>
    <row r="46" spans="2:19" x14ac:dyDescent="0.35">
      <c r="B46" s="154" t="s">
        <v>953</v>
      </c>
      <c r="C46" s="154" t="s">
        <v>198</v>
      </c>
      <c r="D46" s="268"/>
      <c r="E46" s="154"/>
      <c r="F46" s="268"/>
      <c r="G46" s="154"/>
      <c r="H46" s="268">
        <f t="shared" si="3"/>
        <v>0</v>
      </c>
      <c r="I46" s="154"/>
      <c r="J46" s="275"/>
      <c r="K46" s="154"/>
      <c r="L46" s="268"/>
      <c r="M46" s="154"/>
      <c r="N46" s="268">
        <f t="shared" si="4"/>
        <v>0</v>
      </c>
      <c r="O46" s="154"/>
      <c r="P46" s="154"/>
      <c r="Q46" s="154"/>
      <c r="R46" s="154"/>
      <c r="S46" s="154"/>
    </row>
    <row r="47" spans="2:19" x14ac:dyDescent="0.35">
      <c r="B47" s="154" t="s">
        <v>954</v>
      </c>
      <c r="C47" s="154" t="s">
        <v>199</v>
      </c>
      <c r="D47" s="268"/>
      <c r="E47" s="154"/>
      <c r="F47" s="268"/>
      <c r="G47" s="154"/>
      <c r="H47" s="268">
        <f t="shared" si="3"/>
        <v>0</v>
      </c>
      <c r="I47" s="154"/>
      <c r="J47" s="275"/>
      <c r="K47" s="154"/>
      <c r="L47" s="268"/>
      <c r="M47" s="154"/>
      <c r="N47" s="268">
        <f t="shared" si="4"/>
        <v>0</v>
      </c>
      <c r="O47" s="154"/>
      <c r="P47" s="154"/>
      <c r="Q47" s="154"/>
      <c r="R47" s="154"/>
      <c r="S47" s="154"/>
    </row>
    <row r="48" spans="2:19" x14ac:dyDescent="0.35">
      <c r="B48" s="223" t="s">
        <v>955</v>
      </c>
      <c r="C48" s="223" t="s">
        <v>200</v>
      </c>
      <c r="D48" s="266"/>
      <c r="E48" s="223"/>
      <c r="F48" s="266"/>
      <c r="G48" s="223"/>
      <c r="H48" s="266"/>
      <c r="I48" s="223"/>
      <c r="J48" s="223"/>
      <c r="K48" s="223"/>
      <c r="L48" s="266"/>
      <c r="M48" s="223"/>
      <c r="N48" s="266"/>
      <c r="O48" s="223"/>
      <c r="P48" s="223"/>
      <c r="Q48" s="223"/>
      <c r="R48" s="223"/>
      <c r="S48" s="223"/>
    </row>
    <row r="49" spans="2:19" x14ac:dyDescent="0.35">
      <c r="B49" s="272" t="s">
        <v>956</v>
      </c>
      <c r="C49" s="272" t="s">
        <v>201</v>
      </c>
      <c r="D49" s="273">
        <f>SUM(D50:D63)</f>
        <v>0</v>
      </c>
      <c r="E49" s="273">
        <f t="shared" ref="E49:N49" si="7">SUM(E50:E63)</f>
        <v>0</v>
      </c>
      <c r="F49" s="273">
        <f t="shared" si="7"/>
        <v>0</v>
      </c>
      <c r="G49" s="273">
        <f t="shared" si="7"/>
        <v>0</v>
      </c>
      <c r="H49" s="273">
        <f t="shared" si="7"/>
        <v>0</v>
      </c>
      <c r="I49" s="273">
        <f t="shared" si="7"/>
        <v>0</v>
      </c>
      <c r="J49" s="273">
        <f t="shared" si="7"/>
        <v>0</v>
      </c>
      <c r="K49" s="273">
        <f t="shared" si="7"/>
        <v>0</v>
      </c>
      <c r="L49" s="273">
        <f t="shared" si="7"/>
        <v>0</v>
      </c>
      <c r="M49" s="273">
        <f t="shared" si="7"/>
        <v>0</v>
      </c>
      <c r="N49" s="273">
        <f t="shared" si="7"/>
        <v>0</v>
      </c>
      <c r="O49" s="272"/>
      <c r="P49" s="272"/>
      <c r="Q49" s="272"/>
      <c r="R49" s="272"/>
      <c r="S49" s="272"/>
    </row>
    <row r="50" spans="2:19" x14ac:dyDescent="0.35">
      <c r="B50" s="154" t="s">
        <v>957</v>
      </c>
      <c r="C50" s="154" t="s">
        <v>202</v>
      </c>
      <c r="D50" s="268"/>
      <c r="E50" s="154"/>
      <c r="F50" s="268"/>
      <c r="G50" s="154"/>
      <c r="H50" s="268">
        <f t="shared" ref="H50:H63" si="8">D50-F50</f>
        <v>0</v>
      </c>
      <c r="I50" s="154"/>
      <c r="J50" s="299"/>
      <c r="K50" s="154"/>
      <c r="L50" s="268"/>
      <c r="M50" s="154"/>
      <c r="N50" s="268">
        <f t="shared" ref="N50:N64" si="9">J50-L50</f>
        <v>0</v>
      </c>
      <c r="O50" s="154"/>
      <c r="P50" s="154"/>
      <c r="Q50" s="154"/>
      <c r="R50" s="154"/>
      <c r="S50" s="154"/>
    </row>
    <row r="51" spans="2:19" x14ac:dyDescent="0.35">
      <c r="B51" s="154" t="s">
        <v>958</v>
      </c>
      <c r="C51" s="154" t="s">
        <v>203</v>
      </c>
      <c r="D51" s="268"/>
      <c r="E51" s="154"/>
      <c r="F51" s="268"/>
      <c r="G51" s="154"/>
      <c r="H51" s="268">
        <f t="shared" si="8"/>
        <v>0</v>
      </c>
      <c r="I51" s="154"/>
      <c r="J51" s="299"/>
      <c r="K51" s="154"/>
      <c r="L51" s="268"/>
      <c r="M51" s="154"/>
      <c r="N51" s="268">
        <f t="shared" si="9"/>
        <v>0</v>
      </c>
      <c r="O51" s="154"/>
      <c r="P51" s="154"/>
      <c r="Q51" s="154"/>
      <c r="R51" s="154"/>
      <c r="S51" s="154"/>
    </row>
    <row r="52" spans="2:19" x14ac:dyDescent="0.35">
      <c r="B52" s="154" t="s">
        <v>959</v>
      </c>
      <c r="C52" s="154" t="s">
        <v>204</v>
      </c>
      <c r="D52" s="268"/>
      <c r="E52" s="154"/>
      <c r="F52" s="268"/>
      <c r="G52" s="154"/>
      <c r="H52" s="268">
        <f t="shared" si="8"/>
        <v>0</v>
      </c>
      <c r="I52" s="154"/>
      <c r="J52" s="299"/>
      <c r="K52" s="154"/>
      <c r="L52" s="268"/>
      <c r="M52" s="154"/>
      <c r="N52" s="268">
        <f t="shared" si="9"/>
        <v>0</v>
      </c>
      <c r="O52" s="154"/>
      <c r="P52" s="154"/>
      <c r="Q52" s="154"/>
      <c r="R52" s="154"/>
      <c r="S52" s="154"/>
    </row>
    <row r="53" spans="2:19" x14ac:dyDescent="0.35">
      <c r="B53" s="154" t="s">
        <v>960</v>
      </c>
      <c r="C53" s="154" t="s">
        <v>850</v>
      </c>
      <c r="D53" s="268"/>
      <c r="E53" s="154"/>
      <c r="F53" s="268"/>
      <c r="G53" s="154"/>
      <c r="H53" s="268">
        <f t="shared" si="8"/>
        <v>0</v>
      </c>
      <c r="I53" s="154"/>
      <c r="J53" s="299"/>
      <c r="K53" s="154"/>
      <c r="L53" s="268"/>
      <c r="M53" s="154"/>
      <c r="N53" s="268">
        <f t="shared" si="9"/>
        <v>0</v>
      </c>
      <c r="O53" s="154"/>
      <c r="P53" s="154"/>
      <c r="Q53" s="154"/>
      <c r="R53" s="154"/>
      <c r="S53" s="154"/>
    </row>
    <row r="54" spans="2:19" x14ac:dyDescent="0.35">
      <c r="B54" s="154" t="s">
        <v>961</v>
      </c>
      <c r="C54" s="154" t="s">
        <v>387</v>
      </c>
      <c r="D54" s="268"/>
      <c r="E54" s="154"/>
      <c r="F54" s="268"/>
      <c r="G54" s="154"/>
      <c r="H54" s="268">
        <f t="shared" si="8"/>
        <v>0</v>
      </c>
      <c r="I54" s="154"/>
      <c r="J54" s="299"/>
      <c r="K54" s="154"/>
      <c r="L54" s="268"/>
      <c r="M54" s="154"/>
      <c r="N54" s="268">
        <f t="shared" si="9"/>
        <v>0</v>
      </c>
      <c r="O54" s="154"/>
      <c r="P54" s="154"/>
      <c r="Q54" s="154"/>
      <c r="R54" s="154"/>
      <c r="S54" s="154"/>
    </row>
    <row r="55" spans="2:19" x14ac:dyDescent="0.35">
      <c r="B55" s="154" t="s">
        <v>962</v>
      </c>
      <c r="C55" s="154" t="s">
        <v>902</v>
      </c>
      <c r="D55" s="268"/>
      <c r="E55" s="154"/>
      <c r="F55" s="268"/>
      <c r="G55" s="154"/>
      <c r="H55" s="268">
        <f t="shared" si="8"/>
        <v>0</v>
      </c>
      <c r="I55" s="154"/>
      <c r="J55" s="299"/>
      <c r="K55" s="154"/>
      <c r="L55" s="268"/>
      <c r="M55" s="154"/>
      <c r="N55" s="268">
        <f t="shared" si="9"/>
        <v>0</v>
      </c>
      <c r="O55" s="154"/>
      <c r="P55" s="154"/>
      <c r="Q55" s="154"/>
      <c r="R55" s="154"/>
      <c r="S55" s="154"/>
    </row>
    <row r="56" spans="2:19" x14ac:dyDescent="0.35">
      <c r="B56" s="154" t="s">
        <v>963</v>
      </c>
      <c r="C56" s="154" t="s">
        <v>851</v>
      </c>
      <c r="D56" s="268"/>
      <c r="E56" s="154"/>
      <c r="F56" s="268"/>
      <c r="G56" s="154"/>
      <c r="H56" s="268">
        <f t="shared" si="8"/>
        <v>0</v>
      </c>
      <c r="I56" s="154"/>
      <c r="J56" s="299"/>
      <c r="K56" s="154"/>
      <c r="L56" s="268"/>
      <c r="M56" s="154"/>
      <c r="N56" s="268">
        <f t="shared" si="9"/>
        <v>0</v>
      </c>
      <c r="O56" s="154"/>
      <c r="P56" s="154"/>
      <c r="Q56" s="154"/>
      <c r="R56" s="154"/>
      <c r="S56" s="154"/>
    </row>
    <row r="57" spans="2:19" x14ac:dyDescent="0.35">
      <c r="B57" s="154" t="s">
        <v>964</v>
      </c>
      <c r="C57" s="154" t="s">
        <v>531</v>
      </c>
      <c r="D57" s="268"/>
      <c r="E57" s="154"/>
      <c r="F57" s="268"/>
      <c r="G57" s="154"/>
      <c r="H57" s="268">
        <f t="shared" si="8"/>
        <v>0</v>
      </c>
      <c r="I57" s="154"/>
      <c r="J57" s="299"/>
      <c r="K57" s="154"/>
      <c r="L57" s="268"/>
      <c r="M57" s="154"/>
      <c r="N57" s="268">
        <f t="shared" si="9"/>
        <v>0</v>
      </c>
      <c r="O57" s="154"/>
      <c r="P57" s="154"/>
      <c r="Q57" s="154"/>
      <c r="R57" s="154"/>
      <c r="S57" s="154"/>
    </row>
    <row r="58" spans="2:19" x14ac:dyDescent="0.35">
      <c r="B58" s="154" t="s">
        <v>965</v>
      </c>
      <c r="C58" s="154" t="s">
        <v>532</v>
      </c>
      <c r="D58" s="268"/>
      <c r="E58" s="154"/>
      <c r="F58" s="268"/>
      <c r="G58" s="154"/>
      <c r="H58" s="268">
        <f t="shared" si="8"/>
        <v>0</v>
      </c>
      <c r="I58" s="154"/>
      <c r="J58" s="299"/>
      <c r="K58" s="154"/>
      <c r="L58" s="268"/>
      <c r="M58" s="154"/>
      <c r="N58" s="268">
        <f t="shared" si="9"/>
        <v>0</v>
      </c>
      <c r="O58" s="154"/>
      <c r="P58" s="154"/>
      <c r="Q58" s="154"/>
      <c r="R58" s="154"/>
      <c r="S58" s="154"/>
    </row>
    <row r="59" spans="2:19" x14ac:dyDescent="0.35">
      <c r="B59" s="154" t="s">
        <v>966</v>
      </c>
      <c r="C59" s="154" t="s">
        <v>533</v>
      </c>
      <c r="D59" s="268"/>
      <c r="E59" s="154"/>
      <c r="F59" s="268"/>
      <c r="G59" s="154"/>
      <c r="H59" s="268">
        <f t="shared" si="8"/>
        <v>0</v>
      </c>
      <c r="I59" s="154"/>
      <c r="J59" s="299"/>
      <c r="K59" s="154"/>
      <c r="L59" s="268"/>
      <c r="M59" s="154"/>
      <c r="N59" s="268">
        <f t="shared" si="9"/>
        <v>0</v>
      </c>
      <c r="O59" s="154"/>
      <c r="P59" s="154"/>
      <c r="Q59" s="154"/>
      <c r="R59" s="154"/>
      <c r="S59" s="154"/>
    </row>
    <row r="60" spans="2:19" x14ac:dyDescent="0.35">
      <c r="B60" s="154" t="s">
        <v>967</v>
      </c>
      <c r="C60" s="154" t="s">
        <v>852</v>
      </c>
      <c r="D60" s="268"/>
      <c r="E60" s="154"/>
      <c r="F60" s="268"/>
      <c r="G60" s="154"/>
      <c r="H60" s="268">
        <f t="shared" si="8"/>
        <v>0</v>
      </c>
      <c r="I60" s="154"/>
      <c r="J60" s="299"/>
      <c r="K60" s="154"/>
      <c r="L60" s="268"/>
      <c r="M60" s="154"/>
      <c r="N60" s="268">
        <f t="shared" si="9"/>
        <v>0</v>
      </c>
      <c r="O60" s="154"/>
      <c r="P60" s="154"/>
      <c r="Q60" s="154"/>
      <c r="R60" s="154"/>
      <c r="S60" s="154"/>
    </row>
    <row r="61" spans="2:19" x14ac:dyDescent="0.35">
      <c r="B61" s="154" t="s">
        <v>968</v>
      </c>
      <c r="C61" s="154" t="s">
        <v>853</v>
      </c>
      <c r="D61" s="268"/>
      <c r="E61" s="154"/>
      <c r="F61" s="268"/>
      <c r="G61" s="154"/>
      <c r="H61" s="268">
        <f t="shared" si="8"/>
        <v>0</v>
      </c>
      <c r="I61" s="154"/>
      <c r="J61" s="299"/>
      <c r="K61" s="154"/>
      <c r="L61" s="268"/>
      <c r="M61" s="154"/>
      <c r="N61" s="268">
        <f t="shared" si="9"/>
        <v>0</v>
      </c>
      <c r="O61" s="154"/>
      <c r="P61" s="154"/>
      <c r="Q61" s="154"/>
      <c r="R61" s="154"/>
      <c r="S61" s="154"/>
    </row>
    <row r="62" spans="2:19" x14ac:dyDescent="0.35">
      <c r="B62" s="154" t="s">
        <v>969</v>
      </c>
      <c r="C62" s="154" t="s">
        <v>903</v>
      </c>
      <c r="D62" s="268"/>
      <c r="E62" s="154"/>
      <c r="F62" s="268"/>
      <c r="G62" s="154"/>
      <c r="H62" s="268">
        <f t="shared" si="8"/>
        <v>0</v>
      </c>
      <c r="I62" s="154"/>
      <c r="J62" s="299"/>
      <c r="K62" s="154"/>
      <c r="L62" s="268"/>
      <c r="M62" s="154"/>
      <c r="N62" s="268">
        <f t="shared" si="9"/>
        <v>0</v>
      </c>
      <c r="O62" s="154"/>
      <c r="P62" s="154"/>
      <c r="Q62" s="154"/>
      <c r="R62" s="154"/>
      <c r="S62" s="154"/>
    </row>
    <row r="63" spans="2:19" x14ac:dyDescent="0.35">
      <c r="B63" s="154" t="s">
        <v>970</v>
      </c>
      <c r="C63" s="154" t="s">
        <v>585</v>
      </c>
      <c r="D63" s="268"/>
      <c r="E63" s="154"/>
      <c r="F63" s="268"/>
      <c r="G63" s="154"/>
      <c r="H63" s="268">
        <f t="shared" si="8"/>
        <v>0</v>
      </c>
      <c r="I63" s="154"/>
      <c r="J63" s="299"/>
      <c r="K63" s="154"/>
      <c r="L63" s="268"/>
      <c r="M63" s="154"/>
      <c r="N63" s="268">
        <f t="shared" si="9"/>
        <v>0</v>
      </c>
      <c r="O63" s="154"/>
      <c r="P63" s="154"/>
      <c r="Q63" s="154"/>
      <c r="R63" s="154"/>
      <c r="S63" s="154"/>
    </row>
    <row r="64" spans="2:19" x14ac:dyDescent="0.35">
      <c r="B64" s="221" t="s">
        <v>58</v>
      </c>
      <c r="C64" s="221" t="s">
        <v>205</v>
      </c>
      <c r="D64" s="264"/>
      <c r="E64" s="221"/>
      <c r="F64" s="264"/>
      <c r="G64" s="221"/>
      <c r="H64" s="264"/>
      <c r="I64" s="221"/>
      <c r="J64" s="295"/>
      <c r="K64" s="221"/>
      <c r="L64" s="264"/>
      <c r="M64" s="221"/>
      <c r="N64" s="268">
        <f t="shared" si="9"/>
        <v>0</v>
      </c>
      <c r="O64" s="221"/>
      <c r="P64" s="221"/>
      <c r="Q64" s="221"/>
      <c r="R64" s="221"/>
      <c r="S64" s="221"/>
    </row>
    <row r="65" spans="2:19" x14ac:dyDescent="0.35">
      <c r="B65" s="222" t="s">
        <v>971</v>
      </c>
      <c r="C65" s="222" t="s">
        <v>206</v>
      </c>
      <c r="D65" s="265"/>
      <c r="E65" s="222"/>
      <c r="F65" s="265"/>
      <c r="G65" s="222"/>
      <c r="H65" s="265"/>
      <c r="I65" s="222"/>
      <c r="J65" s="296">
        <v>0</v>
      </c>
      <c r="K65" s="222"/>
      <c r="L65" s="265"/>
      <c r="M65" s="222"/>
      <c r="N65" s="265"/>
      <c r="O65" s="222"/>
      <c r="P65" s="222"/>
      <c r="Q65" s="222"/>
      <c r="R65" s="222"/>
      <c r="S65" s="222"/>
    </row>
    <row r="66" spans="2:19" x14ac:dyDescent="0.35">
      <c r="B66" s="223" t="s">
        <v>972</v>
      </c>
      <c r="C66" s="223" t="s">
        <v>207</v>
      </c>
      <c r="D66" s="266"/>
      <c r="E66" s="223"/>
      <c r="F66" s="266"/>
      <c r="G66" s="223"/>
      <c r="H66" s="266"/>
      <c r="I66" s="223"/>
      <c r="J66" s="297">
        <v>0</v>
      </c>
      <c r="K66" s="223"/>
      <c r="L66" s="266"/>
      <c r="M66" s="223"/>
      <c r="N66" s="266"/>
      <c r="O66" s="223"/>
      <c r="P66" s="223"/>
      <c r="Q66" s="223"/>
      <c r="R66" s="223"/>
      <c r="S66" s="223"/>
    </row>
    <row r="67" spans="2:19" x14ac:dyDescent="0.35">
      <c r="B67" s="224" t="s">
        <v>973</v>
      </c>
      <c r="C67" s="224" t="s">
        <v>208</v>
      </c>
      <c r="D67" s="267">
        <f>SUM(D68:D71)</f>
        <v>0</v>
      </c>
      <c r="E67" s="267">
        <f t="shared" ref="E67:M67" si="10">SUM(E68:E71)</f>
        <v>0</v>
      </c>
      <c r="F67" s="267">
        <f t="shared" si="10"/>
        <v>0</v>
      </c>
      <c r="G67" s="267">
        <f t="shared" si="10"/>
        <v>0</v>
      </c>
      <c r="H67" s="267">
        <f t="shared" si="10"/>
        <v>0</v>
      </c>
      <c r="I67" s="267">
        <f t="shared" si="10"/>
        <v>0</v>
      </c>
      <c r="J67" s="267">
        <f t="shared" si="10"/>
        <v>0</v>
      </c>
      <c r="K67" s="267">
        <f t="shared" si="10"/>
        <v>0</v>
      </c>
      <c r="L67" s="267">
        <f t="shared" si="10"/>
        <v>0</v>
      </c>
      <c r="M67" s="267">
        <f t="shared" si="10"/>
        <v>0</v>
      </c>
      <c r="N67" s="267">
        <f>SUM(N68:N71)</f>
        <v>0</v>
      </c>
      <c r="O67" s="224"/>
      <c r="P67" s="224"/>
      <c r="Q67" s="224"/>
      <c r="R67" s="224"/>
      <c r="S67" s="224"/>
    </row>
    <row r="68" spans="2:19" x14ac:dyDescent="0.35">
      <c r="B68" s="154" t="s">
        <v>974</v>
      </c>
      <c r="C68" s="154" t="s">
        <v>209</v>
      </c>
      <c r="D68" s="268"/>
      <c r="E68" s="154"/>
      <c r="F68" s="268"/>
      <c r="G68" s="154"/>
      <c r="H68" s="268">
        <f t="shared" ref="H68:H79" si="11">D68-F68</f>
        <v>0</v>
      </c>
      <c r="I68" s="154"/>
      <c r="J68" s="299"/>
      <c r="K68" s="154"/>
      <c r="L68" s="268"/>
      <c r="M68" s="154"/>
      <c r="N68" s="268">
        <f t="shared" ref="N68:N79" si="12">J68-L68</f>
        <v>0</v>
      </c>
      <c r="O68" s="154"/>
      <c r="P68" s="154"/>
      <c r="Q68" s="154"/>
      <c r="R68" s="154"/>
      <c r="S68" s="154"/>
    </row>
    <row r="69" spans="2:19" x14ac:dyDescent="0.35">
      <c r="B69" s="154" t="s">
        <v>975</v>
      </c>
      <c r="C69" s="154" t="s">
        <v>210</v>
      </c>
      <c r="D69" s="268"/>
      <c r="E69" s="154"/>
      <c r="F69" s="268"/>
      <c r="G69" s="154"/>
      <c r="H69" s="268">
        <f t="shared" si="11"/>
        <v>0</v>
      </c>
      <c r="I69" s="154"/>
      <c r="J69" s="299"/>
      <c r="K69" s="154"/>
      <c r="L69" s="268"/>
      <c r="M69" s="154"/>
      <c r="N69" s="268">
        <f t="shared" si="12"/>
        <v>0</v>
      </c>
      <c r="O69" s="154"/>
      <c r="P69" s="154"/>
      <c r="Q69" s="154"/>
      <c r="R69" s="154"/>
      <c r="S69" s="154"/>
    </row>
    <row r="70" spans="2:19" x14ac:dyDescent="0.35">
      <c r="B70" s="154" t="s">
        <v>976</v>
      </c>
      <c r="C70" s="154" t="s">
        <v>898</v>
      </c>
      <c r="D70" s="268"/>
      <c r="E70" s="154"/>
      <c r="F70" s="268"/>
      <c r="G70" s="154"/>
      <c r="H70" s="268">
        <f t="shared" si="11"/>
        <v>0</v>
      </c>
      <c r="I70" s="154"/>
      <c r="J70" s="299"/>
      <c r="K70" s="154"/>
      <c r="L70" s="268"/>
      <c r="M70" s="154"/>
      <c r="N70" s="268">
        <f t="shared" si="12"/>
        <v>0</v>
      </c>
      <c r="O70" s="154"/>
      <c r="P70" s="154"/>
      <c r="Q70" s="154"/>
      <c r="R70" s="154"/>
      <c r="S70" s="154"/>
    </row>
    <row r="71" spans="2:19" x14ac:dyDescent="0.35">
      <c r="B71" s="154" t="s">
        <v>977</v>
      </c>
      <c r="C71" s="154" t="s">
        <v>211</v>
      </c>
      <c r="D71" s="268">
        <v>0</v>
      </c>
      <c r="E71" s="154"/>
      <c r="F71" s="268"/>
      <c r="G71" s="154"/>
      <c r="H71" s="268">
        <f t="shared" si="11"/>
        <v>0</v>
      </c>
      <c r="I71" s="154"/>
      <c r="J71" s="299">
        <v>0</v>
      </c>
      <c r="K71" s="154"/>
      <c r="L71" s="268">
        <f>F71</f>
        <v>0</v>
      </c>
      <c r="M71" s="154"/>
      <c r="N71" s="268">
        <f t="shared" si="12"/>
        <v>0</v>
      </c>
      <c r="O71" s="154"/>
      <c r="P71" s="154"/>
      <c r="Q71" s="154"/>
      <c r="R71" s="154"/>
      <c r="S71" s="154"/>
    </row>
    <row r="72" spans="2:19" x14ac:dyDescent="0.35">
      <c r="B72" s="224" t="s">
        <v>978</v>
      </c>
      <c r="C72" s="224" t="s">
        <v>212</v>
      </c>
      <c r="D72" s="267"/>
      <c r="E72" s="224"/>
      <c r="F72" s="267"/>
      <c r="G72" s="224"/>
      <c r="H72" s="267"/>
      <c r="I72" s="224"/>
      <c r="J72" s="298">
        <v>0</v>
      </c>
      <c r="K72" s="224"/>
      <c r="L72" s="267"/>
      <c r="M72" s="224"/>
      <c r="N72" s="267"/>
      <c r="O72" s="224"/>
      <c r="P72" s="224"/>
      <c r="Q72" s="224"/>
      <c r="R72" s="224"/>
      <c r="S72" s="224"/>
    </row>
    <row r="73" spans="2:19" x14ac:dyDescent="0.35">
      <c r="B73" s="154" t="s">
        <v>979</v>
      </c>
      <c r="C73" s="154" t="s">
        <v>213</v>
      </c>
      <c r="D73" s="268"/>
      <c r="E73" s="154"/>
      <c r="F73" s="268"/>
      <c r="G73" s="154"/>
      <c r="H73" s="268">
        <f t="shared" si="11"/>
        <v>0</v>
      </c>
      <c r="I73" s="154"/>
      <c r="J73" s="299">
        <v>0</v>
      </c>
      <c r="K73" s="154"/>
      <c r="L73" s="268"/>
      <c r="M73" s="154"/>
      <c r="N73" s="268">
        <f t="shared" si="12"/>
        <v>0</v>
      </c>
      <c r="O73" s="154"/>
      <c r="P73" s="154"/>
      <c r="Q73" s="154"/>
      <c r="R73" s="154"/>
      <c r="S73" s="154"/>
    </row>
    <row r="74" spans="2:19" x14ac:dyDescent="0.35">
      <c r="B74" s="154" t="s">
        <v>980</v>
      </c>
      <c r="C74" s="154" t="s">
        <v>214</v>
      </c>
      <c r="D74" s="268"/>
      <c r="E74" s="154"/>
      <c r="F74" s="268"/>
      <c r="G74" s="154"/>
      <c r="H74" s="268">
        <f t="shared" si="11"/>
        <v>0</v>
      </c>
      <c r="I74" s="154"/>
      <c r="J74" s="299">
        <v>0</v>
      </c>
      <c r="K74" s="154"/>
      <c r="L74" s="268"/>
      <c r="M74" s="154"/>
      <c r="N74" s="268">
        <f t="shared" si="12"/>
        <v>0</v>
      </c>
      <c r="O74" s="154"/>
      <c r="P74" s="154"/>
      <c r="Q74" s="154"/>
      <c r="R74" s="154"/>
      <c r="S74" s="154"/>
    </row>
    <row r="75" spans="2:19" x14ac:dyDescent="0.35">
      <c r="B75" s="154" t="s">
        <v>981</v>
      </c>
      <c r="C75" s="154" t="s">
        <v>215</v>
      </c>
      <c r="D75" s="268"/>
      <c r="E75" s="154"/>
      <c r="F75" s="268"/>
      <c r="G75" s="154"/>
      <c r="H75" s="268">
        <f t="shared" si="11"/>
        <v>0</v>
      </c>
      <c r="I75" s="154"/>
      <c r="J75" s="299">
        <v>0</v>
      </c>
      <c r="K75" s="154"/>
      <c r="L75" s="268"/>
      <c r="M75" s="154"/>
      <c r="N75" s="268">
        <f t="shared" si="12"/>
        <v>0</v>
      </c>
      <c r="O75" s="154"/>
      <c r="P75" s="154"/>
      <c r="Q75" s="154"/>
      <c r="R75" s="154"/>
      <c r="S75" s="154"/>
    </row>
    <row r="76" spans="2:19" x14ac:dyDescent="0.35">
      <c r="B76" s="224" t="s">
        <v>982</v>
      </c>
      <c r="C76" s="224" t="s">
        <v>216</v>
      </c>
      <c r="D76" s="267">
        <f>SUM(D77:D79)</f>
        <v>0</v>
      </c>
      <c r="E76" s="267">
        <f t="shared" ref="E76:N76" si="13">SUM(E77:E79)</f>
        <v>0</v>
      </c>
      <c r="F76" s="267">
        <f t="shared" si="13"/>
        <v>0</v>
      </c>
      <c r="G76" s="267">
        <f t="shared" si="13"/>
        <v>0</v>
      </c>
      <c r="H76" s="267">
        <f t="shared" si="13"/>
        <v>0</v>
      </c>
      <c r="I76" s="267">
        <f t="shared" si="13"/>
        <v>0</v>
      </c>
      <c r="J76" s="267">
        <f t="shared" si="13"/>
        <v>0</v>
      </c>
      <c r="K76" s="267">
        <f t="shared" si="13"/>
        <v>0</v>
      </c>
      <c r="L76" s="267">
        <f t="shared" si="13"/>
        <v>0</v>
      </c>
      <c r="M76" s="267">
        <f t="shared" si="13"/>
        <v>0</v>
      </c>
      <c r="N76" s="267">
        <f t="shared" si="13"/>
        <v>0</v>
      </c>
      <c r="O76" s="224"/>
      <c r="P76" s="224"/>
      <c r="Q76" s="224"/>
      <c r="R76" s="224"/>
      <c r="S76" s="224"/>
    </row>
    <row r="77" spans="2:19" x14ac:dyDescent="0.35">
      <c r="B77" s="154" t="s">
        <v>983</v>
      </c>
      <c r="C77" s="154" t="s">
        <v>217</v>
      </c>
      <c r="D77" s="268"/>
      <c r="E77" s="154"/>
      <c r="F77" s="268"/>
      <c r="G77" s="154"/>
      <c r="H77" s="268">
        <f t="shared" si="11"/>
        <v>0</v>
      </c>
      <c r="I77" s="154"/>
      <c r="J77" s="299"/>
      <c r="K77" s="154"/>
      <c r="L77" s="268"/>
      <c r="M77" s="154"/>
      <c r="N77" s="268">
        <f t="shared" si="12"/>
        <v>0</v>
      </c>
      <c r="O77" s="154"/>
      <c r="P77" s="154"/>
      <c r="Q77" s="154"/>
      <c r="R77" s="154"/>
      <c r="S77" s="154"/>
    </row>
    <row r="78" spans="2:19" x14ac:dyDescent="0.35">
      <c r="B78" s="154" t="s">
        <v>984</v>
      </c>
      <c r="C78" s="154" t="s">
        <v>218</v>
      </c>
      <c r="D78" s="268"/>
      <c r="E78" s="154"/>
      <c r="F78" s="268"/>
      <c r="G78" s="154"/>
      <c r="H78" s="268">
        <f t="shared" si="11"/>
        <v>0</v>
      </c>
      <c r="I78" s="154"/>
      <c r="J78" s="299"/>
      <c r="K78" s="154"/>
      <c r="L78" s="268"/>
      <c r="M78" s="154"/>
      <c r="N78" s="268">
        <f t="shared" si="12"/>
        <v>0</v>
      </c>
      <c r="O78" s="154"/>
      <c r="P78" s="154"/>
      <c r="Q78" s="154"/>
      <c r="R78" s="154"/>
      <c r="S78" s="154"/>
    </row>
    <row r="79" spans="2:19" x14ac:dyDescent="0.35">
      <c r="B79" s="154" t="s">
        <v>985</v>
      </c>
      <c r="C79" s="154" t="s">
        <v>219</v>
      </c>
      <c r="D79" s="268"/>
      <c r="E79" s="154"/>
      <c r="F79" s="268"/>
      <c r="G79" s="154"/>
      <c r="H79" s="268">
        <f t="shared" si="11"/>
        <v>0</v>
      </c>
      <c r="I79" s="154"/>
      <c r="J79" s="299">
        <v>0</v>
      </c>
      <c r="K79" s="154"/>
      <c r="L79" s="268"/>
      <c r="M79" s="154"/>
      <c r="N79" s="268">
        <f t="shared" si="12"/>
        <v>0</v>
      </c>
      <c r="O79" s="154"/>
      <c r="P79" s="154"/>
      <c r="Q79" s="154"/>
      <c r="R79" s="154"/>
      <c r="S79" s="154"/>
    </row>
    <row r="80" spans="2:19" x14ac:dyDescent="0.35">
      <c r="B80" s="225" t="s">
        <v>986</v>
      </c>
      <c r="C80" s="225" t="s">
        <v>854</v>
      </c>
      <c r="D80" s="266"/>
      <c r="E80" s="225"/>
      <c r="F80" s="266"/>
      <c r="G80" s="225"/>
      <c r="H80" s="266"/>
      <c r="I80" s="225"/>
      <c r="J80" s="297">
        <v>0</v>
      </c>
      <c r="K80" s="225"/>
      <c r="L80" s="266"/>
      <c r="M80" s="225"/>
      <c r="N80" s="266"/>
      <c r="O80" s="225"/>
      <c r="P80" s="225"/>
      <c r="Q80" s="225"/>
      <c r="R80" s="225"/>
      <c r="S80" s="225"/>
    </row>
    <row r="81" spans="2:19" x14ac:dyDescent="0.35">
      <c r="B81" s="224" t="s">
        <v>987</v>
      </c>
      <c r="C81" s="224" t="s">
        <v>220</v>
      </c>
      <c r="D81" s="267">
        <f>SUM(D82:D88)</f>
        <v>0</v>
      </c>
      <c r="E81" s="267">
        <f t="shared" ref="E81:O81" si="14">SUM(E82:E88)</f>
        <v>0</v>
      </c>
      <c r="F81" s="267">
        <f t="shared" si="14"/>
        <v>0</v>
      </c>
      <c r="G81" s="267">
        <f t="shared" si="14"/>
        <v>0</v>
      </c>
      <c r="H81" s="267">
        <f t="shared" si="14"/>
        <v>0</v>
      </c>
      <c r="I81" s="267">
        <f t="shared" si="14"/>
        <v>0</v>
      </c>
      <c r="J81" s="267">
        <f t="shared" si="14"/>
        <v>0</v>
      </c>
      <c r="K81" s="267">
        <f t="shared" si="14"/>
        <v>0</v>
      </c>
      <c r="L81" s="267">
        <f t="shared" si="14"/>
        <v>0</v>
      </c>
      <c r="M81" s="267">
        <f t="shared" si="14"/>
        <v>0</v>
      </c>
      <c r="N81" s="267">
        <f t="shared" si="14"/>
        <v>0</v>
      </c>
      <c r="O81" s="267">
        <f t="shared" si="14"/>
        <v>0</v>
      </c>
      <c r="P81" s="224"/>
      <c r="Q81" s="224"/>
      <c r="R81" s="224"/>
      <c r="S81" s="224"/>
    </row>
    <row r="82" spans="2:19" x14ac:dyDescent="0.35">
      <c r="B82" s="154" t="s">
        <v>988</v>
      </c>
      <c r="C82" s="154" t="s">
        <v>221</v>
      </c>
      <c r="D82" s="268"/>
      <c r="E82" s="154"/>
      <c r="F82" s="268"/>
      <c r="G82" s="154"/>
      <c r="H82" s="268">
        <f t="shared" ref="H82:H88" si="15">D82-F82</f>
        <v>0</v>
      </c>
      <c r="I82" s="154"/>
      <c r="J82" s="299"/>
      <c r="K82" s="154"/>
      <c r="L82" s="268"/>
      <c r="M82" s="154"/>
      <c r="N82" s="268">
        <f t="shared" ref="N82:N88" si="16">J82-L82</f>
        <v>0</v>
      </c>
      <c r="O82" s="154"/>
      <c r="P82" s="154"/>
      <c r="Q82" s="154"/>
      <c r="R82" s="154"/>
      <c r="S82" s="154"/>
    </row>
    <row r="83" spans="2:19" x14ac:dyDescent="0.35">
      <c r="B83" s="154" t="s">
        <v>989</v>
      </c>
      <c r="C83" s="154" t="s">
        <v>222</v>
      </c>
      <c r="D83" s="268"/>
      <c r="E83" s="154"/>
      <c r="F83" s="268"/>
      <c r="G83" s="154"/>
      <c r="H83" s="268">
        <f t="shared" si="15"/>
        <v>0</v>
      </c>
      <c r="I83" s="154"/>
      <c r="J83" s="299"/>
      <c r="K83" s="154"/>
      <c r="L83" s="268"/>
      <c r="M83" s="154"/>
      <c r="N83" s="268">
        <f t="shared" si="16"/>
        <v>0</v>
      </c>
      <c r="O83" s="154"/>
      <c r="P83" s="154"/>
      <c r="Q83" s="154"/>
      <c r="R83" s="154"/>
      <c r="S83" s="154"/>
    </row>
    <row r="84" spans="2:19" x14ac:dyDescent="0.35">
      <c r="B84" s="154" t="s">
        <v>990</v>
      </c>
      <c r="C84" s="154" t="s">
        <v>223</v>
      </c>
      <c r="D84" s="268"/>
      <c r="E84" s="154"/>
      <c r="F84" s="268"/>
      <c r="G84" s="154"/>
      <c r="H84" s="268">
        <f t="shared" si="15"/>
        <v>0</v>
      </c>
      <c r="I84" s="154"/>
      <c r="J84" s="299"/>
      <c r="K84" s="154"/>
      <c r="L84" s="268"/>
      <c r="M84" s="154"/>
      <c r="N84" s="268">
        <f t="shared" si="16"/>
        <v>0</v>
      </c>
      <c r="O84" s="154"/>
      <c r="P84" s="154"/>
      <c r="Q84" s="154"/>
      <c r="R84" s="154"/>
      <c r="S84" s="154"/>
    </row>
    <row r="85" spans="2:19" x14ac:dyDescent="0.35">
      <c r="B85" s="154" t="s">
        <v>991</v>
      </c>
      <c r="C85" s="154" t="s">
        <v>855</v>
      </c>
      <c r="D85" s="268"/>
      <c r="E85" s="154"/>
      <c r="F85" s="268"/>
      <c r="G85" s="154"/>
      <c r="H85" s="268">
        <f t="shared" si="15"/>
        <v>0</v>
      </c>
      <c r="I85" s="154"/>
      <c r="J85" s="299"/>
      <c r="K85" s="154"/>
      <c r="L85" s="268"/>
      <c r="M85" s="154"/>
      <c r="N85" s="268">
        <f t="shared" si="16"/>
        <v>0</v>
      </c>
      <c r="O85" s="154"/>
      <c r="P85" s="154"/>
      <c r="Q85" s="154"/>
      <c r="R85" s="154"/>
      <c r="S85" s="154"/>
    </row>
    <row r="86" spans="2:19" x14ac:dyDescent="0.35">
      <c r="B86" s="154" t="s">
        <v>992</v>
      </c>
      <c r="C86" s="154" t="s">
        <v>856</v>
      </c>
      <c r="D86" s="268"/>
      <c r="E86" s="154"/>
      <c r="F86" s="268"/>
      <c r="G86" s="154"/>
      <c r="H86" s="268">
        <f t="shared" si="15"/>
        <v>0</v>
      </c>
      <c r="I86" s="154"/>
      <c r="J86" s="299"/>
      <c r="K86" s="154"/>
      <c r="L86" s="268"/>
      <c r="M86" s="154"/>
      <c r="N86" s="268">
        <f t="shared" si="16"/>
        <v>0</v>
      </c>
      <c r="O86" s="154"/>
      <c r="P86" s="154"/>
      <c r="Q86" s="154"/>
      <c r="R86" s="154"/>
      <c r="S86" s="154"/>
    </row>
    <row r="87" spans="2:19" x14ac:dyDescent="0.35">
      <c r="B87" s="154" t="s">
        <v>993</v>
      </c>
      <c r="C87" s="154" t="s">
        <v>901</v>
      </c>
      <c r="D87" s="268"/>
      <c r="E87" s="154"/>
      <c r="F87" s="268"/>
      <c r="G87" s="154"/>
      <c r="H87" s="268">
        <f t="shared" si="15"/>
        <v>0</v>
      </c>
      <c r="I87" s="154"/>
      <c r="J87" s="299"/>
      <c r="K87" s="154"/>
      <c r="L87" s="268"/>
      <c r="M87" s="154"/>
      <c r="N87" s="268">
        <f t="shared" si="16"/>
        <v>0</v>
      </c>
      <c r="O87" s="154"/>
      <c r="P87" s="154"/>
      <c r="Q87" s="154"/>
      <c r="R87" s="154"/>
      <c r="S87" s="154"/>
    </row>
    <row r="88" spans="2:19" x14ac:dyDescent="0.35">
      <c r="B88" s="154" t="s">
        <v>994</v>
      </c>
      <c r="C88" s="154" t="s">
        <v>586</v>
      </c>
      <c r="D88" s="268"/>
      <c r="E88" s="154"/>
      <c r="F88" s="268"/>
      <c r="G88" s="154"/>
      <c r="H88" s="268">
        <f t="shared" si="15"/>
        <v>0</v>
      </c>
      <c r="I88" s="154"/>
      <c r="J88" s="299"/>
      <c r="K88" s="154"/>
      <c r="L88" s="268"/>
      <c r="M88" s="154"/>
      <c r="N88" s="268">
        <f t="shared" si="16"/>
        <v>0</v>
      </c>
      <c r="O88" s="154"/>
      <c r="P88" s="154"/>
      <c r="Q88" s="154"/>
      <c r="R88" s="154"/>
      <c r="S88" s="154"/>
    </row>
    <row r="89" spans="2:19" x14ac:dyDescent="0.35">
      <c r="B89" s="221" t="s">
        <v>224</v>
      </c>
      <c r="C89" s="221" t="s">
        <v>225</v>
      </c>
      <c r="D89" s="264"/>
      <c r="E89" s="221"/>
      <c r="F89" s="264"/>
      <c r="G89" s="221"/>
      <c r="H89" s="268"/>
      <c r="I89" s="221"/>
      <c r="J89" s="295"/>
      <c r="K89" s="221"/>
      <c r="L89" s="264"/>
      <c r="M89" s="221"/>
      <c r="N89" s="264"/>
      <c r="O89" s="221"/>
      <c r="P89" s="221"/>
      <c r="Q89" s="221"/>
      <c r="R89" s="221"/>
      <c r="S89" s="221"/>
    </row>
    <row r="90" spans="2:19" x14ac:dyDescent="0.35">
      <c r="B90" s="222" t="s">
        <v>995</v>
      </c>
      <c r="C90" s="222" t="s">
        <v>226</v>
      </c>
      <c r="D90" s="265">
        <f>D160+D173+D186</f>
        <v>0</v>
      </c>
      <c r="E90" s="265">
        <f t="shared" ref="E90:N90" si="17">E160+E173+E186</f>
        <v>0</v>
      </c>
      <c r="F90" s="265">
        <f t="shared" si="17"/>
        <v>0</v>
      </c>
      <c r="G90" s="265">
        <f t="shared" si="17"/>
        <v>0</v>
      </c>
      <c r="H90" s="265">
        <f t="shared" si="17"/>
        <v>0</v>
      </c>
      <c r="I90" s="265">
        <f t="shared" si="17"/>
        <v>0</v>
      </c>
      <c r="J90" s="265">
        <f t="shared" si="17"/>
        <v>0</v>
      </c>
      <c r="K90" s="265">
        <f t="shared" si="17"/>
        <v>0</v>
      </c>
      <c r="L90" s="265">
        <f t="shared" si="17"/>
        <v>0</v>
      </c>
      <c r="M90" s="265">
        <f t="shared" si="17"/>
        <v>0</v>
      </c>
      <c r="N90" s="265">
        <f t="shared" si="17"/>
        <v>0</v>
      </c>
      <c r="O90" s="222"/>
      <c r="P90" s="222"/>
      <c r="Q90" s="222"/>
      <c r="R90" s="222"/>
      <c r="S90" s="222"/>
    </row>
    <row r="91" spans="2:19" x14ac:dyDescent="0.35">
      <c r="B91" s="223" t="s">
        <v>996</v>
      </c>
      <c r="C91" s="223" t="s">
        <v>227</v>
      </c>
      <c r="D91" s="266">
        <f>D92+D105+D119</f>
        <v>0</v>
      </c>
      <c r="E91" s="266">
        <f t="shared" ref="E91:N91" si="18">E92+E105+E119</f>
        <v>0</v>
      </c>
      <c r="F91" s="266">
        <f t="shared" si="18"/>
        <v>0</v>
      </c>
      <c r="G91" s="266">
        <f t="shared" si="18"/>
        <v>0</v>
      </c>
      <c r="H91" s="266">
        <f t="shared" si="18"/>
        <v>0</v>
      </c>
      <c r="I91" s="266">
        <f t="shared" si="18"/>
        <v>0</v>
      </c>
      <c r="J91" s="266">
        <f t="shared" si="18"/>
        <v>0</v>
      </c>
      <c r="K91" s="266">
        <f t="shared" si="18"/>
        <v>0</v>
      </c>
      <c r="L91" s="266">
        <f t="shared" si="18"/>
        <v>0</v>
      </c>
      <c r="M91" s="266">
        <f t="shared" si="18"/>
        <v>0</v>
      </c>
      <c r="N91" s="266">
        <f t="shared" si="18"/>
        <v>0</v>
      </c>
      <c r="O91" s="223"/>
      <c r="P91" s="223"/>
      <c r="Q91" s="223"/>
      <c r="R91" s="223"/>
      <c r="S91" s="223"/>
    </row>
    <row r="92" spans="2:19" x14ac:dyDescent="0.35">
      <c r="B92" s="224" t="s">
        <v>997</v>
      </c>
      <c r="C92" s="224" t="s">
        <v>228</v>
      </c>
      <c r="D92" s="267">
        <f>SUM(D93:D104)</f>
        <v>0</v>
      </c>
      <c r="E92" s="267">
        <f t="shared" ref="E92:N92" si="19">SUM(E93:E104)</f>
        <v>0</v>
      </c>
      <c r="F92" s="267">
        <f t="shared" si="19"/>
        <v>0</v>
      </c>
      <c r="G92" s="267">
        <f t="shared" si="19"/>
        <v>0</v>
      </c>
      <c r="H92" s="267">
        <f t="shared" si="19"/>
        <v>0</v>
      </c>
      <c r="I92" s="267">
        <f t="shared" si="19"/>
        <v>0</v>
      </c>
      <c r="J92" s="267">
        <f t="shared" si="19"/>
        <v>0</v>
      </c>
      <c r="K92" s="267">
        <f t="shared" si="19"/>
        <v>0</v>
      </c>
      <c r="L92" s="267">
        <f t="shared" si="19"/>
        <v>0</v>
      </c>
      <c r="M92" s="267">
        <f t="shared" si="19"/>
        <v>0</v>
      </c>
      <c r="N92" s="267">
        <f t="shared" si="19"/>
        <v>0</v>
      </c>
      <c r="O92" s="224"/>
      <c r="P92" s="224"/>
      <c r="Q92" s="224"/>
      <c r="R92" s="224"/>
      <c r="S92" s="224"/>
    </row>
    <row r="93" spans="2:19" x14ac:dyDescent="0.35">
      <c r="B93" s="154" t="s">
        <v>998</v>
      </c>
      <c r="C93" s="154" t="s">
        <v>229</v>
      </c>
      <c r="D93" s="268"/>
      <c r="E93" s="154"/>
      <c r="F93" s="268"/>
      <c r="G93" s="154"/>
      <c r="H93" s="268">
        <f t="shared" ref="H93:H117" si="20">D93-F93</f>
        <v>0</v>
      </c>
      <c r="I93" s="154"/>
      <c r="J93" s="299"/>
      <c r="K93" s="154"/>
      <c r="L93" s="268"/>
      <c r="M93" s="154"/>
      <c r="N93" s="268">
        <f t="shared" ref="N93:N117" si="21">J93-L93</f>
        <v>0</v>
      </c>
      <c r="O93" s="154"/>
      <c r="P93" s="154"/>
      <c r="Q93" s="154"/>
      <c r="R93" s="154"/>
      <c r="S93" s="154"/>
    </row>
    <row r="94" spans="2:19" x14ac:dyDescent="0.35">
      <c r="B94" s="154" t="s">
        <v>999</v>
      </c>
      <c r="C94" s="154" t="s">
        <v>230</v>
      </c>
      <c r="D94" s="268"/>
      <c r="E94" s="154"/>
      <c r="F94" s="268"/>
      <c r="G94" s="154"/>
      <c r="H94" s="268">
        <f t="shared" si="20"/>
        <v>0</v>
      </c>
      <c r="I94" s="154"/>
      <c r="J94" s="299"/>
      <c r="K94" s="154"/>
      <c r="L94" s="268"/>
      <c r="M94" s="154"/>
      <c r="N94" s="268">
        <f t="shared" si="21"/>
        <v>0</v>
      </c>
      <c r="O94" s="154"/>
      <c r="P94" s="154"/>
      <c r="Q94" s="154"/>
      <c r="R94" s="154"/>
      <c r="S94" s="154"/>
    </row>
    <row r="95" spans="2:19" x14ac:dyDescent="0.35">
      <c r="B95" s="154" t="s">
        <v>1000</v>
      </c>
      <c r="C95" s="154" t="s">
        <v>231</v>
      </c>
      <c r="D95" s="268"/>
      <c r="E95" s="154"/>
      <c r="F95" s="268"/>
      <c r="G95" s="154"/>
      <c r="H95" s="268">
        <f t="shared" si="20"/>
        <v>0</v>
      </c>
      <c r="I95" s="154"/>
      <c r="J95" s="299"/>
      <c r="K95" s="154"/>
      <c r="L95" s="268"/>
      <c r="M95" s="154"/>
      <c r="N95" s="268">
        <f t="shared" si="21"/>
        <v>0</v>
      </c>
      <c r="O95" s="154"/>
      <c r="P95" s="154"/>
      <c r="Q95" s="154"/>
      <c r="R95" s="154"/>
      <c r="S95" s="154"/>
    </row>
    <row r="96" spans="2:19" x14ac:dyDescent="0.35">
      <c r="B96" s="154" t="s">
        <v>1001</v>
      </c>
      <c r="C96" s="154" t="s">
        <v>232</v>
      </c>
      <c r="D96" s="268"/>
      <c r="E96" s="154"/>
      <c r="F96" s="268"/>
      <c r="G96" s="154"/>
      <c r="H96" s="268">
        <f t="shared" si="20"/>
        <v>0</v>
      </c>
      <c r="I96" s="154"/>
      <c r="J96" s="299"/>
      <c r="K96" s="154"/>
      <c r="L96" s="268"/>
      <c r="M96" s="154"/>
      <c r="N96" s="268">
        <f t="shared" si="21"/>
        <v>0</v>
      </c>
      <c r="O96" s="154"/>
      <c r="P96" s="154"/>
      <c r="Q96" s="154"/>
      <c r="R96" s="154"/>
      <c r="S96" s="154"/>
    </row>
    <row r="97" spans="2:19" x14ac:dyDescent="0.35">
      <c r="B97" s="154" t="s">
        <v>1002</v>
      </c>
      <c r="C97" s="154" t="s">
        <v>233</v>
      </c>
      <c r="D97" s="268"/>
      <c r="E97" s="154"/>
      <c r="F97" s="268"/>
      <c r="G97" s="154"/>
      <c r="H97" s="268">
        <f t="shared" si="20"/>
        <v>0</v>
      </c>
      <c r="I97" s="154"/>
      <c r="J97" s="299"/>
      <c r="K97" s="154"/>
      <c r="L97" s="268"/>
      <c r="M97" s="154"/>
      <c r="N97" s="268">
        <f t="shared" si="21"/>
        <v>0</v>
      </c>
      <c r="O97" s="154"/>
      <c r="P97" s="154"/>
      <c r="Q97" s="154"/>
      <c r="R97" s="154"/>
      <c r="S97" s="154"/>
    </row>
    <row r="98" spans="2:19" x14ac:dyDescent="0.35">
      <c r="B98" s="154" t="s">
        <v>1003</v>
      </c>
      <c r="C98" s="154" t="s">
        <v>234</v>
      </c>
      <c r="D98" s="268"/>
      <c r="E98" s="154"/>
      <c r="F98" s="268"/>
      <c r="G98" s="154"/>
      <c r="H98" s="268">
        <f t="shared" si="20"/>
        <v>0</v>
      </c>
      <c r="I98" s="154"/>
      <c r="J98" s="299"/>
      <c r="K98" s="154"/>
      <c r="L98" s="268"/>
      <c r="M98" s="154"/>
      <c r="N98" s="268">
        <f t="shared" si="21"/>
        <v>0</v>
      </c>
      <c r="O98" s="154"/>
      <c r="P98" s="154"/>
      <c r="Q98" s="154"/>
      <c r="R98" s="154"/>
      <c r="S98" s="154"/>
    </row>
    <row r="99" spans="2:19" x14ac:dyDescent="0.35">
      <c r="B99" s="154" t="s">
        <v>1004</v>
      </c>
      <c r="C99" s="154" t="s">
        <v>235</v>
      </c>
      <c r="D99" s="268"/>
      <c r="E99" s="154"/>
      <c r="F99" s="268"/>
      <c r="G99" s="154"/>
      <c r="H99" s="268">
        <f t="shared" si="20"/>
        <v>0</v>
      </c>
      <c r="I99" s="154"/>
      <c r="J99" s="299"/>
      <c r="K99" s="154"/>
      <c r="L99" s="268"/>
      <c r="M99" s="154"/>
      <c r="N99" s="268">
        <f t="shared" si="21"/>
        <v>0</v>
      </c>
      <c r="O99" s="154"/>
      <c r="P99" s="154"/>
      <c r="Q99" s="154"/>
      <c r="R99" s="154"/>
      <c r="S99" s="154"/>
    </row>
    <row r="100" spans="2:19" x14ac:dyDescent="0.35">
      <c r="B100" s="154" t="s">
        <v>1005</v>
      </c>
      <c r="C100" s="154" t="s">
        <v>236</v>
      </c>
      <c r="D100" s="268"/>
      <c r="E100" s="154"/>
      <c r="F100" s="268"/>
      <c r="G100" s="154"/>
      <c r="H100" s="268">
        <f t="shared" si="20"/>
        <v>0</v>
      </c>
      <c r="I100" s="154"/>
      <c r="J100" s="299"/>
      <c r="K100" s="154"/>
      <c r="L100" s="268"/>
      <c r="M100" s="154"/>
      <c r="N100" s="268">
        <f t="shared" si="21"/>
        <v>0</v>
      </c>
      <c r="O100" s="154"/>
      <c r="P100" s="154"/>
      <c r="Q100" s="154"/>
      <c r="R100" s="154"/>
      <c r="S100" s="154"/>
    </row>
    <row r="101" spans="2:19" x14ac:dyDescent="0.35">
      <c r="B101" s="154" t="s">
        <v>1006</v>
      </c>
      <c r="C101" s="154" t="s">
        <v>237</v>
      </c>
      <c r="D101" s="268"/>
      <c r="E101" s="154"/>
      <c r="F101" s="268"/>
      <c r="G101" s="154"/>
      <c r="H101" s="268">
        <f t="shared" si="20"/>
        <v>0</v>
      </c>
      <c r="I101" s="154"/>
      <c r="J101" s="299"/>
      <c r="K101" s="154"/>
      <c r="L101" s="268"/>
      <c r="M101" s="154"/>
      <c r="N101" s="268">
        <f t="shared" si="21"/>
        <v>0</v>
      </c>
      <c r="O101" s="154"/>
      <c r="P101" s="154"/>
      <c r="Q101" s="154"/>
      <c r="R101" s="154"/>
      <c r="S101" s="154"/>
    </row>
    <row r="102" spans="2:19" x14ac:dyDescent="0.35">
      <c r="B102" s="154" t="s">
        <v>1007</v>
      </c>
      <c r="C102" s="154" t="s">
        <v>239</v>
      </c>
      <c r="D102" s="268"/>
      <c r="E102" s="154"/>
      <c r="F102" s="268"/>
      <c r="G102" s="154"/>
      <c r="H102" s="268">
        <f t="shared" si="20"/>
        <v>0</v>
      </c>
      <c r="I102" s="154"/>
      <c r="J102" s="299"/>
      <c r="K102" s="154"/>
      <c r="L102" s="268"/>
      <c r="M102" s="154"/>
      <c r="N102" s="268">
        <f t="shared" si="21"/>
        <v>0</v>
      </c>
      <c r="O102" s="154"/>
      <c r="P102" s="154"/>
      <c r="Q102" s="154"/>
      <c r="R102" s="154"/>
      <c r="S102" s="154"/>
    </row>
    <row r="103" spans="2:19" x14ac:dyDescent="0.35">
      <c r="B103" s="154" t="s">
        <v>1008</v>
      </c>
      <c r="C103" s="154" t="s">
        <v>241</v>
      </c>
      <c r="D103" s="268"/>
      <c r="E103" s="154"/>
      <c r="F103" s="268"/>
      <c r="G103" s="154"/>
      <c r="H103" s="268">
        <f t="shared" si="20"/>
        <v>0</v>
      </c>
      <c r="I103" s="154"/>
      <c r="J103" s="299"/>
      <c r="K103" s="154"/>
      <c r="L103" s="268"/>
      <c r="M103" s="154"/>
      <c r="N103" s="268">
        <f t="shared" si="21"/>
        <v>0</v>
      </c>
      <c r="O103" s="154"/>
      <c r="P103" s="154"/>
      <c r="Q103" s="154"/>
      <c r="R103" s="154"/>
      <c r="S103" s="154"/>
    </row>
    <row r="104" spans="2:19" x14ac:dyDescent="0.35">
      <c r="B104" s="154" t="s">
        <v>1009</v>
      </c>
      <c r="C104" s="154" t="s">
        <v>242</v>
      </c>
      <c r="D104" s="268"/>
      <c r="E104" s="154"/>
      <c r="F104" s="268"/>
      <c r="G104" s="154"/>
      <c r="H104" s="268">
        <f t="shared" si="20"/>
        <v>0</v>
      </c>
      <c r="I104" s="154"/>
      <c r="J104" s="299"/>
      <c r="K104" s="154"/>
      <c r="L104" s="268"/>
      <c r="M104" s="154"/>
      <c r="N104" s="268">
        <f t="shared" si="21"/>
        <v>0</v>
      </c>
      <c r="O104" s="154"/>
      <c r="P104" s="154"/>
      <c r="Q104" s="154"/>
      <c r="R104" s="154"/>
      <c r="S104" s="154"/>
    </row>
    <row r="105" spans="2:19" x14ac:dyDescent="0.35">
      <c r="B105" s="224" t="s">
        <v>1010</v>
      </c>
      <c r="C105" s="224" t="s">
        <v>243</v>
      </c>
      <c r="D105" s="267">
        <f>SUM(D106:D117)</f>
        <v>0</v>
      </c>
      <c r="E105" s="267">
        <f t="shared" ref="E105:N105" si="22">SUM(E106:E117)</f>
        <v>0</v>
      </c>
      <c r="F105" s="267">
        <f t="shared" si="22"/>
        <v>0</v>
      </c>
      <c r="G105" s="267">
        <f t="shared" si="22"/>
        <v>0</v>
      </c>
      <c r="H105" s="267">
        <f t="shared" si="22"/>
        <v>0</v>
      </c>
      <c r="I105" s="267">
        <f t="shared" si="22"/>
        <v>0</v>
      </c>
      <c r="J105" s="267">
        <f t="shared" si="22"/>
        <v>0</v>
      </c>
      <c r="K105" s="267">
        <f t="shared" si="22"/>
        <v>0</v>
      </c>
      <c r="L105" s="267">
        <f t="shared" si="22"/>
        <v>0</v>
      </c>
      <c r="M105" s="267">
        <f t="shared" si="22"/>
        <v>0</v>
      </c>
      <c r="N105" s="267">
        <f t="shared" si="22"/>
        <v>0</v>
      </c>
      <c r="O105" s="224"/>
      <c r="P105" s="224"/>
      <c r="Q105" s="224"/>
      <c r="R105" s="224"/>
      <c r="S105" s="224"/>
    </row>
    <row r="106" spans="2:19" x14ac:dyDescent="0.35">
      <c r="B106" s="154" t="s">
        <v>1011</v>
      </c>
      <c r="C106" s="154" t="s">
        <v>244</v>
      </c>
      <c r="D106" s="268"/>
      <c r="E106" s="154"/>
      <c r="F106" s="268"/>
      <c r="G106" s="154"/>
      <c r="H106" s="268">
        <f t="shared" si="20"/>
        <v>0</v>
      </c>
      <c r="I106" s="154"/>
      <c r="J106" s="299"/>
      <c r="K106" s="154"/>
      <c r="L106" s="268"/>
      <c r="M106" s="154"/>
      <c r="N106" s="268">
        <f t="shared" si="21"/>
        <v>0</v>
      </c>
      <c r="O106" s="154"/>
      <c r="P106" s="154"/>
      <c r="Q106" s="154"/>
      <c r="R106" s="154"/>
      <c r="S106" s="154"/>
    </row>
    <row r="107" spans="2:19" x14ac:dyDescent="0.35">
      <c r="B107" s="154" t="s">
        <v>1012</v>
      </c>
      <c r="C107" s="154" t="s">
        <v>245</v>
      </c>
      <c r="D107" s="268"/>
      <c r="E107" s="154"/>
      <c r="F107" s="268"/>
      <c r="G107" s="154"/>
      <c r="H107" s="268">
        <f t="shared" si="20"/>
        <v>0</v>
      </c>
      <c r="I107" s="154"/>
      <c r="J107" s="299"/>
      <c r="K107" s="154"/>
      <c r="L107" s="268"/>
      <c r="M107" s="154"/>
      <c r="N107" s="268">
        <f t="shared" si="21"/>
        <v>0</v>
      </c>
      <c r="O107" s="154"/>
      <c r="P107" s="154"/>
      <c r="Q107" s="154"/>
      <c r="R107" s="154"/>
      <c r="S107" s="154"/>
    </row>
    <row r="108" spans="2:19" x14ac:dyDescent="0.35">
      <c r="B108" s="154" t="s">
        <v>1013</v>
      </c>
      <c r="C108" s="154" t="s">
        <v>246</v>
      </c>
      <c r="D108" s="268"/>
      <c r="E108" s="154"/>
      <c r="F108" s="268"/>
      <c r="G108" s="154"/>
      <c r="H108" s="268">
        <f t="shared" si="20"/>
        <v>0</v>
      </c>
      <c r="I108" s="154"/>
      <c r="J108" s="299"/>
      <c r="K108" s="154"/>
      <c r="L108" s="268"/>
      <c r="M108" s="154"/>
      <c r="N108" s="268">
        <f t="shared" si="21"/>
        <v>0</v>
      </c>
      <c r="O108" s="154"/>
      <c r="P108" s="154"/>
      <c r="Q108" s="154"/>
      <c r="R108" s="154"/>
      <c r="S108" s="154"/>
    </row>
    <row r="109" spans="2:19" x14ac:dyDescent="0.35">
      <c r="B109" s="154" t="s">
        <v>1014</v>
      </c>
      <c r="C109" s="154" t="s">
        <v>247</v>
      </c>
      <c r="D109" s="268"/>
      <c r="E109" s="154"/>
      <c r="F109" s="268"/>
      <c r="G109" s="154"/>
      <c r="H109" s="268">
        <f t="shared" si="20"/>
        <v>0</v>
      </c>
      <c r="I109" s="154"/>
      <c r="J109" s="299"/>
      <c r="K109" s="154"/>
      <c r="L109" s="268"/>
      <c r="M109" s="154"/>
      <c r="N109" s="268">
        <f t="shared" si="21"/>
        <v>0</v>
      </c>
      <c r="O109" s="154"/>
      <c r="P109" s="154"/>
      <c r="Q109" s="154"/>
      <c r="R109" s="154"/>
      <c r="S109" s="154"/>
    </row>
    <row r="110" spans="2:19" x14ac:dyDescent="0.35">
      <c r="B110" s="154" t="s">
        <v>1015</v>
      </c>
      <c r="C110" s="154" t="s">
        <v>248</v>
      </c>
      <c r="D110" s="268"/>
      <c r="E110" s="154"/>
      <c r="F110" s="268"/>
      <c r="G110" s="154"/>
      <c r="H110" s="268">
        <f t="shared" si="20"/>
        <v>0</v>
      </c>
      <c r="I110" s="154"/>
      <c r="J110" s="299"/>
      <c r="K110" s="154"/>
      <c r="L110" s="268"/>
      <c r="M110" s="154"/>
      <c r="N110" s="268">
        <f t="shared" si="21"/>
        <v>0</v>
      </c>
      <c r="O110" s="154"/>
      <c r="P110" s="154"/>
      <c r="Q110" s="154"/>
      <c r="R110" s="154"/>
      <c r="S110" s="154"/>
    </row>
    <row r="111" spans="2:19" x14ac:dyDescent="0.35">
      <c r="B111" s="154" t="s">
        <v>1016</v>
      </c>
      <c r="C111" s="154" t="s">
        <v>249</v>
      </c>
      <c r="D111" s="268"/>
      <c r="E111" s="154"/>
      <c r="F111" s="268"/>
      <c r="G111" s="154"/>
      <c r="H111" s="268">
        <f t="shared" si="20"/>
        <v>0</v>
      </c>
      <c r="I111" s="154"/>
      <c r="J111" s="299"/>
      <c r="K111" s="154"/>
      <c r="L111" s="268"/>
      <c r="M111" s="154"/>
      <c r="N111" s="268">
        <f t="shared" si="21"/>
        <v>0</v>
      </c>
      <c r="O111" s="154"/>
      <c r="P111" s="154"/>
      <c r="Q111" s="154"/>
      <c r="R111" s="154"/>
      <c r="S111" s="154"/>
    </row>
    <row r="112" spans="2:19" x14ac:dyDescent="0.35">
      <c r="B112" s="154" t="s">
        <v>1017</v>
      </c>
      <c r="C112" s="154" t="s">
        <v>250</v>
      </c>
      <c r="D112" s="268"/>
      <c r="E112" s="154"/>
      <c r="F112" s="268"/>
      <c r="G112" s="154"/>
      <c r="H112" s="268">
        <f t="shared" si="20"/>
        <v>0</v>
      </c>
      <c r="I112" s="154"/>
      <c r="J112" s="299"/>
      <c r="K112" s="154"/>
      <c r="L112" s="268"/>
      <c r="M112" s="154"/>
      <c r="N112" s="268">
        <f t="shared" si="21"/>
        <v>0</v>
      </c>
      <c r="O112" s="154"/>
      <c r="P112" s="154"/>
      <c r="Q112" s="154"/>
      <c r="R112" s="154"/>
      <c r="S112" s="154"/>
    </row>
    <row r="113" spans="2:19" x14ac:dyDescent="0.35">
      <c r="B113" s="154" t="s">
        <v>1018</v>
      </c>
      <c r="C113" s="154" t="s">
        <v>251</v>
      </c>
      <c r="D113" s="268"/>
      <c r="E113" s="154"/>
      <c r="F113" s="268"/>
      <c r="G113" s="154"/>
      <c r="H113" s="268">
        <f t="shared" si="20"/>
        <v>0</v>
      </c>
      <c r="I113" s="154"/>
      <c r="J113" s="299"/>
      <c r="K113" s="154"/>
      <c r="L113" s="268"/>
      <c r="M113" s="154"/>
      <c r="N113" s="268">
        <f t="shared" si="21"/>
        <v>0</v>
      </c>
      <c r="O113" s="154"/>
      <c r="P113" s="154"/>
      <c r="Q113" s="154"/>
      <c r="R113" s="154"/>
      <c r="S113" s="154"/>
    </row>
    <row r="114" spans="2:19" x14ac:dyDescent="0.35">
      <c r="B114" s="154" t="s">
        <v>1019</v>
      </c>
      <c r="C114" s="154" t="s">
        <v>252</v>
      </c>
      <c r="D114" s="268"/>
      <c r="E114" s="154"/>
      <c r="F114" s="268"/>
      <c r="G114" s="154"/>
      <c r="H114" s="268">
        <f t="shared" si="20"/>
        <v>0</v>
      </c>
      <c r="I114" s="154"/>
      <c r="J114" s="299"/>
      <c r="K114" s="154"/>
      <c r="L114" s="268"/>
      <c r="M114" s="154"/>
      <c r="N114" s="268">
        <f t="shared" si="21"/>
        <v>0</v>
      </c>
      <c r="O114" s="154"/>
      <c r="P114" s="154"/>
      <c r="Q114" s="154"/>
      <c r="R114" s="154"/>
      <c r="S114" s="154"/>
    </row>
    <row r="115" spans="2:19" x14ac:dyDescent="0.35">
      <c r="B115" s="154" t="s">
        <v>1020</v>
      </c>
      <c r="C115" s="154" t="s">
        <v>915</v>
      </c>
      <c r="D115" s="268"/>
      <c r="E115" s="154"/>
      <c r="F115" s="268"/>
      <c r="G115" s="154"/>
      <c r="H115" s="268">
        <f t="shared" si="20"/>
        <v>0</v>
      </c>
      <c r="I115" s="154"/>
      <c r="J115" s="299"/>
      <c r="K115" s="154"/>
      <c r="L115" s="268"/>
      <c r="M115" s="154"/>
      <c r="N115" s="268">
        <f t="shared" si="21"/>
        <v>0</v>
      </c>
      <c r="O115" s="154"/>
      <c r="P115" s="154"/>
      <c r="Q115" s="154"/>
      <c r="R115" s="154"/>
      <c r="S115" s="154"/>
    </row>
    <row r="116" spans="2:19" x14ac:dyDescent="0.35">
      <c r="B116" s="154" t="s">
        <v>1021</v>
      </c>
      <c r="C116" s="154" t="s">
        <v>253</v>
      </c>
      <c r="D116" s="268"/>
      <c r="E116" s="154"/>
      <c r="F116" s="268"/>
      <c r="G116" s="154"/>
      <c r="H116" s="268">
        <f t="shared" si="20"/>
        <v>0</v>
      </c>
      <c r="I116" s="154"/>
      <c r="J116" s="299"/>
      <c r="K116" s="154"/>
      <c r="L116" s="268"/>
      <c r="M116" s="154"/>
      <c r="N116" s="268">
        <f t="shared" si="21"/>
        <v>0</v>
      </c>
      <c r="O116" s="154"/>
      <c r="P116" s="154"/>
      <c r="Q116" s="154"/>
      <c r="R116" s="154"/>
      <c r="S116" s="154"/>
    </row>
    <row r="117" spans="2:19" x14ac:dyDescent="0.35">
      <c r="B117" s="154" t="s">
        <v>1022</v>
      </c>
      <c r="C117" s="154" t="s">
        <v>254</v>
      </c>
      <c r="D117" s="268"/>
      <c r="E117" s="154"/>
      <c r="F117" s="268"/>
      <c r="G117" s="154"/>
      <c r="H117" s="268">
        <f t="shared" si="20"/>
        <v>0</v>
      </c>
      <c r="I117" s="154"/>
      <c r="J117" s="299"/>
      <c r="K117" s="154"/>
      <c r="L117" s="268"/>
      <c r="M117" s="154"/>
      <c r="N117" s="268">
        <f t="shared" si="21"/>
        <v>0</v>
      </c>
      <c r="O117" s="154"/>
      <c r="P117" s="154"/>
      <c r="Q117" s="154"/>
      <c r="R117" s="154"/>
      <c r="S117" s="154"/>
    </row>
    <row r="118" spans="2:19" x14ac:dyDescent="0.35">
      <c r="B118" s="223" t="s">
        <v>1023</v>
      </c>
      <c r="C118" s="223" t="s">
        <v>255</v>
      </c>
      <c r="D118" s="266"/>
      <c r="E118" s="223"/>
      <c r="F118" s="266"/>
      <c r="G118" s="223"/>
      <c r="H118" s="266"/>
      <c r="I118" s="223"/>
      <c r="J118" s="297">
        <v>0</v>
      </c>
      <c r="K118" s="223"/>
      <c r="L118" s="266"/>
      <c r="M118" s="223"/>
      <c r="N118" s="266"/>
      <c r="O118" s="223"/>
      <c r="P118" s="223"/>
      <c r="Q118" s="223"/>
      <c r="R118" s="223"/>
      <c r="S118" s="223"/>
    </row>
    <row r="119" spans="2:19" x14ac:dyDescent="0.35">
      <c r="B119" s="224" t="s">
        <v>1024</v>
      </c>
      <c r="C119" s="224" t="s">
        <v>534</v>
      </c>
      <c r="D119" s="267">
        <f>SUM(D120:D131)</f>
        <v>0</v>
      </c>
      <c r="E119" s="267">
        <f t="shared" ref="E119:N119" si="23">SUM(E120:E131)</f>
        <v>0</v>
      </c>
      <c r="F119" s="267">
        <f t="shared" si="23"/>
        <v>0</v>
      </c>
      <c r="G119" s="267">
        <f t="shared" si="23"/>
        <v>0</v>
      </c>
      <c r="H119" s="267">
        <f t="shared" si="23"/>
        <v>0</v>
      </c>
      <c r="I119" s="267">
        <f t="shared" si="23"/>
        <v>0</v>
      </c>
      <c r="J119" s="267">
        <f t="shared" si="23"/>
        <v>0</v>
      </c>
      <c r="K119" s="267">
        <f t="shared" si="23"/>
        <v>0</v>
      </c>
      <c r="L119" s="267">
        <f t="shared" si="23"/>
        <v>0</v>
      </c>
      <c r="M119" s="267">
        <f t="shared" si="23"/>
        <v>0</v>
      </c>
      <c r="N119" s="267">
        <f t="shared" si="23"/>
        <v>0</v>
      </c>
      <c r="O119" s="224"/>
      <c r="P119" s="224"/>
      <c r="Q119" s="224"/>
      <c r="R119" s="224"/>
      <c r="S119" s="224"/>
    </row>
    <row r="120" spans="2:19" x14ac:dyDescent="0.35">
      <c r="B120" s="154" t="s">
        <v>1025</v>
      </c>
      <c r="C120" s="154" t="s">
        <v>535</v>
      </c>
      <c r="D120" s="268"/>
      <c r="E120" s="154"/>
      <c r="F120" s="268"/>
      <c r="G120" s="154"/>
      <c r="H120" s="268">
        <f t="shared" ref="H120:H131" si="24">D120-F120</f>
        <v>0</v>
      </c>
      <c r="I120" s="154"/>
      <c r="J120" s="299"/>
      <c r="K120" s="154"/>
      <c r="L120" s="268"/>
      <c r="M120" s="154"/>
      <c r="N120" s="268">
        <f t="shared" ref="N120:N131" si="25">J120-L120</f>
        <v>0</v>
      </c>
      <c r="O120" s="154"/>
      <c r="P120" s="154"/>
      <c r="Q120" s="154"/>
      <c r="R120" s="154"/>
      <c r="S120" s="154"/>
    </row>
    <row r="121" spans="2:19" x14ac:dyDescent="0.35">
      <c r="B121" s="154" t="s">
        <v>1026</v>
      </c>
      <c r="C121" s="154" t="s">
        <v>536</v>
      </c>
      <c r="D121" s="268"/>
      <c r="E121" s="154"/>
      <c r="F121" s="268"/>
      <c r="G121" s="154"/>
      <c r="H121" s="268">
        <f t="shared" si="24"/>
        <v>0</v>
      </c>
      <c r="I121" s="154"/>
      <c r="J121" s="299"/>
      <c r="K121" s="154"/>
      <c r="L121" s="268"/>
      <c r="M121" s="154"/>
      <c r="N121" s="268">
        <f t="shared" si="25"/>
        <v>0</v>
      </c>
      <c r="O121" s="154"/>
      <c r="P121" s="154"/>
      <c r="Q121" s="154"/>
      <c r="R121" s="154"/>
      <c r="S121" s="154"/>
    </row>
    <row r="122" spans="2:19" x14ac:dyDescent="0.35">
      <c r="B122" s="154" t="s">
        <v>1027</v>
      </c>
      <c r="C122" s="154" t="s">
        <v>537</v>
      </c>
      <c r="D122" s="268"/>
      <c r="E122" s="154"/>
      <c r="F122" s="268"/>
      <c r="G122" s="154"/>
      <c r="H122" s="268">
        <f t="shared" si="24"/>
        <v>0</v>
      </c>
      <c r="I122" s="154"/>
      <c r="J122" s="299"/>
      <c r="K122" s="154"/>
      <c r="L122" s="268"/>
      <c r="M122" s="154"/>
      <c r="N122" s="268">
        <f t="shared" si="25"/>
        <v>0</v>
      </c>
      <c r="O122" s="154"/>
      <c r="P122" s="154"/>
      <c r="Q122" s="154"/>
      <c r="R122" s="154"/>
      <c r="S122" s="154"/>
    </row>
    <row r="123" spans="2:19" x14ac:dyDescent="0.35">
      <c r="B123" s="154" t="s">
        <v>1028</v>
      </c>
      <c r="C123" s="154" t="s">
        <v>538</v>
      </c>
      <c r="D123" s="268"/>
      <c r="E123" s="154"/>
      <c r="F123" s="268"/>
      <c r="G123" s="154"/>
      <c r="H123" s="268">
        <f t="shared" si="24"/>
        <v>0</v>
      </c>
      <c r="I123" s="154"/>
      <c r="J123" s="299"/>
      <c r="K123" s="154"/>
      <c r="L123" s="268"/>
      <c r="M123" s="154"/>
      <c r="N123" s="268">
        <f t="shared" si="25"/>
        <v>0</v>
      </c>
      <c r="O123" s="154"/>
      <c r="P123" s="154"/>
      <c r="Q123" s="154"/>
      <c r="R123" s="154"/>
      <c r="S123" s="154"/>
    </row>
    <row r="124" spans="2:19" x14ac:dyDescent="0.35">
      <c r="B124" s="154" t="s">
        <v>1029</v>
      </c>
      <c r="C124" s="154" t="s">
        <v>539</v>
      </c>
      <c r="D124" s="268"/>
      <c r="E124" s="154"/>
      <c r="F124" s="268"/>
      <c r="G124" s="154"/>
      <c r="H124" s="268">
        <f t="shared" si="24"/>
        <v>0</v>
      </c>
      <c r="I124" s="154"/>
      <c r="J124" s="299"/>
      <c r="K124" s="154"/>
      <c r="L124" s="268"/>
      <c r="M124" s="154"/>
      <c r="N124" s="268">
        <f t="shared" si="25"/>
        <v>0</v>
      </c>
      <c r="O124" s="154"/>
      <c r="P124" s="154"/>
      <c r="Q124" s="154"/>
      <c r="R124" s="154"/>
      <c r="S124" s="154"/>
    </row>
    <row r="125" spans="2:19" x14ac:dyDescent="0.35">
      <c r="B125" s="154" t="s">
        <v>1030</v>
      </c>
      <c r="C125" s="154" t="s">
        <v>540</v>
      </c>
      <c r="D125" s="268"/>
      <c r="E125" s="154"/>
      <c r="F125" s="268"/>
      <c r="G125" s="154"/>
      <c r="H125" s="268">
        <f t="shared" si="24"/>
        <v>0</v>
      </c>
      <c r="I125" s="154"/>
      <c r="J125" s="299"/>
      <c r="K125" s="154"/>
      <c r="L125" s="268"/>
      <c r="M125" s="154"/>
      <c r="N125" s="268">
        <f t="shared" si="25"/>
        <v>0</v>
      </c>
      <c r="O125" s="154"/>
      <c r="P125" s="154"/>
      <c r="Q125" s="154"/>
      <c r="R125" s="154"/>
      <c r="S125" s="154"/>
    </row>
    <row r="126" spans="2:19" x14ac:dyDescent="0.35">
      <c r="B126" s="154" t="s">
        <v>1031</v>
      </c>
      <c r="C126" s="154" t="s">
        <v>541</v>
      </c>
      <c r="D126" s="268"/>
      <c r="E126" s="154"/>
      <c r="F126" s="268"/>
      <c r="G126" s="154"/>
      <c r="H126" s="268">
        <f t="shared" si="24"/>
        <v>0</v>
      </c>
      <c r="I126" s="154"/>
      <c r="J126" s="299"/>
      <c r="K126" s="154"/>
      <c r="L126" s="268"/>
      <c r="M126" s="154"/>
      <c r="N126" s="268">
        <f t="shared" si="25"/>
        <v>0</v>
      </c>
      <c r="O126" s="154"/>
      <c r="P126" s="154"/>
      <c r="Q126" s="154"/>
      <c r="R126" s="154"/>
      <c r="S126" s="154"/>
    </row>
    <row r="127" spans="2:19" x14ac:dyDescent="0.35">
      <c r="B127" s="154" t="s">
        <v>1032</v>
      </c>
      <c r="C127" s="154" t="s">
        <v>542</v>
      </c>
      <c r="D127" s="268"/>
      <c r="E127" s="154"/>
      <c r="F127" s="268"/>
      <c r="G127" s="154"/>
      <c r="H127" s="268">
        <f t="shared" si="24"/>
        <v>0</v>
      </c>
      <c r="I127" s="154"/>
      <c r="J127" s="299"/>
      <c r="K127" s="154"/>
      <c r="L127" s="268"/>
      <c r="M127" s="154"/>
      <c r="N127" s="268">
        <f t="shared" si="25"/>
        <v>0</v>
      </c>
      <c r="O127" s="154"/>
      <c r="P127" s="154"/>
      <c r="Q127" s="154"/>
      <c r="R127" s="154"/>
      <c r="S127" s="154"/>
    </row>
    <row r="128" spans="2:19" x14ac:dyDescent="0.35">
      <c r="B128" s="154" t="s">
        <v>1033</v>
      </c>
      <c r="C128" s="154" t="s">
        <v>543</v>
      </c>
      <c r="D128" s="268"/>
      <c r="E128" s="154"/>
      <c r="F128" s="268"/>
      <c r="G128" s="154"/>
      <c r="H128" s="268">
        <f t="shared" si="24"/>
        <v>0</v>
      </c>
      <c r="I128" s="154"/>
      <c r="J128" s="299"/>
      <c r="K128" s="154"/>
      <c r="L128" s="268"/>
      <c r="M128" s="154"/>
      <c r="N128" s="268">
        <f t="shared" si="25"/>
        <v>0</v>
      </c>
      <c r="O128" s="154"/>
      <c r="P128" s="154"/>
      <c r="Q128" s="154"/>
      <c r="R128" s="154"/>
      <c r="S128" s="154"/>
    </row>
    <row r="129" spans="2:19" x14ac:dyDescent="0.35">
      <c r="B129" s="154" t="s">
        <v>1034</v>
      </c>
      <c r="C129" s="154" t="s">
        <v>916</v>
      </c>
      <c r="D129" s="268"/>
      <c r="E129" s="154"/>
      <c r="F129" s="268"/>
      <c r="G129" s="154"/>
      <c r="H129" s="268">
        <f t="shared" si="24"/>
        <v>0</v>
      </c>
      <c r="I129" s="154"/>
      <c r="J129" s="299"/>
      <c r="K129" s="154"/>
      <c r="L129" s="268"/>
      <c r="M129" s="154"/>
      <c r="N129" s="268">
        <f t="shared" si="25"/>
        <v>0</v>
      </c>
      <c r="O129" s="154"/>
      <c r="P129" s="154"/>
      <c r="Q129" s="154"/>
      <c r="R129" s="154"/>
      <c r="S129" s="154"/>
    </row>
    <row r="130" spans="2:19" x14ac:dyDescent="0.35">
      <c r="B130" s="154" t="s">
        <v>1035</v>
      </c>
      <c r="C130" s="154" t="s">
        <v>544</v>
      </c>
      <c r="D130" s="268"/>
      <c r="E130" s="154"/>
      <c r="F130" s="268"/>
      <c r="G130" s="154"/>
      <c r="H130" s="268">
        <f t="shared" si="24"/>
        <v>0</v>
      </c>
      <c r="I130" s="154"/>
      <c r="J130" s="299"/>
      <c r="K130" s="154"/>
      <c r="L130" s="268"/>
      <c r="M130" s="154"/>
      <c r="N130" s="268">
        <f t="shared" si="25"/>
        <v>0</v>
      </c>
      <c r="O130" s="154"/>
      <c r="P130" s="154"/>
      <c r="Q130" s="154"/>
      <c r="R130" s="154"/>
      <c r="S130" s="154"/>
    </row>
    <row r="131" spans="2:19" x14ac:dyDescent="0.35">
      <c r="B131" s="154" t="s">
        <v>1036</v>
      </c>
      <c r="C131" s="154" t="s">
        <v>545</v>
      </c>
      <c r="D131" s="268"/>
      <c r="E131" s="154"/>
      <c r="F131" s="268"/>
      <c r="G131" s="154"/>
      <c r="H131" s="268">
        <f t="shared" si="24"/>
        <v>0</v>
      </c>
      <c r="I131" s="154"/>
      <c r="J131" s="299"/>
      <c r="K131" s="154"/>
      <c r="L131" s="268"/>
      <c r="M131" s="154"/>
      <c r="N131" s="268">
        <f t="shared" si="25"/>
        <v>0</v>
      </c>
      <c r="O131" s="154"/>
      <c r="P131" s="154"/>
      <c r="Q131" s="154"/>
      <c r="R131" s="154"/>
      <c r="S131" s="154"/>
    </row>
    <row r="132" spans="2:19" hidden="1" x14ac:dyDescent="0.35">
      <c r="B132" s="224" t="s">
        <v>1037</v>
      </c>
      <c r="C132" s="224" t="s">
        <v>256</v>
      </c>
      <c r="D132" s="267"/>
      <c r="E132" s="224"/>
      <c r="F132" s="267"/>
      <c r="G132" s="224"/>
      <c r="H132" s="268"/>
      <c r="I132" s="224"/>
      <c r="J132" s="298">
        <v>0</v>
      </c>
      <c r="K132" s="224"/>
      <c r="L132" s="267"/>
      <c r="M132" s="224"/>
      <c r="N132" s="267"/>
      <c r="O132" s="224"/>
      <c r="P132" s="224"/>
      <c r="Q132" s="224"/>
      <c r="R132" s="224"/>
      <c r="S132" s="224"/>
    </row>
    <row r="133" spans="2:19" hidden="1" x14ac:dyDescent="0.35">
      <c r="B133" s="154" t="s">
        <v>1038</v>
      </c>
      <c r="C133" s="154" t="s">
        <v>257</v>
      </c>
      <c r="D133" s="268"/>
      <c r="E133" s="154"/>
      <c r="F133" s="268"/>
      <c r="G133" s="154"/>
      <c r="H133" s="268"/>
      <c r="I133" s="154"/>
      <c r="J133" s="299">
        <v>0</v>
      </c>
      <c r="K133" s="154"/>
      <c r="L133" s="268"/>
      <c r="M133" s="154"/>
      <c r="N133" s="268"/>
      <c r="O133" s="154"/>
      <c r="P133" s="154"/>
      <c r="Q133" s="154"/>
      <c r="R133" s="154"/>
      <c r="S133" s="154"/>
    </row>
    <row r="134" spans="2:19" hidden="1" x14ac:dyDescent="0.35">
      <c r="B134" s="154" t="s">
        <v>1039</v>
      </c>
      <c r="C134" s="154" t="s">
        <v>258</v>
      </c>
      <c r="D134" s="268"/>
      <c r="E134" s="154"/>
      <c r="F134" s="268"/>
      <c r="G134" s="154"/>
      <c r="H134" s="268"/>
      <c r="I134" s="154"/>
      <c r="J134" s="299">
        <v>0</v>
      </c>
      <c r="K134" s="154"/>
      <c r="L134" s="268"/>
      <c r="M134" s="154"/>
      <c r="N134" s="268"/>
      <c r="O134" s="154"/>
      <c r="P134" s="154"/>
      <c r="Q134" s="154"/>
      <c r="R134" s="154"/>
      <c r="S134" s="154"/>
    </row>
    <row r="135" spans="2:19" hidden="1" x14ac:dyDescent="0.35">
      <c r="B135" s="154" t="s">
        <v>1040</v>
      </c>
      <c r="C135" s="154" t="s">
        <v>259</v>
      </c>
      <c r="D135" s="268"/>
      <c r="E135" s="154"/>
      <c r="F135" s="268"/>
      <c r="G135" s="154"/>
      <c r="H135" s="268"/>
      <c r="I135" s="154"/>
      <c r="J135" s="299">
        <v>0</v>
      </c>
      <c r="K135" s="154"/>
      <c r="L135" s="268"/>
      <c r="M135" s="154"/>
      <c r="N135" s="268"/>
      <c r="O135" s="154"/>
      <c r="P135" s="154"/>
      <c r="Q135" s="154"/>
      <c r="R135" s="154"/>
      <c r="S135" s="154"/>
    </row>
    <row r="136" spans="2:19" hidden="1" x14ac:dyDescent="0.35">
      <c r="B136" s="154" t="s">
        <v>1041</v>
      </c>
      <c r="C136" s="154" t="s">
        <v>260</v>
      </c>
      <c r="D136" s="268"/>
      <c r="E136" s="154"/>
      <c r="F136" s="268"/>
      <c r="G136" s="154"/>
      <c r="H136" s="268"/>
      <c r="I136" s="154"/>
      <c r="J136" s="299">
        <v>0</v>
      </c>
      <c r="K136" s="154"/>
      <c r="L136" s="268"/>
      <c r="M136" s="154"/>
      <c r="N136" s="268"/>
      <c r="O136" s="154"/>
      <c r="P136" s="154"/>
      <c r="Q136" s="154"/>
      <c r="R136" s="154"/>
      <c r="S136" s="154"/>
    </row>
    <row r="137" spans="2:19" hidden="1" x14ac:dyDescent="0.35">
      <c r="B137" s="154" t="s">
        <v>1042</v>
      </c>
      <c r="C137" s="154" t="s">
        <v>261</v>
      </c>
      <c r="D137" s="268"/>
      <c r="E137" s="154"/>
      <c r="F137" s="268"/>
      <c r="G137" s="154"/>
      <c r="H137" s="268"/>
      <c r="I137" s="154"/>
      <c r="J137" s="299">
        <v>0</v>
      </c>
      <c r="K137" s="154"/>
      <c r="L137" s="268"/>
      <c r="M137" s="154"/>
      <c r="N137" s="268"/>
      <c r="O137" s="154"/>
      <c r="P137" s="154"/>
      <c r="Q137" s="154"/>
      <c r="R137" s="154"/>
      <c r="S137" s="154"/>
    </row>
    <row r="138" spans="2:19" hidden="1" x14ac:dyDescent="0.35">
      <c r="B138" s="154" t="s">
        <v>1043</v>
      </c>
      <c r="C138" s="154" t="s">
        <v>262</v>
      </c>
      <c r="D138" s="268"/>
      <c r="E138" s="154"/>
      <c r="F138" s="268"/>
      <c r="G138" s="154"/>
      <c r="H138" s="268"/>
      <c r="I138" s="154"/>
      <c r="J138" s="299">
        <v>0</v>
      </c>
      <c r="K138" s="154"/>
      <c r="L138" s="268"/>
      <c r="M138" s="154"/>
      <c r="N138" s="268"/>
      <c r="O138" s="154"/>
      <c r="P138" s="154"/>
      <c r="Q138" s="154"/>
      <c r="R138" s="154"/>
      <c r="S138" s="154"/>
    </row>
    <row r="139" spans="2:19" hidden="1" x14ac:dyDescent="0.35">
      <c r="B139" s="154" t="s">
        <v>1044</v>
      </c>
      <c r="C139" s="154" t="s">
        <v>263</v>
      </c>
      <c r="D139" s="268"/>
      <c r="E139" s="154"/>
      <c r="F139" s="268"/>
      <c r="G139" s="154"/>
      <c r="H139" s="268"/>
      <c r="I139" s="154"/>
      <c r="J139" s="299">
        <v>0</v>
      </c>
      <c r="K139" s="154"/>
      <c r="L139" s="268"/>
      <c r="M139" s="154"/>
      <c r="N139" s="268"/>
      <c r="O139" s="154"/>
      <c r="P139" s="154"/>
      <c r="Q139" s="154"/>
      <c r="R139" s="154"/>
      <c r="S139" s="154"/>
    </row>
    <row r="140" spans="2:19" hidden="1" x14ac:dyDescent="0.35">
      <c r="B140" s="154" t="s">
        <v>1045</v>
      </c>
      <c r="C140" s="154" t="s">
        <v>264</v>
      </c>
      <c r="D140" s="268"/>
      <c r="E140" s="154"/>
      <c r="F140" s="268"/>
      <c r="G140" s="154"/>
      <c r="H140" s="268"/>
      <c r="I140" s="154"/>
      <c r="J140" s="299">
        <v>0</v>
      </c>
      <c r="K140" s="154"/>
      <c r="L140" s="268"/>
      <c r="M140" s="154"/>
      <c r="N140" s="268"/>
      <c r="O140" s="154"/>
      <c r="P140" s="154"/>
      <c r="Q140" s="154"/>
      <c r="R140" s="154"/>
      <c r="S140" s="154"/>
    </row>
    <row r="141" spans="2:19" hidden="1" x14ac:dyDescent="0.35">
      <c r="B141" s="154" t="s">
        <v>1046</v>
      </c>
      <c r="C141" s="154" t="s">
        <v>265</v>
      </c>
      <c r="D141" s="268"/>
      <c r="E141" s="154"/>
      <c r="F141" s="268"/>
      <c r="G141" s="154"/>
      <c r="H141" s="268"/>
      <c r="I141" s="154"/>
      <c r="J141" s="299">
        <v>0</v>
      </c>
      <c r="K141" s="154"/>
      <c r="L141" s="268"/>
      <c r="M141" s="154"/>
      <c r="N141" s="268"/>
      <c r="O141" s="154"/>
      <c r="P141" s="154"/>
      <c r="Q141" s="154"/>
      <c r="R141" s="154"/>
      <c r="S141" s="154"/>
    </row>
    <row r="142" spans="2:19" hidden="1" x14ac:dyDescent="0.35">
      <c r="B142" s="154" t="s">
        <v>1047</v>
      </c>
      <c r="C142" s="154" t="s">
        <v>917</v>
      </c>
      <c r="D142" s="268"/>
      <c r="E142" s="154"/>
      <c r="F142" s="268"/>
      <c r="G142" s="154"/>
      <c r="H142" s="268"/>
      <c r="I142" s="154"/>
      <c r="J142" s="299">
        <v>0</v>
      </c>
      <c r="K142" s="154"/>
      <c r="L142" s="268"/>
      <c r="M142" s="154"/>
      <c r="N142" s="268"/>
      <c r="O142" s="154"/>
      <c r="P142" s="154"/>
      <c r="Q142" s="154"/>
      <c r="R142" s="154"/>
      <c r="S142" s="154"/>
    </row>
    <row r="143" spans="2:19" hidden="1" x14ac:dyDescent="0.35">
      <c r="B143" s="154" t="s">
        <v>1048</v>
      </c>
      <c r="C143" s="154" t="s">
        <v>266</v>
      </c>
      <c r="D143" s="268"/>
      <c r="E143" s="154"/>
      <c r="F143" s="268"/>
      <c r="G143" s="154"/>
      <c r="H143" s="268"/>
      <c r="I143" s="154"/>
      <c r="J143" s="299">
        <v>0</v>
      </c>
      <c r="K143" s="154"/>
      <c r="L143" s="268"/>
      <c r="M143" s="154"/>
      <c r="N143" s="268"/>
      <c r="O143" s="154"/>
      <c r="P143" s="154"/>
      <c r="Q143" s="154"/>
      <c r="R143" s="154"/>
      <c r="S143" s="154"/>
    </row>
    <row r="144" spans="2:19" hidden="1" x14ac:dyDescent="0.35">
      <c r="B144" s="154" t="s">
        <v>1049</v>
      </c>
      <c r="C144" s="154" t="s">
        <v>267</v>
      </c>
      <c r="D144" s="268"/>
      <c r="E144" s="154"/>
      <c r="F144" s="268"/>
      <c r="G144" s="154"/>
      <c r="H144" s="268"/>
      <c r="I144" s="154"/>
      <c r="J144" s="299">
        <v>0</v>
      </c>
      <c r="K144" s="154"/>
      <c r="L144" s="268"/>
      <c r="M144" s="154"/>
      <c r="N144" s="268"/>
      <c r="O144" s="154"/>
      <c r="P144" s="154"/>
      <c r="Q144" s="154"/>
      <c r="R144" s="154"/>
      <c r="S144" s="154"/>
    </row>
    <row r="145" spans="2:19" hidden="1" x14ac:dyDescent="0.35">
      <c r="B145" s="223" t="s">
        <v>1050</v>
      </c>
      <c r="C145" s="223" t="s">
        <v>268</v>
      </c>
      <c r="D145" s="266"/>
      <c r="E145" s="223"/>
      <c r="F145" s="266"/>
      <c r="G145" s="223"/>
      <c r="H145" s="268"/>
      <c r="I145" s="223"/>
      <c r="J145" s="297">
        <v>0</v>
      </c>
      <c r="K145" s="223"/>
      <c r="L145" s="266"/>
      <c r="M145" s="223"/>
      <c r="N145" s="266"/>
      <c r="O145" s="223"/>
      <c r="P145" s="223"/>
      <c r="Q145" s="223"/>
      <c r="R145" s="223"/>
      <c r="S145" s="223"/>
    </row>
    <row r="146" spans="2:19" hidden="1" x14ac:dyDescent="0.35">
      <c r="B146" s="224" t="s">
        <v>1051</v>
      </c>
      <c r="C146" s="224" t="s">
        <v>269</v>
      </c>
      <c r="D146" s="267"/>
      <c r="E146" s="224"/>
      <c r="F146" s="267"/>
      <c r="G146" s="224"/>
      <c r="H146" s="268"/>
      <c r="I146" s="224"/>
      <c r="J146" s="298">
        <v>0</v>
      </c>
      <c r="K146" s="224"/>
      <c r="L146" s="267"/>
      <c r="M146" s="224"/>
      <c r="N146" s="267"/>
      <c r="O146" s="224"/>
      <c r="P146" s="224"/>
      <c r="Q146" s="224"/>
      <c r="R146" s="224"/>
      <c r="S146" s="224"/>
    </row>
    <row r="147" spans="2:19" hidden="1" x14ac:dyDescent="0.35">
      <c r="B147" s="154" t="s">
        <v>1052</v>
      </c>
      <c r="C147" s="154" t="s">
        <v>270</v>
      </c>
      <c r="D147" s="268"/>
      <c r="E147" s="154"/>
      <c r="F147" s="268"/>
      <c r="G147" s="154"/>
      <c r="H147" s="268"/>
      <c r="I147" s="154"/>
      <c r="J147" s="299">
        <v>0</v>
      </c>
      <c r="K147" s="154"/>
      <c r="L147" s="268"/>
      <c r="M147" s="154"/>
      <c r="N147" s="268"/>
      <c r="O147" s="154"/>
      <c r="P147" s="154"/>
      <c r="Q147" s="154"/>
      <c r="R147" s="154"/>
      <c r="S147" s="154"/>
    </row>
    <row r="148" spans="2:19" hidden="1" x14ac:dyDescent="0.35">
      <c r="B148" s="154" t="s">
        <v>1053</v>
      </c>
      <c r="C148" s="154" t="s">
        <v>271</v>
      </c>
      <c r="D148" s="268"/>
      <c r="E148" s="154"/>
      <c r="F148" s="268"/>
      <c r="G148" s="154"/>
      <c r="H148" s="268"/>
      <c r="I148" s="154"/>
      <c r="J148" s="299">
        <v>0</v>
      </c>
      <c r="K148" s="154"/>
      <c r="L148" s="268"/>
      <c r="M148" s="154"/>
      <c r="N148" s="268"/>
      <c r="O148" s="154"/>
      <c r="P148" s="154"/>
      <c r="Q148" s="154"/>
      <c r="R148" s="154"/>
      <c r="S148" s="154"/>
    </row>
    <row r="149" spans="2:19" hidden="1" x14ac:dyDescent="0.35">
      <c r="B149" s="154" t="s">
        <v>1054</v>
      </c>
      <c r="C149" s="154" t="s">
        <v>272</v>
      </c>
      <c r="D149" s="268"/>
      <c r="E149" s="154"/>
      <c r="F149" s="268"/>
      <c r="G149" s="154"/>
      <c r="H149" s="268"/>
      <c r="I149" s="154"/>
      <c r="J149" s="299">
        <v>0</v>
      </c>
      <c r="K149" s="154"/>
      <c r="L149" s="268"/>
      <c r="M149" s="154"/>
      <c r="N149" s="268"/>
      <c r="O149" s="154"/>
      <c r="P149" s="154"/>
      <c r="Q149" s="154"/>
      <c r="R149" s="154"/>
      <c r="S149" s="154"/>
    </row>
    <row r="150" spans="2:19" hidden="1" x14ac:dyDescent="0.35">
      <c r="B150" s="154" t="s">
        <v>1055</v>
      </c>
      <c r="C150" s="154" t="s">
        <v>273</v>
      </c>
      <c r="D150" s="268"/>
      <c r="E150" s="154"/>
      <c r="F150" s="268"/>
      <c r="G150" s="154"/>
      <c r="H150" s="268"/>
      <c r="I150" s="154"/>
      <c r="J150" s="299">
        <v>0</v>
      </c>
      <c r="K150" s="154"/>
      <c r="L150" s="268"/>
      <c r="M150" s="154"/>
      <c r="N150" s="268"/>
      <c r="O150" s="154"/>
      <c r="P150" s="154"/>
      <c r="Q150" s="154"/>
      <c r="R150" s="154"/>
      <c r="S150" s="154"/>
    </row>
    <row r="151" spans="2:19" hidden="1" x14ac:dyDescent="0.35">
      <c r="B151" s="154" t="s">
        <v>1056</v>
      </c>
      <c r="C151" s="154" t="s">
        <v>274</v>
      </c>
      <c r="D151" s="268"/>
      <c r="E151" s="154"/>
      <c r="F151" s="268"/>
      <c r="G151" s="154"/>
      <c r="H151" s="268"/>
      <c r="I151" s="154"/>
      <c r="J151" s="299">
        <v>0</v>
      </c>
      <c r="K151" s="154"/>
      <c r="L151" s="268"/>
      <c r="M151" s="154"/>
      <c r="N151" s="268"/>
      <c r="O151" s="154"/>
      <c r="P151" s="154"/>
      <c r="Q151" s="154"/>
      <c r="R151" s="154"/>
      <c r="S151" s="154"/>
    </row>
    <row r="152" spans="2:19" hidden="1" x14ac:dyDescent="0.35">
      <c r="B152" s="154" t="s">
        <v>1057</v>
      </c>
      <c r="C152" s="154" t="s">
        <v>275</v>
      </c>
      <c r="D152" s="268"/>
      <c r="E152" s="154"/>
      <c r="F152" s="268"/>
      <c r="G152" s="154"/>
      <c r="H152" s="268"/>
      <c r="I152" s="154"/>
      <c r="J152" s="299">
        <v>0</v>
      </c>
      <c r="K152" s="154"/>
      <c r="L152" s="268"/>
      <c r="M152" s="154"/>
      <c r="N152" s="268"/>
      <c r="O152" s="154"/>
      <c r="P152" s="154"/>
      <c r="Q152" s="154"/>
      <c r="R152" s="154"/>
      <c r="S152" s="154"/>
    </row>
    <row r="153" spans="2:19" hidden="1" x14ac:dyDescent="0.35">
      <c r="B153" s="154" t="s">
        <v>1058</v>
      </c>
      <c r="C153" s="154" t="s">
        <v>276</v>
      </c>
      <c r="D153" s="268"/>
      <c r="E153" s="154"/>
      <c r="F153" s="268"/>
      <c r="G153" s="154"/>
      <c r="H153" s="268"/>
      <c r="I153" s="154"/>
      <c r="J153" s="299">
        <v>0</v>
      </c>
      <c r="K153" s="154"/>
      <c r="L153" s="268"/>
      <c r="M153" s="154"/>
      <c r="N153" s="268"/>
      <c r="O153" s="154"/>
      <c r="P153" s="154"/>
      <c r="Q153" s="154"/>
      <c r="R153" s="154"/>
      <c r="S153" s="154"/>
    </row>
    <row r="154" spans="2:19" hidden="1" x14ac:dyDescent="0.35">
      <c r="B154" s="154" t="s">
        <v>1059</v>
      </c>
      <c r="C154" s="154" t="s">
        <v>277</v>
      </c>
      <c r="D154" s="268"/>
      <c r="E154" s="154"/>
      <c r="F154" s="268"/>
      <c r="G154" s="154"/>
      <c r="H154" s="268"/>
      <c r="I154" s="154"/>
      <c r="J154" s="299">
        <v>0</v>
      </c>
      <c r="K154" s="154"/>
      <c r="L154" s="268"/>
      <c r="M154" s="154"/>
      <c r="N154" s="268"/>
      <c r="O154" s="154"/>
      <c r="P154" s="154"/>
      <c r="Q154" s="154"/>
      <c r="R154" s="154"/>
      <c r="S154" s="154"/>
    </row>
    <row r="155" spans="2:19" hidden="1" x14ac:dyDescent="0.35">
      <c r="B155" s="154" t="s">
        <v>1060</v>
      </c>
      <c r="C155" s="154" t="s">
        <v>278</v>
      </c>
      <c r="D155" s="268"/>
      <c r="E155" s="154"/>
      <c r="F155" s="268"/>
      <c r="G155" s="154"/>
      <c r="H155" s="268"/>
      <c r="I155" s="154"/>
      <c r="J155" s="299">
        <v>0</v>
      </c>
      <c r="K155" s="154"/>
      <c r="L155" s="268"/>
      <c r="M155" s="154"/>
      <c r="N155" s="268"/>
      <c r="O155" s="154"/>
      <c r="P155" s="154"/>
      <c r="Q155" s="154"/>
      <c r="R155" s="154"/>
      <c r="S155" s="154"/>
    </row>
    <row r="156" spans="2:19" hidden="1" x14ac:dyDescent="0.35">
      <c r="B156" s="154" t="s">
        <v>1061</v>
      </c>
      <c r="C156" s="154" t="s">
        <v>918</v>
      </c>
      <c r="D156" s="268"/>
      <c r="E156" s="154"/>
      <c r="F156" s="268"/>
      <c r="G156" s="154"/>
      <c r="H156" s="268"/>
      <c r="I156" s="154"/>
      <c r="J156" s="299">
        <v>0</v>
      </c>
      <c r="K156" s="154"/>
      <c r="L156" s="268"/>
      <c r="M156" s="154"/>
      <c r="N156" s="268"/>
      <c r="O156" s="154"/>
      <c r="P156" s="154"/>
      <c r="Q156" s="154"/>
      <c r="R156" s="154"/>
      <c r="S156" s="154"/>
    </row>
    <row r="157" spans="2:19" hidden="1" x14ac:dyDescent="0.35">
      <c r="B157" s="154" t="s">
        <v>1062</v>
      </c>
      <c r="C157" s="154" t="s">
        <v>279</v>
      </c>
      <c r="D157" s="268"/>
      <c r="E157" s="154"/>
      <c r="F157" s="268"/>
      <c r="G157" s="154"/>
      <c r="H157" s="268"/>
      <c r="I157" s="154"/>
      <c r="J157" s="299">
        <v>0</v>
      </c>
      <c r="K157" s="154"/>
      <c r="L157" s="268"/>
      <c r="M157" s="154"/>
      <c r="N157" s="268"/>
      <c r="O157" s="154"/>
      <c r="P157" s="154"/>
      <c r="Q157" s="154"/>
      <c r="R157" s="154"/>
      <c r="S157" s="154"/>
    </row>
    <row r="158" spans="2:19" hidden="1" x14ac:dyDescent="0.35">
      <c r="B158" s="154" t="s">
        <v>1063</v>
      </c>
      <c r="C158" s="154" t="s">
        <v>280</v>
      </c>
      <c r="D158" s="268"/>
      <c r="E158" s="154"/>
      <c r="F158" s="268"/>
      <c r="G158" s="154"/>
      <c r="H158" s="268"/>
      <c r="I158" s="154"/>
      <c r="J158" s="299">
        <v>0</v>
      </c>
      <c r="K158" s="154"/>
      <c r="L158" s="268"/>
      <c r="M158" s="154"/>
      <c r="N158" s="268"/>
      <c r="O158" s="154"/>
      <c r="P158" s="154"/>
      <c r="Q158" s="154"/>
      <c r="R158" s="154"/>
      <c r="S158" s="154"/>
    </row>
    <row r="159" spans="2:19" hidden="1" x14ac:dyDescent="0.35">
      <c r="B159" s="223" t="s">
        <v>1064</v>
      </c>
      <c r="C159" s="223" t="s">
        <v>281</v>
      </c>
      <c r="D159" s="266"/>
      <c r="E159" s="223"/>
      <c r="F159" s="266"/>
      <c r="G159" s="223"/>
      <c r="H159" s="268"/>
      <c r="I159" s="223"/>
      <c r="J159" s="297">
        <v>0</v>
      </c>
      <c r="K159" s="223"/>
      <c r="L159" s="266"/>
      <c r="M159" s="223"/>
      <c r="N159" s="266"/>
      <c r="O159" s="223"/>
      <c r="P159" s="223"/>
      <c r="Q159" s="223"/>
      <c r="R159" s="223"/>
      <c r="S159" s="223"/>
    </row>
    <row r="160" spans="2:19" x14ac:dyDescent="0.35">
      <c r="B160" s="224" t="s">
        <v>1065</v>
      </c>
      <c r="C160" s="224" t="s">
        <v>638</v>
      </c>
      <c r="D160" s="267">
        <f>SUM(D161:D172)</f>
        <v>0</v>
      </c>
      <c r="E160" s="267">
        <f t="shared" ref="E160:O160" si="26">SUM(E161:E172)</f>
        <v>0</v>
      </c>
      <c r="F160" s="267">
        <f t="shared" si="26"/>
        <v>0</v>
      </c>
      <c r="G160" s="267">
        <f t="shared" si="26"/>
        <v>0</v>
      </c>
      <c r="H160" s="267">
        <f t="shared" si="26"/>
        <v>0</v>
      </c>
      <c r="I160" s="267">
        <f t="shared" si="26"/>
        <v>0</v>
      </c>
      <c r="J160" s="267">
        <f t="shared" si="26"/>
        <v>0</v>
      </c>
      <c r="K160" s="267">
        <f t="shared" si="26"/>
        <v>0</v>
      </c>
      <c r="L160" s="267">
        <f t="shared" si="26"/>
        <v>0</v>
      </c>
      <c r="M160" s="267">
        <f t="shared" si="26"/>
        <v>0</v>
      </c>
      <c r="N160" s="267">
        <f t="shared" si="26"/>
        <v>0</v>
      </c>
      <c r="O160" s="267">
        <f t="shared" si="26"/>
        <v>0</v>
      </c>
      <c r="P160" s="224"/>
      <c r="Q160" s="224"/>
      <c r="R160" s="224"/>
      <c r="S160" s="224"/>
    </row>
    <row r="161" spans="2:19" x14ac:dyDescent="0.35">
      <c r="B161" s="154" t="s">
        <v>1066</v>
      </c>
      <c r="C161" s="154" t="s">
        <v>282</v>
      </c>
      <c r="D161" s="268"/>
      <c r="E161" s="154"/>
      <c r="F161" s="268"/>
      <c r="G161" s="154"/>
      <c r="H161" s="268">
        <f t="shared" ref="H161:H198" si="27">D161-F161</f>
        <v>0</v>
      </c>
      <c r="I161" s="154"/>
      <c r="J161" s="299"/>
      <c r="K161" s="154"/>
      <c r="L161" s="268"/>
      <c r="M161" s="154"/>
      <c r="N161" s="268">
        <f t="shared" ref="N161:N198" si="28">J161-L161</f>
        <v>0</v>
      </c>
      <c r="O161" s="154"/>
      <c r="P161" s="154"/>
      <c r="Q161" s="154"/>
      <c r="R161" s="154"/>
      <c r="S161" s="154"/>
    </row>
    <row r="162" spans="2:19" x14ac:dyDescent="0.35">
      <c r="B162" s="154" t="s">
        <v>1067</v>
      </c>
      <c r="C162" s="154" t="s">
        <v>283</v>
      </c>
      <c r="D162" s="268"/>
      <c r="E162" s="154"/>
      <c r="F162" s="268"/>
      <c r="G162" s="154"/>
      <c r="H162" s="268">
        <f t="shared" si="27"/>
        <v>0</v>
      </c>
      <c r="I162" s="154"/>
      <c r="J162" s="299"/>
      <c r="K162" s="154"/>
      <c r="L162" s="268"/>
      <c r="M162" s="154"/>
      <c r="N162" s="268">
        <f t="shared" si="28"/>
        <v>0</v>
      </c>
      <c r="O162" s="154"/>
      <c r="P162" s="154"/>
      <c r="Q162" s="154"/>
      <c r="R162" s="154"/>
      <c r="S162" s="154"/>
    </row>
    <row r="163" spans="2:19" x14ac:dyDescent="0.35">
      <c r="B163" s="154" t="s">
        <v>1068</v>
      </c>
      <c r="C163" s="154" t="s">
        <v>284</v>
      </c>
      <c r="D163" s="268"/>
      <c r="E163" s="154"/>
      <c r="F163" s="268"/>
      <c r="G163" s="154"/>
      <c r="H163" s="268">
        <f t="shared" si="27"/>
        <v>0</v>
      </c>
      <c r="I163" s="154"/>
      <c r="J163" s="299"/>
      <c r="K163" s="154"/>
      <c r="L163" s="268"/>
      <c r="M163" s="154"/>
      <c r="N163" s="268">
        <f t="shared" si="28"/>
        <v>0</v>
      </c>
      <c r="O163" s="154"/>
      <c r="P163" s="154"/>
      <c r="Q163" s="154"/>
      <c r="R163" s="154"/>
      <c r="S163" s="154"/>
    </row>
    <row r="164" spans="2:19" x14ac:dyDescent="0.35">
      <c r="B164" s="154" t="s">
        <v>1069</v>
      </c>
      <c r="C164" s="154" t="s">
        <v>285</v>
      </c>
      <c r="D164" s="268"/>
      <c r="E164" s="154"/>
      <c r="F164" s="268"/>
      <c r="G164" s="154"/>
      <c r="H164" s="268">
        <f t="shared" si="27"/>
        <v>0</v>
      </c>
      <c r="I164" s="154"/>
      <c r="J164" s="299"/>
      <c r="K164" s="154"/>
      <c r="L164" s="268"/>
      <c r="M164" s="154"/>
      <c r="N164" s="268">
        <f t="shared" si="28"/>
        <v>0</v>
      </c>
      <c r="O164" s="154"/>
      <c r="P164" s="154"/>
      <c r="Q164" s="154"/>
      <c r="R164" s="154"/>
      <c r="S164" s="154"/>
    </row>
    <row r="165" spans="2:19" x14ac:dyDescent="0.35">
      <c r="B165" s="154" t="s">
        <v>1070</v>
      </c>
      <c r="C165" s="154" t="s">
        <v>286</v>
      </c>
      <c r="D165" s="268"/>
      <c r="E165" s="154"/>
      <c r="F165" s="268"/>
      <c r="G165" s="154"/>
      <c r="H165" s="268">
        <f t="shared" si="27"/>
        <v>0</v>
      </c>
      <c r="I165" s="154"/>
      <c r="J165" s="299"/>
      <c r="K165" s="154"/>
      <c r="L165" s="268"/>
      <c r="M165" s="154"/>
      <c r="N165" s="268">
        <f t="shared" si="28"/>
        <v>0</v>
      </c>
      <c r="O165" s="154"/>
      <c r="P165" s="154"/>
      <c r="Q165" s="154"/>
      <c r="R165" s="154"/>
      <c r="S165" s="154"/>
    </row>
    <row r="166" spans="2:19" x14ac:dyDescent="0.35">
      <c r="B166" s="154" t="s">
        <v>1071</v>
      </c>
      <c r="C166" s="154" t="s">
        <v>287</v>
      </c>
      <c r="D166" s="268"/>
      <c r="E166" s="154"/>
      <c r="F166" s="268"/>
      <c r="G166" s="154"/>
      <c r="H166" s="268">
        <f t="shared" si="27"/>
        <v>0</v>
      </c>
      <c r="I166" s="154"/>
      <c r="J166" s="299"/>
      <c r="K166" s="154"/>
      <c r="L166" s="268"/>
      <c r="M166" s="154"/>
      <c r="N166" s="268">
        <f t="shared" si="28"/>
        <v>0</v>
      </c>
      <c r="O166" s="154"/>
      <c r="P166" s="154"/>
      <c r="Q166" s="154"/>
      <c r="R166" s="154"/>
      <c r="S166" s="154"/>
    </row>
    <row r="167" spans="2:19" x14ac:dyDescent="0.35">
      <c r="B167" s="154" t="s">
        <v>1072</v>
      </c>
      <c r="C167" s="154" t="s">
        <v>288</v>
      </c>
      <c r="D167" s="268"/>
      <c r="E167" s="154"/>
      <c r="F167" s="268"/>
      <c r="G167" s="154"/>
      <c r="H167" s="268">
        <f t="shared" si="27"/>
        <v>0</v>
      </c>
      <c r="I167" s="154"/>
      <c r="J167" s="299"/>
      <c r="K167" s="154"/>
      <c r="L167" s="268"/>
      <c r="M167" s="154"/>
      <c r="N167" s="268">
        <f t="shared" si="28"/>
        <v>0</v>
      </c>
      <c r="O167" s="154"/>
      <c r="P167" s="154"/>
      <c r="Q167" s="154"/>
      <c r="R167" s="154"/>
      <c r="S167" s="154"/>
    </row>
    <row r="168" spans="2:19" x14ac:dyDescent="0.35">
      <c r="B168" s="154" t="s">
        <v>1073</v>
      </c>
      <c r="C168" s="154" t="s">
        <v>289</v>
      </c>
      <c r="D168" s="268"/>
      <c r="E168" s="154"/>
      <c r="F168" s="268"/>
      <c r="G168" s="154"/>
      <c r="H168" s="268">
        <f t="shared" si="27"/>
        <v>0</v>
      </c>
      <c r="I168" s="154"/>
      <c r="J168" s="299"/>
      <c r="K168" s="154"/>
      <c r="L168" s="268"/>
      <c r="M168" s="154"/>
      <c r="N168" s="268">
        <f t="shared" si="28"/>
        <v>0</v>
      </c>
      <c r="O168" s="154"/>
      <c r="P168" s="154"/>
      <c r="Q168" s="154"/>
      <c r="R168" s="154"/>
      <c r="S168" s="154"/>
    </row>
    <row r="169" spans="2:19" x14ac:dyDescent="0.35">
      <c r="B169" s="154" t="s">
        <v>1074</v>
      </c>
      <c r="C169" s="154" t="s">
        <v>290</v>
      </c>
      <c r="D169" s="268"/>
      <c r="E169" s="154"/>
      <c r="F169" s="268"/>
      <c r="G169" s="154"/>
      <c r="H169" s="268">
        <f t="shared" si="27"/>
        <v>0</v>
      </c>
      <c r="I169" s="154"/>
      <c r="J169" s="299"/>
      <c r="K169" s="154"/>
      <c r="L169" s="268"/>
      <c r="M169" s="154"/>
      <c r="N169" s="268">
        <f t="shared" si="28"/>
        <v>0</v>
      </c>
      <c r="O169" s="154"/>
      <c r="P169" s="154"/>
      <c r="Q169" s="154"/>
      <c r="R169" s="154"/>
      <c r="S169" s="154"/>
    </row>
    <row r="170" spans="2:19" x14ac:dyDescent="0.35">
      <c r="B170" s="154" t="s">
        <v>1075</v>
      </c>
      <c r="C170" s="154" t="s">
        <v>919</v>
      </c>
      <c r="D170" s="268"/>
      <c r="E170" s="154"/>
      <c r="F170" s="268"/>
      <c r="G170" s="154"/>
      <c r="H170" s="268">
        <f t="shared" si="27"/>
        <v>0</v>
      </c>
      <c r="I170" s="154"/>
      <c r="J170" s="299"/>
      <c r="K170" s="154"/>
      <c r="L170" s="268"/>
      <c r="M170" s="154"/>
      <c r="N170" s="268">
        <f t="shared" si="28"/>
        <v>0</v>
      </c>
      <c r="O170" s="154"/>
      <c r="P170" s="154"/>
      <c r="Q170" s="154"/>
      <c r="R170" s="154"/>
      <c r="S170" s="154"/>
    </row>
    <row r="171" spans="2:19" x14ac:dyDescent="0.35">
      <c r="B171" s="154" t="s">
        <v>1076</v>
      </c>
      <c r="C171" s="154" t="s">
        <v>291</v>
      </c>
      <c r="D171" s="268"/>
      <c r="E171" s="154"/>
      <c r="F171" s="268"/>
      <c r="G171" s="154"/>
      <c r="H171" s="268">
        <f t="shared" si="27"/>
        <v>0</v>
      </c>
      <c r="I171" s="154"/>
      <c r="J171" s="299"/>
      <c r="K171" s="154"/>
      <c r="L171" s="268"/>
      <c r="M171" s="154"/>
      <c r="N171" s="268">
        <f t="shared" si="28"/>
        <v>0</v>
      </c>
      <c r="O171" s="154"/>
      <c r="P171" s="154"/>
      <c r="Q171" s="154"/>
      <c r="R171" s="154"/>
      <c r="S171" s="154"/>
    </row>
    <row r="172" spans="2:19" x14ac:dyDescent="0.35">
      <c r="B172" s="154" t="s">
        <v>1077</v>
      </c>
      <c r="C172" s="154" t="s">
        <v>292</v>
      </c>
      <c r="D172" s="268"/>
      <c r="E172" s="154"/>
      <c r="F172" s="268"/>
      <c r="G172" s="154"/>
      <c r="H172" s="268">
        <f t="shared" si="27"/>
        <v>0</v>
      </c>
      <c r="I172" s="154"/>
      <c r="J172" s="299"/>
      <c r="K172" s="154"/>
      <c r="L172" s="268"/>
      <c r="M172" s="154"/>
      <c r="N172" s="268">
        <f t="shared" si="28"/>
        <v>0</v>
      </c>
      <c r="O172" s="154"/>
      <c r="P172" s="154"/>
      <c r="Q172" s="154"/>
      <c r="R172" s="154"/>
      <c r="S172" s="154"/>
    </row>
    <row r="173" spans="2:19" x14ac:dyDescent="0.35">
      <c r="B173" s="224" t="s">
        <v>1078</v>
      </c>
      <c r="C173" s="224" t="s">
        <v>293</v>
      </c>
      <c r="D173" s="267">
        <f>SUM(D174:D185)</f>
        <v>0</v>
      </c>
      <c r="E173" s="267">
        <f t="shared" ref="E173:N173" si="29">SUM(E174:E185)</f>
        <v>0</v>
      </c>
      <c r="F173" s="267">
        <f t="shared" si="29"/>
        <v>0</v>
      </c>
      <c r="G173" s="267">
        <f t="shared" si="29"/>
        <v>0</v>
      </c>
      <c r="H173" s="267">
        <f t="shared" si="29"/>
        <v>0</v>
      </c>
      <c r="I173" s="267">
        <f t="shared" si="29"/>
        <v>0</v>
      </c>
      <c r="J173" s="267">
        <f t="shared" si="29"/>
        <v>0</v>
      </c>
      <c r="K173" s="267">
        <f t="shared" si="29"/>
        <v>0</v>
      </c>
      <c r="L173" s="267">
        <f t="shared" si="29"/>
        <v>0</v>
      </c>
      <c r="M173" s="267">
        <f t="shared" si="29"/>
        <v>0</v>
      </c>
      <c r="N173" s="267">
        <f t="shared" si="29"/>
        <v>0</v>
      </c>
      <c r="O173" s="224"/>
      <c r="P173" s="224"/>
      <c r="Q173" s="224"/>
      <c r="R173" s="224"/>
      <c r="S173" s="224"/>
    </row>
    <row r="174" spans="2:19" x14ac:dyDescent="0.35">
      <c r="B174" s="154" t="s">
        <v>1079</v>
      </c>
      <c r="C174" s="154" t="s">
        <v>294</v>
      </c>
      <c r="D174" s="268"/>
      <c r="E174" s="154"/>
      <c r="F174" s="268"/>
      <c r="G174" s="154"/>
      <c r="H174" s="268">
        <f t="shared" si="27"/>
        <v>0</v>
      </c>
      <c r="I174" s="154"/>
      <c r="J174" s="299"/>
      <c r="K174" s="154"/>
      <c r="L174" s="268"/>
      <c r="M174" s="154"/>
      <c r="N174" s="268">
        <f t="shared" si="28"/>
        <v>0</v>
      </c>
      <c r="O174" s="154"/>
      <c r="P174" s="154"/>
      <c r="Q174" s="154"/>
      <c r="R174" s="154"/>
      <c r="S174" s="154"/>
    </row>
    <row r="175" spans="2:19" x14ac:dyDescent="0.35">
      <c r="B175" s="154" t="s">
        <v>1080</v>
      </c>
      <c r="C175" s="154" t="s">
        <v>295</v>
      </c>
      <c r="D175" s="268"/>
      <c r="E175" s="154"/>
      <c r="F175" s="268"/>
      <c r="G175" s="154"/>
      <c r="H175" s="268">
        <f t="shared" si="27"/>
        <v>0</v>
      </c>
      <c r="I175" s="154"/>
      <c r="J175" s="299"/>
      <c r="K175" s="154"/>
      <c r="L175" s="268"/>
      <c r="M175" s="154"/>
      <c r="N175" s="268">
        <f t="shared" si="28"/>
        <v>0</v>
      </c>
      <c r="O175" s="154"/>
      <c r="P175" s="154"/>
      <c r="Q175" s="154"/>
      <c r="R175" s="154"/>
      <c r="S175" s="154"/>
    </row>
    <row r="176" spans="2:19" x14ac:dyDescent="0.35">
      <c r="B176" s="154" t="s">
        <v>1081</v>
      </c>
      <c r="C176" s="154" t="s">
        <v>296</v>
      </c>
      <c r="D176" s="268"/>
      <c r="E176" s="154"/>
      <c r="F176" s="268"/>
      <c r="G176" s="154"/>
      <c r="H176" s="268">
        <f t="shared" si="27"/>
        <v>0</v>
      </c>
      <c r="I176" s="154"/>
      <c r="J176" s="299"/>
      <c r="K176" s="154"/>
      <c r="L176" s="268"/>
      <c r="M176" s="154"/>
      <c r="N176" s="268">
        <f t="shared" si="28"/>
        <v>0</v>
      </c>
      <c r="O176" s="154"/>
      <c r="P176" s="154"/>
      <c r="Q176" s="154"/>
      <c r="R176" s="154"/>
      <c r="S176" s="154"/>
    </row>
    <row r="177" spans="2:19" x14ac:dyDescent="0.35">
      <c r="B177" s="154" t="s">
        <v>1082</v>
      </c>
      <c r="C177" s="154" t="s">
        <v>297</v>
      </c>
      <c r="D177" s="268"/>
      <c r="E177" s="154"/>
      <c r="F177" s="268"/>
      <c r="G177" s="154"/>
      <c r="H177" s="268">
        <f t="shared" si="27"/>
        <v>0</v>
      </c>
      <c r="I177" s="154"/>
      <c r="J177" s="299"/>
      <c r="K177" s="154"/>
      <c r="L177" s="268"/>
      <c r="M177" s="154"/>
      <c r="N177" s="268">
        <f t="shared" si="28"/>
        <v>0</v>
      </c>
      <c r="O177" s="154"/>
      <c r="P177" s="154"/>
      <c r="Q177" s="154"/>
      <c r="R177" s="154"/>
      <c r="S177" s="154"/>
    </row>
    <row r="178" spans="2:19" x14ac:dyDescent="0.35">
      <c r="B178" s="154" t="s">
        <v>1083</v>
      </c>
      <c r="C178" s="154" t="s">
        <v>298</v>
      </c>
      <c r="D178" s="268"/>
      <c r="E178" s="154"/>
      <c r="F178" s="268"/>
      <c r="G178" s="154"/>
      <c r="H178" s="268">
        <f t="shared" si="27"/>
        <v>0</v>
      </c>
      <c r="I178" s="154"/>
      <c r="J178" s="299"/>
      <c r="K178" s="154"/>
      <c r="L178" s="268"/>
      <c r="M178" s="154"/>
      <c r="N178" s="268">
        <f t="shared" si="28"/>
        <v>0</v>
      </c>
      <c r="O178" s="154"/>
      <c r="P178" s="154"/>
      <c r="Q178" s="154"/>
      <c r="R178" s="154"/>
      <c r="S178" s="154"/>
    </row>
    <row r="179" spans="2:19" x14ac:dyDescent="0.35">
      <c r="B179" s="154" t="s">
        <v>1084</v>
      </c>
      <c r="C179" s="154" t="s">
        <v>299</v>
      </c>
      <c r="D179" s="268"/>
      <c r="E179" s="154"/>
      <c r="F179" s="268"/>
      <c r="G179" s="154"/>
      <c r="H179" s="268">
        <f t="shared" si="27"/>
        <v>0</v>
      </c>
      <c r="I179" s="154"/>
      <c r="J179" s="299"/>
      <c r="K179" s="154"/>
      <c r="L179" s="268"/>
      <c r="M179" s="154"/>
      <c r="N179" s="268">
        <f t="shared" si="28"/>
        <v>0</v>
      </c>
      <c r="O179" s="154"/>
      <c r="P179" s="154"/>
      <c r="Q179" s="154"/>
      <c r="R179" s="154"/>
      <c r="S179" s="154"/>
    </row>
    <row r="180" spans="2:19" x14ac:dyDescent="0.35">
      <c r="B180" s="154" t="s">
        <v>1085</v>
      </c>
      <c r="C180" s="154" t="s">
        <v>300</v>
      </c>
      <c r="D180" s="268"/>
      <c r="E180" s="154"/>
      <c r="F180" s="268"/>
      <c r="G180" s="154"/>
      <c r="H180" s="268">
        <f t="shared" si="27"/>
        <v>0</v>
      </c>
      <c r="I180" s="154"/>
      <c r="J180" s="299"/>
      <c r="K180" s="154"/>
      <c r="L180" s="268"/>
      <c r="M180" s="154"/>
      <c r="N180" s="268">
        <f t="shared" si="28"/>
        <v>0</v>
      </c>
      <c r="O180" s="154"/>
      <c r="P180" s="154"/>
      <c r="Q180" s="154"/>
      <c r="R180" s="154"/>
      <c r="S180" s="154"/>
    </row>
    <row r="181" spans="2:19" x14ac:dyDescent="0.35">
      <c r="B181" s="154" t="s">
        <v>1086</v>
      </c>
      <c r="C181" s="154" t="s">
        <v>301</v>
      </c>
      <c r="D181" s="268"/>
      <c r="E181" s="154"/>
      <c r="F181" s="268"/>
      <c r="G181" s="154"/>
      <c r="H181" s="268">
        <f t="shared" si="27"/>
        <v>0</v>
      </c>
      <c r="I181" s="154"/>
      <c r="J181" s="299"/>
      <c r="K181" s="154"/>
      <c r="L181" s="268"/>
      <c r="M181" s="154"/>
      <c r="N181" s="268">
        <f t="shared" si="28"/>
        <v>0</v>
      </c>
      <c r="O181" s="154"/>
      <c r="P181" s="154"/>
      <c r="Q181" s="154"/>
      <c r="R181" s="154"/>
      <c r="S181" s="154"/>
    </row>
    <row r="182" spans="2:19" x14ac:dyDescent="0.35">
      <c r="B182" s="154" t="s">
        <v>1087</v>
      </c>
      <c r="C182" s="154" t="s">
        <v>302</v>
      </c>
      <c r="D182" s="268"/>
      <c r="E182" s="154"/>
      <c r="F182" s="268"/>
      <c r="G182" s="154"/>
      <c r="H182" s="268">
        <f t="shared" si="27"/>
        <v>0</v>
      </c>
      <c r="I182" s="154"/>
      <c r="J182" s="299"/>
      <c r="K182" s="154"/>
      <c r="L182" s="268"/>
      <c r="M182" s="154"/>
      <c r="N182" s="268">
        <f t="shared" si="28"/>
        <v>0</v>
      </c>
      <c r="O182" s="154"/>
      <c r="P182" s="154"/>
      <c r="Q182" s="154"/>
      <c r="R182" s="154"/>
      <c r="S182" s="154"/>
    </row>
    <row r="183" spans="2:19" x14ac:dyDescent="0.35">
      <c r="B183" s="154" t="s">
        <v>1088</v>
      </c>
      <c r="C183" s="154" t="s">
        <v>920</v>
      </c>
      <c r="D183" s="268"/>
      <c r="E183" s="154"/>
      <c r="F183" s="268"/>
      <c r="G183" s="154"/>
      <c r="H183" s="268">
        <f t="shared" si="27"/>
        <v>0</v>
      </c>
      <c r="I183" s="154"/>
      <c r="J183" s="299"/>
      <c r="K183" s="154"/>
      <c r="L183" s="268"/>
      <c r="M183" s="154"/>
      <c r="N183" s="268">
        <f t="shared" si="28"/>
        <v>0</v>
      </c>
      <c r="O183" s="154"/>
      <c r="P183" s="154"/>
      <c r="Q183" s="154"/>
      <c r="R183" s="154"/>
      <c r="S183" s="154"/>
    </row>
    <row r="184" spans="2:19" x14ac:dyDescent="0.35">
      <c r="B184" s="154" t="s">
        <v>1089</v>
      </c>
      <c r="C184" s="154" t="s">
        <v>303</v>
      </c>
      <c r="D184" s="268"/>
      <c r="E184" s="154"/>
      <c r="F184" s="268"/>
      <c r="G184" s="154"/>
      <c r="H184" s="268">
        <f t="shared" si="27"/>
        <v>0</v>
      </c>
      <c r="I184" s="154"/>
      <c r="J184" s="299"/>
      <c r="K184" s="154"/>
      <c r="L184" s="268"/>
      <c r="M184" s="154"/>
      <c r="N184" s="268">
        <f t="shared" si="28"/>
        <v>0</v>
      </c>
      <c r="O184" s="154"/>
      <c r="P184" s="154"/>
      <c r="Q184" s="154"/>
      <c r="R184" s="154"/>
      <c r="S184" s="154"/>
    </row>
    <row r="185" spans="2:19" x14ac:dyDescent="0.35">
      <c r="B185" s="154" t="s">
        <v>1090</v>
      </c>
      <c r="C185" s="154" t="s">
        <v>304</v>
      </c>
      <c r="D185" s="268"/>
      <c r="E185" s="154"/>
      <c r="F185" s="268"/>
      <c r="G185" s="154"/>
      <c r="H185" s="268">
        <f t="shared" si="27"/>
        <v>0</v>
      </c>
      <c r="I185" s="154"/>
      <c r="J185" s="299"/>
      <c r="K185" s="154"/>
      <c r="L185" s="268"/>
      <c r="M185" s="154"/>
      <c r="N185" s="268">
        <f t="shared" si="28"/>
        <v>0</v>
      </c>
      <c r="O185" s="154"/>
      <c r="P185" s="154"/>
      <c r="Q185" s="154"/>
      <c r="R185" s="154"/>
      <c r="S185" s="154"/>
    </row>
    <row r="186" spans="2:19" x14ac:dyDescent="0.35">
      <c r="B186" s="224" t="s">
        <v>1091</v>
      </c>
      <c r="C186" s="224" t="s">
        <v>305</v>
      </c>
      <c r="D186" s="267">
        <f>SUM(D187:D198)</f>
        <v>0</v>
      </c>
      <c r="E186" s="267">
        <f t="shared" ref="E186:N186" si="30">SUM(E187:E198)</f>
        <v>0</v>
      </c>
      <c r="F186" s="267">
        <f t="shared" si="30"/>
        <v>0</v>
      </c>
      <c r="G186" s="267">
        <f t="shared" si="30"/>
        <v>0</v>
      </c>
      <c r="H186" s="267">
        <f t="shared" si="30"/>
        <v>0</v>
      </c>
      <c r="I186" s="267">
        <f t="shared" si="30"/>
        <v>0</v>
      </c>
      <c r="J186" s="267">
        <f t="shared" si="30"/>
        <v>0</v>
      </c>
      <c r="K186" s="267">
        <f t="shared" si="30"/>
        <v>0</v>
      </c>
      <c r="L186" s="267">
        <f t="shared" si="30"/>
        <v>0</v>
      </c>
      <c r="M186" s="267">
        <f t="shared" si="30"/>
        <v>0</v>
      </c>
      <c r="N186" s="267">
        <f t="shared" si="30"/>
        <v>0</v>
      </c>
      <c r="O186" s="224"/>
      <c r="P186" s="224"/>
      <c r="Q186" s="224"/>
      <c r="R186" s="224"/>
      <c r="S186" s="224"/>
    </row>
    <row r="187" spans="2:19" x14ac:dyDescent="0.35">
      <c r="B187" s="154" t="s">
        <v>1092</v>
      </c>
      <c r="C187" s="154" t="s">
        <v>306</v>
      </c>
      <c r="D187" s="268"/>
      <c r="E187" s="154"/>
      <c r="F187" s="268"/>
      <c r="G187" s="154"/>
      <c r="H187" s="268">
        <f t="shared" si="27"/>
        <v>0</v>
      </c>
      <c r="I187" s="154"/>
      <c r="J187" s="299"/>
      <c r="K187" s="154"/>
      <c r="L187" s="268"/>
      <c r="M187" s="154"/>
      <c r="N187" s="268">
        <f t="shared" si="28"/>
        <v>0</v>
      </c>
      <c r="O187" s="154"/>
      <c r="P187" s="154"/>
      <c r="Q187" s="154"/>
      <c r="R187" s="154"/>
      <c r="S187" s="154"/>
    </row>
    <row r="188" spans="2:19" x14ac:dyDescent="0.35">
      <c r="B188" s="154" t="s">
        <v>1093</v>
      </c>
      <c r="C188" s="154" t="s">
        <v>307</v>
      </c>
      <c r="D188" s="268"/>
      <c r="E188" s="154"/>
      <c r="F188" s="268"/>
      <c r="G188" s="154"/>
      <c r="H188" s="268">
        <f t="shared" si="27"/>
        <v>0</v>
      </c>
      <c r="I188" s="154"/>
      <c r="J188" s="299"/>
      <c r="K188" s="154"/>
      <c r="L188" s="268"/>
      <c r="M188" s="154"/>
      <c r="N188" s="268">
        <f t="shared" si="28"/>
        <v>0</v>
      </c>
      <c r="O188" s="154"/>
      <c r="P188" s="154"/>
      <c r="Q188" s="154"/>
      <c r="R188" s="154"/>
      <c r="S188" s="154"/>
    </row>
    <row r="189" spans="2:19" x14ac:dyDescent="0.35">
      <c r="B189" s="154" t="s">
        <v>1094</v>
      </c>
      <c r="C189" s="154" t="s">
        <v>308</v>
      </c>
      <c r="D189" s="268"/>
      <c r="E189" s="154"/>
      <c r="F189" s="268"/>
      <c r="G189" s="154"/>
      <c r="H189" s="268">
        <f t="shared" si="27"/>
        <v>0</v>
      </c>
      <c r="I189" s="154"/>
      <c r="J189" s="299"/>
      <c r="K189" s="154"/>
      <c r="L189" s="268"/>
      <c r="M189" s="154"/>
      <c r="N189" s="268">
        <f t="shared" si="28"/>
        <v>0</v>
      </c>
      <c r="O189" s="154"/>
      <c r="P189" s="154"/>
      <c r="Q189" s="154"/>
      <c r="R189" s="154"/>
      <c r="S189" s="154"/>
    </row>
    <row r="190" spans="2:19" x14ac:dyDescent="0.35">
      <c r="B190" s="154" t="s">
        <v>1095</v>
      </c>
      <c r="C190" s="154" t="s">
        <v>309</v>
      </c>
      <c r="D190" s="268"/>
      <c r="E190" s="154"/>
      <c r="F190" s="268"/>
      <c r="G190" s="154"/>
      <c r="H190" s="268">
        <f t="shared" si="27"/>
        <v>0</v>
      </c>
      <c r="I190" s="154"/>
      <c r="J190" s="299"/>
      <c r="K190" s="154"/>
      <c r="L190" s="268"/>
      <c r="M190" s="154"/>
      <c r="N190" s="268">
        <f t="shared" si="28"/>
        <v>0</v>
      </c>
      <c r="O190" s="154"/>
      <c r="P190" s="154"/>
      <c r="Q190" s="154"/>
      <c r="R190" s="154"/>
      <c r="S190" s="154"/>
    </row>
    <row r="191" spans="2:19" x14ac:dyDescent="0.35">
      <c r="B191" s="154" t="s">
        <v>1096</v>
      </c>
      <c r="C191" s="154" t="s">
        <v>310</v>
      </c>
      <c r="D191" s="268"/>
      <c r="E191" s="154"/>
      <c r="F191" s="268"/>
      <c r="G191" s="154"/>
      <c r="H191" s="268">
        <f t="shared" si="27"/>
        <v>0</v>
      </c>
      <c r="I191" s="154"/>
      <c r="J191" s="299"/>
      <c r="K191" s="154"/>
      <c r="L191" s="268"/>
      <c r="M191" s="154"/>
      <c r="N191" s="268">
        <f t="shared" si="28"/>
        <v>0</v>
      </c>
      <c r="O191" s="154"/>
      <c r="P191" s="154"/>
      <c r="Q191" s="154"/>
      <c r="R191" s="154"/>
      <c r="S191" s="154"/>
    </row>
    <row r="192" spans="2:19" x14ac:dyDescent="0.35">
      <c r="B192" s="154" t="s">
        <v>1097</v>
      </c>
      <c r="C192" s="154" t="s">
        <v>311</v>
      </c>
      <c r="D192" s="268"/>
      <c r="E192" s="154"/>
      <c r="F192" s="268"/>
      <c r="G192" s="154"/>
      <c r="H192" s="268">
        <f t="shared" si="27"/>
        <v>0</v>
      </c>
      <c r="I192" s="154"/>
      <c r="J192" s="299"/>
      <c r="K192" s="154"/>
      <c r="L192" s="268"/>
      <c r="M192" s="154"/>
      <c r="N192" s="268">
        <f t="shared" si="28"/>
        <v>0</v>
      </c>
      <c r="O192" s="154"/>
      <c r="P192" s="154"/>
      <c r="Q192" s="154"/>
      <c r="R192" s="154"/>
      <c r="S192" s="154"/>
    </row>
    <row r="193" spans="2:19" x14ac:dyDescent="0.35">
      <c r="B193" s="154" t="s">
        <v>1098</v>
      </c>
      <c r="C193" s="154" t="s">
        <v>312</v>
      </c>
      <c r="D193" s="268"/>
      <c r="E193" s="154"/>
      <c r="F193" s="268"/>
      <c r="G193" s="154"/>
      <c r="H193" s="268">
        <f t="shared" si="27"/>
        <v>0</v>
      </c>
      <c r="I193" s="154"/>
      <c r="J193" s="299"/>
      <c r="K193" s="154"/>
      <c r="L193" s="268"/>
      <c r="M193" s="154"/>
      <c r="N193" s="268">
        <f t="shared" si="28"/>
        <v>0</v>
      </c>
      <c r="O193" s="154"/>
      <c r="P193" s="154"/>
      <c r="Q193" s="154"/>
      <c r="R193" s="154"/>
      <c r="S193" s="154"/>
    </row>
    <row r="194" spans="2:19" x14ac:dyDescent="0.35">
      <c r="B194" s="154" t="s">
        <v>1099</v>
      </c>
      <c r="C194" s="154" t="s">
        <v>313</v>
      </c>
      <c r="D194" s="268"/>
      <c r="E194" s="154"/>
      <c r="F194" s="268"/>
      <c r="G194" s="154"/>
      <c r="H194" s="268">
        <f t="shared" si="27"/>
        <v>0</v>
      </c>
      <c r="I194" s="154"/>
      <c r="J194" s="299"/>
      <c r="K194" s="154"/>
      <c r="L194" s="268"/>
      <c r="M194" s="154"/>
      <c r="N194" s="268">
        <f t="shared" si="28"/>
        <v>0</v>
      </c>
      <c r="O194" s="154"/>
      <c r="P194" s="154"/>
      <c r="Q194" s="154"/>
      <c r="R194" s="154"/>
      <c r="S194" s="154"/>
    </row>
    <row r="195" spans="2:19" x14ac:dyDescent="0.35">
      <c r="B195" s="154" t="s">
        <v>1100</v>
      </c>
      <c r="C195" s="154" t="s">
        <v>314</v>
      </c>
      <c r="D195" s="268"/>
      <c r="E195" s="154"/>
      <c r="F195" s="268"/>
      <c r="G195" s="154"/>
      <c r="H195" s="268">
        <f t="shared" si="27"/>
        <v>0</v>
      </c>
      <c r="I195" s="154"/>
      <c r="J195" s="299"/>
      <c r="K195" s="154"/>
      <c r="L195" s="268"/>
      <c r="M195" s="154"/>
      <c r="N195" s="268">
        <f t="shared" si="28"/>
        <v>0</v>
      </c>
      <c r="O195" s="154"/>
      <c r="P195" s="154"/>
      <c r="Q195" s="154"/>
      <c r="R195" s="154"/>
      <c r="S195" s="154"/>
    </row>
    <row r="196" spans="2:19" x14ac:dyDescent="0.35">
      <c r="B196" s="154" t="s">
        <v>1101</v>
      </c>
      <c r="C196" s="154" t="s">
        <v>921</v>
      </c>
      <c r="D196" s="268"/>
      <c r="E196" s="154"/>
      <c r="F196" s="268"/>
      <c r="G196" s="154"/>
      <c r="H196" s="268">
        <f t="shared" si="27"/>
        <v>0</v>
      </c>
      <c r="I196" s="154"/>
      <c r="J196" s="299"/>
      <c r="K196" s="154"/>
      <c r="L196" s="268"/>
      <c r="M196" s="154"/>
      <c r="N196" s="268">
        <f t="shared" si="28"/>
        <v>0</v>
      </c>
      <c r="O196" s="154"/>
      <c r="P196" s="154"/>
      <c r="Q196" s="154"/>
      <c r="R196" s="154"/>
      <c r="S196" s="154"/>
    </row>
    <row r="197" spans="2:19" x14ac:dyDescent="0.35">
      <c r="B197" s="154" t="s">
        <v>1102</v>
      </c>
      <c r="C197" s="154" t="s">
        <v>315</v>
      </c>
      <c r="D197" s="268"/>
      <c r="E197" s="154"/>
      <c r="F197" s="268"/>
      <c r="G197" s="154"/>
      <c r="H197" s="268">
        <f t="shared" si="27"/>
        <v>0</v>
      </c>
      <c r="I197" s="154"/>
      <c r="J197" s="299"/>
      <c r="K197" s="154"/>
      <c r="L197" s="268"/>
      <c r="M197" s="154"/>
      <c r="N197" s="268">
        <f t="shared" si="28"/>
        <v>0</v>
      </c>
      <c r="O197" s="154"/>
      <c r="P197" s="154"/>
      <c r="Q197" s="154"/>
      <c r="R197" s="154"/>
      <c r="S197" s="154"/>
    </row>
    <row r="198" spans="2:19" x14ac:dyDescent="0.35">
      <c r="B198" s="154" t="s">
        <v>1103</v>
      </c>
      <c r="C198" s="154" t="s">
        <v>316</v>
      </c>
      <c r="D198" s="268"/>
      <c r="E198" s="154"/>
      <c r="F198" s="268"/>
      <c r="G198" s="154"/>
      <c r="H198" s="268">
        <f t="shared" si="27"/>
        <v>0</v>
      </c>
      <c r="I198" s="154"/>
      <c r="J198" s="299"/>
      <c r="K198" s="154"/>
      <c r="L198" s="268"/>
      <c r="M198" s="154"/>
      <c r="N198" s="268">
        <f t="shared" si="28"/>
        <v>0</v>
      </c>
      <c r="O198" s="154"/>
      <c r="P198" s="154"/>
      <c r="Q198" s="154"/>
      <c r="R198" s="154"/>
      <c r="S198" s="154"/>
    </row>
    <row r="199" spans="2:19" x14ac:dyDescent="0.35">
      <c r="B199" s="221" t="s">
        <v>317</v>
      </c>
      <c r="C199" s="221" t="s">
        <v>684</v>
      </c>
      <c r="D199" s="264"/>
      <c r="E199" s="221"/>
      <c r="F199" s="264"/>
      <c r="G199" s="221"/>
      <c r="H199" s="264"/>
      <c r="I199" s="221"/>
      <c r="J199" s="295"/>
      <c r="K199" s="221"/>
      <c r="L199" s="268"/>
      <c r="M199" s="221"/>
      <c r="N199" s="264"/>
      <c r="O199" s="221"/>
      <c r="P199" s="221"/>
      <c r="Q199" s="221"/>
      <c r="R199" s="221"/>
      <c r="S199" s="221"/>
    </row>
    <row r="200" spans="2:19" x14ac:dyDescent="0.35">
      <c r="B200" s="222" t="s">
        <v>1104</v>
      </c>
      <c r="C200" s="222" t="s">
        <v>318</v>
      </c>
      <c r="D200" s="265"/>
      <c r="E200" s="222"/>
      <c r="F200" s="265"/>
      <c r="G200" s="222"/>
      <c r="H200" s="265"/>
      <c r="I200" s="222"/>
      <c r="J200" s="296">
        <v>0</v>
      </c>
      <c r="K200" s="222"/>
      <c r="L200" s="265"/>
      <c r="M200" s="222"/>
      <c r="N200" s="265"/>
      <c r="O200" s="222"/>
      <c r="P200" s="222"/>
      <c r="Q200" s="222"/>
      <c r="R200" s="222"/>
      <c r="S200" s="222"/>
    </row>
    <row r="201" spans="2:19" x14ac:dyDescent="0.35">
      <c r="B201" s="223" t="s">
        <v>1105</v>
      </c>
      <c r="C201" s="223" t="s">
        <v>319</v>
      </c>
      <c r="D201" s="266">
        <f>D202+D227+D232+D257</f>
        <v>0</v>
      </c>
      <c r="E201" s="223"/>
      <c r="F201" s="266"/>
      <c r="G201" s="223"/>
      <c r="H201" s="266"/>
      <c r="I201" s="223"/>
      <c r="J201" s="266">
        <f>J202+J227+J232+J257</f>
        <v>0</v>
      </c>
      <c r="K201" s="223"/>
      <c r="L201" s="266"/>
      <c r="M201" s="223"/>
      <c r="N201" s="266"/>
      <c r="O201" s="223"/>
      <c r="P201" s="223"/>
      <c r="Q201" s="223"/>
      <c r="R201" s="223"/>
      <c r="S201" s="223"/>
    </row>
    <row r="202" spans="2:19" x14ac:dyDescent="0.35">
      <c r="B202" s="224" t="s">
        <v>1106</v>
      </c>
      <c r="C202" s="224" t="s">
        <v>565</v>
      </c>
      <c r="D202" s="267">
        <f>SUM(D203:D226)</f>
        <v>0</v>
      </c>
      <c r="E202" s="267">
        <f t="shared" ref="E202:N202" si="31">SUM(E203:E226)</f>
        <v>0</v>
      </c>
      <c r="F202" s="267">
        <f t="shared" si="31"/>
        <v>0</v>
      </c>
      <c r="G202" s="267">
        <f t="shared" si="31"/>
        <v>0</v>
      </c>
      <c r="H202" s="267">
        <f t="shared" si="31"/>
        <v>0</v>
      </c>
      <c r="I202" s="267">
        <f t="shared" si="31"/>
        <v>0</v>
      </c>
      <c r="J202" s="267">
        <f t="shared" si="31"/>
        <v>0</v>
      </c>
      <c r="K202" s="267">
        <f t="shared" si="31"/>
        <v>0</v>
      </c>
      <c r="L202" s="267">
        <f t="shared" si="31"/>
        <v>0</v>
      </c>
      <c r="M202" s="267">
        <f t="shared" si="31"/>
        <v>0</v>
      </c>
      <c r="N202" s="267">
        <f t="shared" si="31"/>
        <v>0</v>
      </c>
      <c r="O202" s="224"/>
      <c r="P202" s="224"/>
      <c r="Q202" s="224"/>
      <c r="R202" s="224"/>
      <c r="S202" s="224"/>
    </row>
    <row r="203" spans="2:19" x14ac:dyDescent="0.35">
      <c r="B203" s="154" t="s">
        <v>1107</v>
      </c>
      <c r="C203" s="154" t="s">
        <v>320</v>
      </c>
      <c r="D203" s="268"/>
      <c r="E203" s="154"/>
      <c r="F203" s="268"/>
      <c r="G203" s="154"/>
      <c r="H203" s="268">
        <f t="shared" ref="H203:H230" si="32">D203-F203</f>
        <v>0</v>
      </c>
      <c r="I203" s="154"/>
      <c r="J203" s="299"/>
      <c r="K203" s="154"/>
      <c r="L203" s="268"/>
      <c r="M203" s="154"/>
      <c r="N203" s="268">
        <f t="shared" ref="N203:N230" si="33">J203-L203</f>
        <v>0</v>
      </c>
      <c r="O203" s="154"/>
      <c r="P203" s="154"/>
      <c r="Q203" s="154"/>
      <c r="R203" s="154"/>
      <c r="S203" s="154"/>
    </row>
    <row r="204" spans="2:19" x14ac:dyDescent="0.35">
      <c r="B204" s="154" t="s">
        <v>1108</v>
      </c>
      <c r="C204" s="154" t="s">
        <v>321</v>
      </c>
      <c r="D204" s="268"/>
      <c r="E204" s="154"/>
      <c r="F204" s="268"/>
      <c r="G204" s="154"/>
      <c r="H204" s="268">
        <f t="shared" si="32"/>
        <v>0</v>
      </c>
      <c r="I204" s="154"/>
      <c r="J204" s="299"/>
      <c r="K204" s="154"/>
      <c r="L204" s="268"/>
      <c r="M204" s="154"/>
      <c r="N204" s="268">
        <f t="shared" si="33"/>
        <v>0</v>
      </c>
      <c r="O204" s="154"/>
      <c r="P204" s="154"/>
      <c r="Q204" s="154"/>
      <c r="R204" s="154"/>
      <c r="S204" s="154"/>
    </row>
    <row r="205" spans="2:19" x14ac:dyDescent="0.35">
      <c r="B205" s="154" t="s">
        <v>1109</v>
      </c>
      <c r="C205" s="154" t="s">
        <v>322</v>
      </c>
      <c r="D205" s="268"/>
      <c r="E205" s="154"/>
      <c r="F205" s="268"/>
      <c r="G205" s="154"/>
      <c r="H205" s="268">
        <f t="shared" si="32"/>
        <v>0</v>
      </c>
      <c r="I205" s="154"/>
      <c r="J205" s="299"/>
      <c r="K205" s="154"/>
      <c r="L205" s="268"/>
      <c r="M205" s="154"/>
      <c r="N205" s="268">
        <f t="shared" si="33"/>
        <v>0</v>
      </c>
      <c r="O205" s="154"/>
      <c r="P205" s="154"/>
      <c r="Q205" s="154"/>
      <c r="R205" s="154"/>
      <c r="S205" s="154"/>
    </row>
    <row r="206" spans="2:19" x14ac:dyDescent="0.35">
      <c r="B206" s="154" t="s">
        <v>1110</v>
      </c>
      <c r="C206" s="154" t="s">
        <v>323</v>
      </c>
      <c r="D206" s="268"/>
      <c r="E206" s="154"/>
      <c r="F206" s="268"/>
      <c r="G206" s="154"/>
      <c r="H206" s="268">
        <f t="shared" si="32"/>
        <v>0</v>
      </c>
      <c r="I206" s="154"/>
      <c r="J206" s="299"/>
      <c r="K206" s="154"/>
      <c r="L206" s="268"/>
      <c r="M206" s="154"/>
      <c r="N206" s="268">
        <f t="shared" si="33"/>
        <v>0</v>
      </c>
      <c r="O206" s="154"/>
      <c r="P206" s="154"/>
      <c r="Q206" s="154"/>
      <c r="R206" s="154"/>
      <c r="S206" s="154"/>
    </row>
    <row r="207" spans="2:19" x14ac:dyDescent="0.35">
      <c r="B207" s="154" t="s">
        <v>1111</v>
      </c>
      <c r="C207" s="154" t="s">
        <v>324</v>
      </c>
      <c r="D207" s="268"/>
      <c r="E207" s="154"/>
      <c r="F207" s="268"/>
      <c r="G207" s="154"/>
      <c r="H207" s="268">
        <f t="shared" si="32"/>
        <v>0</v>
      </c>
      <c r="I207" s="154"/>
      <c r="J207" s="299"/>
      <c r="K207" s="154"/>
      <c r="L207" s="268"/>
      <c r="M207" s="154"/>
      <c r="N207" s="268">
        <f t="shared" si="33"/>
        <v>0</v>
      </c>
      <c r="O207" s="154"/>
      <c r="P207" s="154"/>
      <c r="Q207" s="154"/>
      <c r="R207" s="154"/>
      <c r="S207" s="154"/>
    </row>
    <row r="208" spans="2:19" x14ac:dyDescent="0.35">
      <c r="B208" s="154" t="s">
        <v>1112</v>
      </c>
      <c r="C208" s="154" t="s">
        <v>325</v>
      </c>
      <c r="D208" s="268"/>
      <c r="E208" s="154"/>
      <c r="F208" s="268"/>
      <c r="G208" s="154"/>
      <c r="H208" s="268">
        <f t="shared" si="32"/>
        <v>0</v>
      </c>
      <c r="I208" s="154"/>
      <c r="J208" s="299"/>
      <c r="K208" s="154"/>
      <c r="L208" s="268"/>
      <c r="M208" s="154"/>
      <c r="N208" s="268">
        <f t="shared" si="33"/>
        <v>0</v>
      </c>
      <c r="O208" s="154"/>
      <c r="P208" s="154"/>
      <c r="Q208" s="154"/>
      <c r="R208" s="154"/>
      <c r="S208" s="154"/>
    </row>
    <row r="209" spans="2:19" x14ac:dyDescent="0.35">
      <c r="B209" s="154" t="s">
        <v>1113</v>
      </c>
      <c r="C209" s="154" t="s">
        <v>326</v>
      </c>
      <c r="D209" s="268"/>
      <c r="E209" s="154"/>
      <c r="F209" s="268"/>
      <c r="G209" s="154"/>
      <c r="H209" s="268">
        <f t="shared" si="32"/>
        <v>0</v>
      </c>
      <c r="I209" s="154"/>
      <c r="J209" s="299"/>
      <c r="K209" s="154"/>
      <c r="L209" s="268"/>
      <c r="M209" s="154"/>
      <c r="N209" s="268">
        <f t="shared" si="33"/>
        <v>0</v>
      </c>
      <c r="O209" s="154"/>
      <c r="P209" s="154"/>
      <c r="Q209" s="154"/>
      <c r="R209" s="154"/>
      <c r="S209" s="154"/>
    </row>
    <row r="210" spans="2:19" x14ac:dyDescent="0.35">
      <c r="B210" s="154" t="s">
        <v>1114</v>
      </c>
      <c r="C210" s="154" t="s">
        <v>327</v>
      </c>
      <c r="D210" s="268"/>
      <c r="E210" s="154"/>
      <c r="F210" s="268"/>
      <c r="G210" s="154"/>
      <c r="H210" s="268">
        <f t="shared" si="32"/>
        <v>0</v>
      </c>
      <c r="I210" s="154"/>
      <c r="J210" s="299"/>
      <c r="K210" s="154"/>
      <c r="L210" s="268"/>
      <c r="M210" s="154"/>
      <c r="N210" s="268">
        <f t="shared" si="33"/>
        <v>0</v>
      </c>
      <c r="O210" s="154"/>
      <c r="P210" s="154"/>
      <c r="Q210" s="154"/>
      <c r="R210" s="154"/>
      <c r="S210" s="154"/>
    </row>
    <row r="211" spans="2:19" x14ac:dyDescent="0.35">
      <c r="B211" s="154" t="s">
        <v>1115</v>
      </c>
      <c r="C211" s="154" t="s">
        <v>328</v>
      </c>
      <c r="D211" s="268"/>
      <c r="E211" s="154"/>
      <c r="F211" s="268"/>
      <c r="G211" s="154"/>
      <c r="H211" s="268">
        <f t="shared" si="32"/>
        <v>0</v>
      </c>
      <c r="I211" s="154"/>
      <c r="J211" s="299"/>
      <c r="K211" s="154"/>
      <c r="L211" s="268"/>
      <c r="M211" s="154"/>
      <c r="N211" s="268">
        <f t="shared" si="33"/>
        <v>0</v>
      </c>
      <c r="O211" s="154"/>
      <c r="P211" s="154"/>
      <c r="Q211" s="154"/>
      <c r="R211" s="154"/>
      <c r="S211" s="154"/>
    </row>
    <row r="212" spans="2:19" x14ac:dyDescent="0.35">
      <c r="B212" s="154" t="s">
        <v>1116</v>
      </c>
      <c r="C212" s="154" t="s">
        <v>329</v>
      </c>
      <c r="D212" s="268"/>
      <c r="E212" s="154"/>
      <c r="F212" s="268"/>
      <c r="G212" s="154"/>
      <c r="H212" s="268">
        <f t="shared" si="32"/>
        <v>0</v>
      </c>
      <c r="I212" s="154"/>
      <c r="J212" s="299"/>
      <c r="K212" s="154"/>
      <c r="L212" s="268"/>
      <c r="M212" s="154"/>
      <c r="N212" s="268">
        <f t="shared" si="33"/>
        <v>0</v>
      </c>
      <c r="O212" s="154"/>
      <c r="P212" s="154"/>
      <c r="Q212" s="154"/>
      <c r="R212" s="154"/>
      <c r="S212" s="154"/>
    </row>
    <row r="213" spans="2:19" x14ac:dyDescent="0.35">
      <c r="B213" s="154" t="s">
        <v>1117</v>
      </c>
      <c r="C213" s="154" t="s">
        <v>330</v>
      </c>
      <c r="D213" s="268"/>
      <c r="E213" s="154"/>
      <c r="F213" s="268"/>
      <c r="G213" s="154"/>
      <c r="H213" s="268">
        <f t="shared" si="32"/>
        <v>0</v>
      </c>
      <c r="I213" s="154"/>
      <c r="J213" s="299"/>
      <c r="K213" s="154"/>
      <c r="L213" s="268"/>
      <c r="M213" s="154"/>
      <c r="N213" s="268">
        <f t="shared" si="33"/>
        <v>0</v>
      </c>
      <c r="O213" s="154"/>
      <c r="P213" s="154"/>
      <c r="Q213" s="154"/>
      <c r="R213" s="154"/>
      <c r="S213" s="154"/>
    </row>
    <row r="214" spans="2:19" x14ac:dyDescent="0.35">
      <c r="B214" s="154" t="s">
        <v>1118</v>
      </c>
      <c r="C214" s="154" t="s">
        <v>332</v>
      </c>
      <c r="D214" s="268"/>
      <c r="E214" s="154"/>
      <c r="F214" s="268"/>
      <c r="G214" s="154"/>
      <c r="H214" s="268">
        <f t="shared" si="32"/>
        <v>0</v>
      </c>
      <c r="I214" s="154"/>
      <c r="J214" s="299"/>
      <c r="K214" s="154"/>
      <c r="L214" s="268"/>
      <c r="M214" s="154"/>
      <c r="N214" s="268">
        <f t="shared" si="33"/>
        <v>0</v>
      </c>
      <c r="O214" s="154"/>
      <c r="P214" s="154"/>
      <c r="Q214" s="154"/>
      <c r="R214" s="154"/>
      <c r="S214" s="154"/>
    </row>
    <row r="215" spans="2:19" x14ac:dyDescent="0.35">
      <c r="B215" s="154" t="s">
        <v>1119</v>
      </c>
      <c r="C215" s="154" t="s">
        <v>334</v>
      </c>
      <c r="D215" s="268"/>
      <c r="E215" s="154"/>
      <c r="F215" s="268"/>
      <c r="G215" s="154"/>
      <c r="H215" s="268">
        <f t="shared" si="32"/>
        <v>0</v>
      </c>
      <c r="I215" s="154"/>
      <c r="J215" s="299"/>
      <c r="K215" s="154"/>
      <c r="L215" s="268"/>
      <c r="M215" s="154"/>
      <c r="N215" s="268">
        <f t="shared" si="33"/>
        <v>0</v>
      </c>
      <c r="O215" s="154"/>
      <c r="P215" s="154"/>
      <c r="Q215" s="154"/>
      <c r="R215" s="154"/>
      <c r="S215" s="154"/>
    </row>
    <row r="216" spans="2:19" x14ac:dyDescent="0.35">
      <c r="B216" s="154" t="s">
        <v>1120</v>
      </c>
      <c r="C216" s="154" t="s">
        <v>336</v>
      </c>
      <c r="D216" s="268"/>
      <c r="E216" s="154"/>
      <c r="F216" s="268"/>
      <c r="G216" s="154"/>
      <c r="H216" s="268">
        <f t="shared" si="32"/>
        <v>0</v>
      </c>
      <c r="I216" s="154"/>
      <c r="J216" s="299"/>
      <c r="K216" s="154"/>
      <c r="L216" s="268"/>
      <c r="M216" s="154"/>
      <c r="N216" s="268">
        <f t="shared" si="33"/>
        <v>0</v>
      </c>
      <c r="O216" s="154"/>
      <c r="P216" s="154"/>
      <c r="Q216" s="154"/>
      <c r="R216" s="154"/>
      <c r="S216" s="154"/>
    </row>
    <row r="217" spans="2:19" x14ac:dyDescent="0.35">
      <c r="B217" s="154" t="s">
        <v>1121</v>
      </c>
      <c r="C217" s="154" t="s">
        <v>338</v>
      </c>
      <c r="D217" s="268"/>
      <c r="E217" s="154"/>
      <c r="F217" s="268"/>
      <c r="G217" s="154"/>
      <c r="H217" s="268">
        <f t="shared" si="32"/>
        <v>0</v>
      </c>
      <c r="I217" s="154"/>
      <c r="J217" s="299"/>
      <c r="K217" s="154"/>
      <c r="L217" s="268"/>
      <c r="M217" s="154"/>
      <c r="N217" s="268">
        <f t="shared" si="33"/>
        <v>0</v>
      </c>
      <c r="O217" s="154"/>
      <c r="P217" s="154"/>
      <c r="Q217" s="154"/>
      <c r="R217" s="154"/>
      <c r="S217" s="154"/>
    </row>
    <row r="218" spans="2:19" x14ac:dyDescent="0.35">
      <c r="B218" s="154" t="s">
        <v>1122</v>
      </c>
      <c r="C218" s="154" t="s">
        <v>340</v>
      </c>
      <c r="D218" s="268"/>
      <c r="E218" s="154"/>
      <c r="F218" s="268"/>
      <c r="G218" s="154"/>
      <c r="H218" s="268">
        <f t="shared" si="32"/>
        <v>0</v>
      </c>
      <c r="I218" s="154"/>
      <c r="J218" s="299"/>
      <c r="K218" s="154"/>
      <c r="L218" s="268"/>
      <c r="M218" s="154"/>
      <c r="N218" s="268">
        <f t="shared" si="33"/>
        <v>0</v>
      </c>
      <c r="O218" s="154"/>
      <c r="P218" s="154"/>
      <c r="Q218" s="154"/>
      <c r="R218" s="154"/>
      <c r="S218" s="154"/>
    </row>
    <row r="219" spans="2:19" x14ac:dyDescent="0.35">
      <c r="B219" s="154" t="s">
        <v>1123</v>
      </c>
      <c r="C219" s="154" t="s">
        <v>342</v>
      </c>
      <c r="D219" s="268"/>
      <c r="E219" s="154"/>
      <c r="F219" s="268"/>
      <c r="G219" s="154"/>
      <c r="H219" s="268">
        <f t="shared" si="32"/>
        <v>0</v>
      </c>
      <c r="I219" s="154"/>
      <c r="J219" s="299"/>
      <c r="K219" s="154"/>
      <c r="L219" s="268"/>
      <c r="M219" s="154"/>
      <c r="N219" s="268">
        <f t="shared" si="33"/>
        <v>0</v>
      </c>
      <c r="O219" s="154"/>
      <c r="P219" s="154"/>
      <c r="Q219" s="154"/>
      <c r="R219" s="154"/>
      <c r="S219" s="154"/>
    </row>
    <row r="220" spans="2:19" x14ac:dyDescent="0.35">
      <c r="B220" s="154" t="s">
        <v>1124</v>
      </c>
      <c r="C220" s="154" t="s">
        <v>345</v>
      </c>
      <c r="D220" s="268"/>
      <c r="E220" s="154"/>
      <c r="F220" s="268"/>
      <c r="G220" s="154"/>
      <c r="H220" s="268">
        <f t="shared" si="32"/>
        <v>0</v>
      </c>
      <c r="I220" s="154"/>
      <c r="J220" s="299"/>
      <c r="K220" s="154"/>
      <c r="L220" s="268"/>
      <c r="M220" s="154"/>
      <c r="N220" s="268">
        <f t="shared" si="33"/>
        <v>0</v>
      </c>
      <c r="O220" s="154"/>
      <c r="P220" s="154"/>
      <c r="Q220" s="154"/>
      <c r="R220" s="154"/>
      <c r="S220" s="154"/>
    </row>
    <row r="221" spans="2:19" x14ac:dyDescent="0.35">
      <c r="B221" s="154" t="s">
        <v>1125</v>
      </c>
      <c r="C221" s="154" t="s">
        <v>347</v>
      </c>
      <c r="D221" s="268"/>
      <c r="E221" s="154"/>
      <c r="F221" s="268"/>
      <c r="G221" s="154"/>
      <c r="H221" s="268">
        <f t="shared" si="32"/>
        <v>0</v>
      </c>
      <c r="I221" s="154"/>
      <c r="J221" s="299"/>
      <c r="K221" s="154"/>
      <c r="L221" s="268"/>
      <c r="M221" s="154"/>
      <c r="N221" s="268">
        <f t="shared" si="33"/>
        <v>0</v>
      </c>
      <c r="O221" s="154"/>
      <c r="P221" s="154"/>
      <c r="Q221" s="154"/>
      <c r="R221" s="154"/>
      <c r="S221" s="154"/>
    </row>
    <row r="222" spans="2:19" x14ac:dyDescent="0.35">
      <c r="B222" s="154" t="s">
        <v>1126</v>
      </c>
      <c r="C222" s="154" t="s">
        <v>349</v>
      </c>
      <c r="D222" s="268"/>
      <c r="E222" s="154"/>
      <c r="F222" s="268"/>
      <c r="G222" s="154"/>
      <c r="H222" s="268">
        <f t="shared" si="32"/>
        <v>0</v>
      </c>
      <c r="I222" s="154"/>
      <c r="J222" s="299"/>
      <c r="K222" s="154"/>
      <c r="L222" s="268"/>
      <c r="M222" s="154"/>
      <c r="N222" s="268">
        <f t="shared" si="33"/>
        <v>0</v>
      </c>
      <c r="O222" s="154"/>
      <c r="P222" s="154"/>
      <c r="Q222" s="154"/>
      <c r="R222" s="154"/>
      <c r="S222" s="154"/>
    </row>
    <row r="223" spans="2:19" x14ac:dyDescent="0.35">
      <c r="B223" s="154" t="s">
        <v>1127</v>
      </c>
      <c r="C223" s="154" t="s">
        <v>351</v>
      </c>
      <c r="D223" s="268"/>
      <c r="E223" s="154"/>
      <c r="F223" s="268"/>
      <c r="G223" s="154"/>
      <c r="H223" s="268">
        <f t="shared" si="32"/>
        <v>0</v>
      </c>
      <c r="I223" s="154"/>
      <c r="J223" s="299"/>
      <c r="K223" s="154"/>
      <c r="L223" s="268"/>
      <c r="M223" s="154"/>
      <c r="N223" s="268">
        <f t="shared" si="33"/>
        <v>0</v>
      </c>
      <c r="O223" s="154"/>
      <c r="P223" s="154"/>
      <c r="Q223" s="154"/>
      <c r="R223" s="154"/>
      <c r="S223" s="154"/>
    </row>
    <row r="224" spans="2:19" x14ac:dyDescent="0.35">
      <c r="B224" s="154" t="s">
        <v>1128</v>
      </c>
      <c r="C224" s="154" t="s">
        <v>857</v>
      </c>
      <c r="D224" s="268"/>
      <c r="E224" s="154"/>
      <c r="F224" s="268"/>
      <c r="G224" s="154"/>
      <c r="H224" s="268">
        <f t="shared" si="32"/>
        <v>0</v>
      </c>
      <c r="I224" s="154"/>
      <c r="J224" s="299"/>
      <c r="K224" s="154"/>
      <c r="L224" s="268"/>
      <c r="M224" s="154"/>
      <c r="N224" s="268">
        <f t="shared" si="33"/>
        <v>0</v>
      </c>
      <c r="O224" s="154"/>
      <c r="P224" s="154"/>
      <c r="Q224" s="154"/>
      <c r="R224" s="154"/>
      <c r="S224" s="154"/>
    </row>
    <row r="225" spans="2:19" x14ac:dyDescent="0.35">
      <c r="B225" s="154" t="s">
        <v>1129</v>
      </c>
      <c r="C225" s="154" t="s">
        <v>858</v>
      </c>
      <c r="D225" s="268"/>
      <c r="E225" s="154"/>
      <c r="F225" s="268"/>
      <c r="G225" s="154"/>
      <c r="H225" s="268">
        <f t="shared" si="32"/>
        <v>0</v>
      </c>
      <c r="I225" s="154"/>
      <c r="J225" s="299"/>
      <c r="K225" s="154"/>
      <c r="L225" s="268"/>
      <c r="M225" s="154"/>
      <c r="N225" s="268">
        <f t="shared" si="33"/>
        <v>0</v>
      </c>
      <c r="O225" s="154"/>
      <c r="P225" s="154"/>
      <c r="Q225" s="154"/>
      <c r="R225" s="154"/>
      <c r="S225" s="154"/>
    </row>
    <row r="226" spans="2:19" x14ac:dyDescent="0.35">
      <c r="B226" s="154" t="s">
        <v>1130</v>
      </c>
      <c r="C226" s="154" t="s">
        <v>352</v>
      </c>
      <c r="D226" s="268"/>
      <c r="E226" s="154"/>
      <c r="F226" s="268"/>
      <c r="G226" s="154"/>
      <c r="H226" s="268">
        <f t="shared" si="32"/>
        <v>0</v>
      </c>
      <c r="I226" s="154"/>
      <c r="J226" s="299"/>
      <c r="K226" s="154"/>
      <c r="L226" s="268"/>
      <c r="M226" s="154"/>
      <c r="N226" s="268">
        <f t="shared" si="33"/>
        <v>0</v>
      </c>
      <c r="O226" s="154"/>
      <c r="P226" s="154"/>
      <c r="Q226" s="154"/>
      <c r="R226" s="154"/>
      <c r="S226" s="154"/>
    </row>
    <row r="227" spans="2:19" x14ac:dyDescent="0.35">
      <c r="B227" s="224" t="s">
        <v>1131</v>
      </c>
      <c r="C227" s="224" t="s">
        <v>566</v>
      </c>
      <c r="D227" s="267">
        <f>SUM(D228:D230)</f>
        <v>0</v>
      </c>
      <c r="E227" s="267">
        <f t="shared" ref="E227:N227" si="34">SUM(E228:E230)</f>
        <v>0</v>
      </c>
      <c r="F227" s="267">
        <f t="shared" si="34"/>
        <v>0</v>
      </c>
      <c r="G227" s="267">
        <f t="shared" si="34"/>
        <v>0</v>
      </c>
      <c r="H227" s="267">
        <f t="shared" si="34"/>
        <v>0</v>
      </c>
      <c r="I227" s="267">
        <f t="shared" si="34"/>
        <v>0</v>
      </c>
      <c r="J227" s="267">
        <f t="shared" si="34"/>
        <v>0</v>
      </c>
      <c r="K227" s="267">
        <f t="shared" si="34"/>
        <v>0</v>
      </c>
      <c r="L227" s="267">
        <f t="shared" si="34"/>
        <v>0</v>
      </c>
      <c r="M227" s="267">
        <f t="shared" si="34"/>
        <v>0</v>
      </c>
      <c r="N227" s="267">
        <f t="shared" si="34"/>
        <v>0</v>
      </c>
      <c r="O227" s="224"/>
      <c r="P227" s="224"/>
      <c r="Q227" s="224"/>
      <c r="R227" s="224"/>
      <c r="S227" s="224"/>
    </row>
    <row r="228" spans="2:19" x14ac:dyDescent="0.35">
      <c r="B228" s="154" t="s">
        <v>1132</v>
      </c>
      <c r="C228" s="154" t="s">
        <v>890</v>
      </c>
      <c r="D228" s="268"/>
      <c r="E228" s="154"/>
      <c r="F228" s="268"/>
      <c r="G228" s="154"/>
      <c r="H228" s="268">
        <f t="shared" si="32"/>
        <v>0</v>
      </c>
      <c r="I228" s="154"/>
      <c r="J228" s="299"/>
      <c r="K228" s="154"/>
      <c r="L228" s="268"/>
      <c r="M228" s="154"/>
      <c r="N228" s="268">
        <f t="shared" si="33"/>
        <v>0</v>
      </c>
      <c r="O228" s="154"/>
      <c r="P228" s="154"/>
      <c r="Q228" s="154"/>
      <c r="R228" s="154"/>
      <c r="S228" s="154"/>
    </row>
    <row r="229" spans="2:19" x14ac:dyDescent="0.35">
      <c r="B229" s="154" t="s">
        <v>1133</v>
      </c>
      <c r="C229" s="154" t="s">
        <v>891</v>
      </c>
      <c r="D229" s="268"/>
      <c r="E229" s="154"/>
      <c r="F229" s="268"/>
      <c r="G229" s="154"/>
      <c r="H229" s="268">
        <f t="shared" si="32"/>
        <v>0</v>
      </c>
      <c r="I229" s="154"/>
      <c r="J229" s="299"/>
      <c r="K229" s="154"/>
      <c r="L229" s="268"/>
      <c r="M229" s="154"/>
      <c r="N229" s="268">
        <f t="shared" si="33"/>
        <v>0</v>
      </c>
      <c r="O229" s="154"/>
      <c r="P229" s="154"/>
      <c r="Q229" s="154"/>
      <c r="R229" s="154"/>
      <c r="S229" s="154"/>
    </row>
    <row r="230" spans="2:19" x14ac:dyDescent="0.35">
      <c r="B230" s="154" t="s">
        <v>1134</v>
      </c>
      <c r="C230" s="154" t="s">
        <v>593</v>
      </c>
      <c r="D230" s="268"/>
      <c r="E230" s="154"/>
      <c r="F230" s="268"/>
      <c r="G230" s="154"/>
      <c r="H230" s="268">
        <f t="shared" si="32"/>
        <v>0</v>
      </c>
      <c r="I230" s="154"/>
      <c r="J230" s="299"/>
      <c r="K230" s="154"/>
      <c r="L230" s="268"/>
      <c r="M230" s="154"/>
      <c r="N230" s="268">
        <f t="shared" si="33"/>
        <v>0</v>
      </c>
      <c r="O230" s="154"/>
      <c r="P230" s="154"/>
      <c r="Q230" s="154"/>
      <c r="R230" s="154"/>
      <c r="S230" s="154"/>
    </row>
    <row r="231" spans="2:19" x14ac:dyDescent="0.35">
      <c r="B231" s="223" t="s">
        <v>1135</v>
      </c>
      <c r="C231" s="223" t="s">
        <v>353</v>
      </c>
      <c r="D231" s="266"/>
      <c r="E231" s="223"/>
      <c r="F231" s="266"/>
      <c r="G231" s="223"/>
      <c r="H231" s="266"/>
      <c r="I231" s="223"/>
      <c r="J231" s="297">
        <v>0</v>
      </c>
      <c r="K231" s="223"/>
      <c r="L231" s="266"/>
      <c r="M231" s="223"/>
      <c r="N231" s="266"/>
      <c r="O231" s="223"/>
      <c r="P231" s="223"/>
      <c r="Q231" s="223"/>
      <c r="R231" s="223"/>
      <c r="S231" s="223"/>
    </row>
    <row r="232" spans="2:19" x14ac:dyDescent="0.35">
      <c r="B232" s="224" t="s">
        <v>1136</v>
      </c>
      <c r="C232" s="224" t="s">
        <v>567</v>
      </c>
      <c r="D232" s="267">
        <f>SUM(D233:D256)</f>
        <v>0</v>
      </c>
      <c r="E232" s="267">
        <f t="shared" ref="E232:N232" si="35">SUM(E233:E256)</f>
        <v>0</v>
      </c>
      <c r="F232" s="267">
        <f t="shared" si="35"/>
        <v>0</v>
      </c>
      <c r="G232" s="267">
        <f t="shared" si="35"/>
        <v>0</v>
      </c>
      <c r="H232" s="267">
        <f t="shared" si="35"/>
        <v>0</v>
      </c>
      <c r="I232" s="267">
        <f t="shared" si="35"/>
        <v>0</v>
      </c>
      <c r="J232" s="267">
        <f t="shared" si="35"/>
        <v>0</v>
      </c>
      <c r="K232" s="267">
        <f t="shared" si="35"/>
        <v>0</v>
      </c>
      <c r="L232" s="267">
        <f t="shared" si="35"/>
        <v>0</v>
      </c>
      <c r="M232" s="267">
        <f t="shared" si="35"/>
        <v>0</v>
      </c>
      <c r="N232" s="267">
        <f t="shared" si="35"/>
        <v>0</v>
      </c>
      <c r="O232" s="224"/>
      <c r="P232" s="224"/>
      <c r="Q232" s="224"/>
      <c r="R232" s="224"/>
      <c r="S232" s="224"/>
    </row>
    <row r="233" spans="2:19" x14ac:dyDescent="0.35">
      <c r="B233" s="154" t="s">
        <v>1137</v>
      </c>
      <c r="C233" s="154" t="s">
        <v>354</v>
      </c>
      <c r="D233" s="268"/>
      <c r="E233" s="154"/>
      <c r="F233" s="268"/>
      <c r="G233" s="154"/>
      <c r="H233" s="268">
        <f t="shared" ref="H233:H260" si="36">D233-F233</f>
        <v>0</v>
      </c>
      <c r="I233" s="154"/>
      <c r="J233" s="299"/>
      <c r="K233" s="154"/>
      <c r="L233" s="268"/>
      <c r="M233" s="154"/>
      <c r="N233" s="268">
        <f t="shared" ref="N233:N260" si="37">J233-L233</f>
        <v>0</v>
      </c>
      <c r="O233" s="154"/>
      <c r="P233" s="154"/>
      <c r="Q233" s="154"/>
      <c r="R233" s="154"/>
      <c r="S233" s="154"/>
    </row>
    <row r="234" spans="2:19" x14ac:dyDescent="0.35">
      <c r="B234" s="154" t="s">
        <v>1138</v>
      </c>
      <c r="C234" s="154" t="s">
        <v>355</v>
      </c>
      <c r="D234" s="268"/>
      <c r="E234" s="154"/>
      <c r="F234" s="268"/>
      <c r="G234" s="154"/>
      <c r="H234" s="268">
        <f t="shared" si="36"/>
        <v>0</v>
      </c>
      <c r="I234" s="154"/>
      <c r="J234" s="299"/>
      <c r="K234" s="154"/>
      <c r="L234" s="268"/>
      <c r="M234" s="154"/>
      <c r="N234" s="268">
        <f t="shared" si="37"/>
        <v>0</v>
      </c>
      <c r="O234" s="154"/>
      <c r="P234" s="154"/>
      <c r="Q234" s="154"/>
      <c r="R234" s="154"/>
      <c r="S234" s="154"/>
    </row>
    <row r="235" spans="2:19" x14ac:dyDescent="0.35">
      <c r="B235" s="154" t="s">
        <v>1139</v>
      </c>
      <c r="C235" s="154" t="s">
        <v>356</v>
      </c>
      <c r="D235" s="268"/>
      <c r="E235" s="154"/>
      <c r="F235" s="268"/>
      <c r="G235" s="154"/>
      <c r="H235" s="268">
        <f t="shared" si="36"/>
        <v>0</v>
      </c>
      <c r="I235" s="154"/>
      <c r="J235" s="299"/>
      <c r="K235" s="154"/>
      <c r="L235" s="268"/>
      <c r="M235" s="154"/>
      <c r="N235" s="268">
        <f t="shared" si="37"/>
        <v>0</v>
      </c>
      <c r="O235" s="154"/>
      <c r="P235" s="154"/>
      <c r="Q235" s="154"/>
      <c r="R235" s="154"/>
      <c r="S235" s="154"/>
    </row>
    <row r="236" spans="2:19" x14ac:dyDescent="0.35">
      <c r="B236" s="154" t="s">
        <v>1140</v>
      </c>
      <c r="C236" s="154" t="s">
        <v>357</v>
      </c>
      <c r="D236" s="268"/>
      <c r="E236" s="154"/>
      <c r="F236" s="268"/>
      <c r="G236" s="154"/>
      <c r="H236" s="268">
        <f t="shared" si="36"/>
        <v>0</v>
      </c>
      <c r="I236" s="154"/>
      <c r="J236" s="299"/>
      <c r="K236" s="154"/>
      <c r="L236" s="268"/>
      <c r="M236" s="154"/>
      <c r="N236" s="268">
        <f t="shared" si="37"/>
        <v>0</v>
      </c>
      <c r="O236" s="154"/>
      <c r="P236" s="154"/>
      <c r="Q236" s="154"/>
      <c r="R236" s="154"/>
      <c r="S236" s="154"/>
    </row>
    <row r="237" spans="2:19" x14ac:dyDescent="0.35">
      <c r="B237" s="154" t="s">
        <v>1141</v>
      </c>
      <c r="C237" s="154" t="s">
        <v>358</v>
      </c>
      <c r="D237" s="268"/>
      <c r="E237" s="154"/>
      <c r="F237" s="268"/>
      <c r="G237" s="154"/>
      <c r="H237" s="268">
        <f t="shared" si="36"/>
        <v>0</v>
      </c>
      <c r="I237" s="154"/>
      <c r="J237" s="299"/>
      <c r="K237" s="154"/>
      <c r="L237" s="268"/>
      <c r="M237" s="154"/>
      <c r="N237" s="268">
        <f t="shared" si="37"/>
        <v>0</v>
      </c>
      <c r="O237" s="154"/>
      <c r="P237" s="154"/>
      <c r="Q237" s="154"/>
      <c r="R237" s="154"/>
      <c r="S237" s="154"/>
    </row>
    <row r="238" spans="2:19" x14ac:dyDescent="0.35">
      <c r="B238" s="154" t="s">
        <v>1142</v>
      </c>
      <c r="C238" s="154" t="s">
        <v>359</v>
      </c>
      <c r="D238" s="268"/>
      <c r="E238" s="154"/>
      <c r="F238" s="268"/>
      <c r="G238" s="154"/>
      <c r="H238" s="268">
        <f t="shared" si="36"/>
        <v>0</v>
      </c>
      <c r="I238" s="154"/>
      <c r="J238" s="299"/>
      <c r="K238" s="154"/>
      <c r="L238" s="268"/>
      <c r="M238" s="154"/>
      <c r="N238" s="268">
        <f t="shared" si="37"/>
        <v>0</v>
      </c>
      <c r="O238" s="154"/>
      <c r="P238" s="154"/>
      <c r="Q238" s="154"/>
      <c r="R238" s="154"/>
      <c r="S238" s="154"/>
    </row>
    <row r="239" spans="2:19" x14ac:dyDescent="0.35">
      <c r="B239" s="154" t="s">
        <v>1143</v>
      </c>
      <c r="C239" s="154" t="s">
        <v>360</v>
      </c>
      <c r="D239" s="268"/>
      <c r="E239" s="154"/>
      <c r="F239" s="268"/>
      <c r="G239" s="154"/>
      <c r="H239" s="268">
        <f t="shared" si="36"/>
        <v>0</v>
      </c>
      <c r="I239" s="154"/>
      <c r="J239" s="299"/>
      <c r="K239" s="154"/>
      <c r="L239" s="268"/>
      <c r="M239" s="154"/>
      <c r="N239" s="268">
        <f t="shared" si="37"/>
        <v>0</v>
      </c>
      <c r="O239" s="154"/>
      <c r="P239" s="154"/>
      <c r="Q239" s="154"/>
      <c r="R239" s="154"/>
      <c r="S239" s="154"/>
    </row>
    <row r="240" spans="2:19" x14ac:dyDescent="0.35">
      <c r="B240" s="154" t="s">
        <v>1144</v>
      </c>
      <c r="C240" s="154" t="s">
        <v>361</v>
      </c>
      <c r="D240" s="268"/>
      <c r="E240" s="154"/>
      <c r="F240" s="268"/>
      <c r="G240" s="154"/>
      <c r="H240" s="268">
        <f t="shared" si="36"/>
        <v>0</v>
      </c>
      <c r="I240" s="154"/>
      <c r="J240" s="299"/>
      <c r="K240" s="154"/>
      <c r="L240" s="268"/>
      <c r="M240" s="154"/>
      <c r="N240" s="268">
        <f t="shared" si="37"/>
        <v>0</v>
      </c>
      <c r="O240" s="154"/>
      <c r="P240" s="154"/>
      <c r="Q240" s="154"/>
      <c r="R240" s="154"/>
      <c r="S240" s="154"/>
    </row>
    <row r="241" spans="2:19" x14ac:dyDescent="0.35">
      <c r="B241" s="154" t="s">
        <v>1145</v>
      </c>
      <c r="C241" s="154" t="s">
        <v>362</v>
      </c>
      <c r="D241" s="268"/>
      <c r="E241" s="154"/>
      <c r="F241" s="268"/>
      <c r="G241" s="154"/>
      <c r="H241" s="268">
        <f t="shared" si="36"/>
        <v>0</v>
      </c>
      <c r="I241" s="154"/>
      <c r="J241" s="299"/>
      <c r="K241" s="154"/>
      <c r="L241" s="268"/>
      <c r="M241" s="154"/>
      <c r="N241" s="268">
        <f t="shared" si="37"/>
        <v>0</v>
      </c>
      <c r="O241" s="154"/>
      <c r="P241" s="154"/>
      <c r="Q241" s="154"/>
      <c r="R241" s="154"/>
      <c r="S241" s="154"/>
    </row>
    <row r="242" spans="2:19" x14ac:dyDescent="0.35">
      <c r="B242" s="154" t="s">
        <v>1146</v>
      </c>
      <c r="C242" s="154" t="s">
        <v>363</v>
      </c>
      <c r="D242" s="268"/>
      <c r="E242" s="154"/>
      <c r="F242" s="268"/>
      <c r="G242" s="154"/>
      <c r="H242" s="268">
        <f t="shared" si="36"/>
        <v>0</v>
      </c>
      <c r="I242" s="154"/>
      <c r="J242" s="299"/>
      <c r="K242" s="154"/>
      <c r="L242" s="268"/>
      <c r="M242" s="154"/>
      <c r="N242" s="268">
        <f t="shared" si="37"/>
        <v>0</v>
      </c>
      <c r="O242" s="154"/>
      <c r="P242" s="154"/>
      <c r="Q242" s="154"/>
      <c r="R242" s="154"/>
      <c r="S242" s="154"/>
    </row>
    <row r="243" spans="2:19" x14ac:dyDescent="0.35">
      <c r="B243" s="154" t="s">
        <v>1147</v>
      </c>
      <c r="C243" s="154" t="s">
        <v>364</v>
      </c>
      <c r="D243" s="268"/>
      <c r="E243" s="154"/>
      <c r="F243" s="268"/>
      <c r="G243" s="154"/>
      <c r="H243" s="268">
        <f t="shared" si="36"/>
        <v>0</v>
      </c>
      <c r="I243" s="154"/>
      <c r="J243" s="299"/>
      <c r="K243" s="154"/>
      <c r="L243" s="268"/>
      <c r="M243" s="154"/>
      <c r="N243" s="268">
        <f t="shared" si="37"/>
        <v>0</v>
      </c>
      <c r="O243" s="154"/>
      <c r="P243" s="154"/>
      <c r="Q243" s="154"/>
      <c r="R243" s="154"/>
      <c r="S243" s="154"/>
    </row>
    <row r="244" spans="2:19" x14ac:dyDescent="0.35">
      <c r="B244" s="154" t="s">
        <v>1148</v>
      </c>
      <c r="C244" s="154" t="s">
        <v>365</v>
      </c>
      <c r="D244" s="268"/>
      <c r="E244" s="154"/>
      <c r="F244" s="268"/>
      <c r="G244" s="154"/>
      <c r="H244" s="268">
        <f t="shared" si="36"/>
        <v>0</v>
      </c>
      <c r="I244" s="154"/>
      <c r="J244" s="299"/>
      <c r="K244" s="154"/>
      <c r="L244" s="268"/>
      <c r="M244" s="154"/>
      <c r="N244" s="268">
        <f t="shared" si="37"/>
        <v>0</v>
      </c>
      <c r="O244" s="154"/>
      <c r="P244" s="154"/>
      <c r="Q244" s="154"/>
      <c r="R244" s="154"/>
      <c r="S244" s="154"/>
    </row>
    <row r="245" spans="2:19" x14ac:dyDescent="0.35">
      <c r="B245" s="154" t="s">
        <v>1149</v>
      </c>
      <c r="C245" s="154" t="s">
        <v>366</v>
      </c>
      <c r="D245" s="268"/>
      <c r="E245" s="154"/>
      <c r="F245" s="268"/>
      <c r="G245" s="154"/>
      <c r="H245" s="268">
        <f t="shared" si="36"/>
        <v>0</v>
      </c>
      <c r="I245" s="154"/>
      <c r="J245" s="299"/>
      <c r="K245" s="154"/>
      <c r="L245" s="268"/>
      <c r="M245" s="154"/>
      <c r="N245" s="268">
        <f t="shared" si="37"/>
        <v>0</v>
      </c>
      <c r="O245" s="154"/>
      <c r="P245" s="154"/>
      <c r="Q245" s="154"/>
      <c r="R245" s="154"/>
      <c r="S245" s="154"/>
    </row>
    <row r="246" spans="2:19" x14ac:dyDescent="0.35">
      <c r="B246" s="154" t="s">
        <v>1150</v>
      </c>
      <c r="C246" s="154" t="s">
        <v>367</v>
      </c>
      <c r="D246" s="268"/>
      <c r="E246" s="154"/>
      <c r="F246" s="268"/>
      <c r="G246" s="154"/>
      <c r="H246" s="268">
        <f t="shared" si="36"/>
        <v>0</v>
      </c>
      <c r="I246" s="154"/>
      <c r="J246" s="299"/>
      <c r="K246" s="154"/>
      <c r="L246" s="268"/>
      <c r="M246" s="154"/>
      <c r="N246" s="268">
        <f t="shared" si="37"/>
        <v>0</v>
      </c>
      <c r="O246" s="154"/>
      <c r="P246" s="154"/>
      <c r="Q246" s="154"/>
      <c r="R246" s="154"/>
      <c r="S246" s="154"/>
    </row>
    <row r="247" spans="2:19" x14ac:dyDescent="0.35">
      <c r="B247" s="154" t="s">
        <v>1151</v>
      </c>
      <c r="C247" s="154" t="s">
        <v>368</v>
      </c>
      <c r="D247" s="268"/>
      <c r="E247" s="154"/>
      <c r="F247" s="268"/>
      <c r="G247" s="154"/>
      <c r="H247" s="268">
        <f t="shared" si="36"/>
        <v>0</v>
      </c>
      <c r="I247" s="154"/>
      <c r="J247" s="299"/>
      <c r="K247" s="154"/>
      <c r="L247" s="268"/>
      <c r="M247" s="154"/>
      <c r="N247" s="268">
        <f t="shared" si="37"/>
        <v>0</v>
      </c>
      <c r="O247" s="154"/>
      <c r="P247" s="154"/>
      <c r="Q247" s="154"/>
      <c r="R247" s="154"/>
      <c r="S247" s="154"/>
    </row>
    <row r="248" spans="2:19" x14ac:dyDescent="0.35">
      <c r="B248" s="154" t="s">
        <v>1152</v>
      </c>
      <c r="C248" s="154" t="s">
        <v>369</v>
      </c>
      <c r="D248" s="268"/>
      <c r="E248" s="154"/>
      <c r="F248" s="268"/>
      <c r="G248" s="154"/>
      <c r="H248" s="268">
        <f t="shared" si="36"/>
        <v>0</v>
      </c>
      <c r="I248" s="154"/>
      <c r="J248" s="299"/>
      <c r="K248" s="154"/>
      <c r="L248" s="268"/>
      <c r="M248" s="154"/>
      <c r="N248" s="268">
        <f t="shared" si="37"/>
        <v>0</v>
      </c>
      <c r="O248" s="154"/>
      <c r="P248" s="154"/>
      <c r="Q248" s="154"/>
      <c r="R248" s="154"/>
      <c r="S248" s="154"/>
    </row>
    <row r="249" spans="2:19" x14ac:dyDescent="0.35">
      <c r="B249" s="154" t="s">
        <v>1153</v>
      </c>
      <c r="C249" s="154" t="s">
        <v>370</v>
      </c>
      <c r="D249" s="268"/>
      <c r="E249" s="154"/>
      <c r="F249" s="268"/>
      <c r="G249" s="154"/>
      <c r="H249" s="268">
        <f t="shared" si="36"/>
        <v>0</v>
      </c>
      <c r="I249" s="154"/>
      <c r="J249" s="299"/>
      <c r="K249" s="154"/>
      <c r="L249" s="268"/>
      <c r="M249" s="154"/>
      <c r="N249" s="268">
        <f t="shared" si="37"/>
        <v>0</v>
      </c>
      <c r="O249" s="154"/>
      <c r="P249" s="154"/>
      <c r="Q249" s="154"/>
      <c r="R249" s="154"/>
      <c r="S249" s="154"/>
    </row>
    <row r="250" spans="2:19" x14ac:dyDescent="0.35">
      <c r="B250" s="154" t="s">
        <v>1154</v>
      </c>
      <c r="C250" s="154" t="s">
        <v>371</v>
      </c>
      <c r="D250" s="268"/>
      <c r="E250" s="154"/>
      <c r="F250" s="268"/>
      <c r="G250" s="154"/>
      <c r="H250" s="268">
        <f t="shared" si="36"/>
        <v>0</v>
      </c>
      <c r="I250" s="154"/>
      <c r="J250" s="299"/>
      <c r="K250" s="154"/>
      <c r="L250" s="268"/>
      <c r="M250" s="154"/>
      <c r="N250" s="268">
        <f t="shared" si="37"/>
        <v>0</v>
      </c>
      <c r="O250" s="154"/>
      <c r="P250" s="154"/>
      <c r="Q250" s="154"/>
      <c r="R250" s="154"/>
      <c r="S250" s="154"/>
    </row>
    <row r="251" spans="2:19" x14ac:dyDescent="0.35">
      <c r="B251" s="154" t="s">
        <v>1155</v>
      </c>
      <c r="C251" s="154" t="s">
        <v>372</v>
      </c>
      <c r="D251" s="268"/>
      <c r="E251" s="154"/>
      <c r="F251" s="268"/>
      <c r="G251" s="154"/>
      <c r="H251" s="268">
        <f t="shared" si="36"/>
        <v>0</v>
      </c>
      <c r="I251" s="154"/>
      <c r="J251" s="299"/>
      <c r="K251" s="154"/>
      <c r="L251" s="268"/>
      <c r="M251" s="154"/>
      <c r="N251" s="268">
        <f t="shared" si="37"/>
        <v>0</v>
      </c>
      <c r="O251" s="154"/>
      <c r="P251" s="154"/>
      <c r="Q251" s="154"/>
      <c r="R251" s="154"/>
      <c r="S251" s="154"/>
    </row>
    <row r="252" spans="2:19" x14ac:dyDescent="0.35">
      <c r="B252" s="154" t="s">
        <v>1156</v>
      </c>
      <c r="C252" s="154" t="s">
        <v>373</v>
      </c>
      <c r="D252" s="268"/>
      <c r="E252" s="154"/>
      <c r="F252" s="268"/>
      <c r="G252" s="154"/>
      <c r="H252" s="268">
        <f t="shared" si="36"/>
        <v>0</v>
      </c>
      <c r="I252" s="154"/>
      <c r="J252" s="299"/>
      <c r="K252" s="154"/>
      <c r="L252" s="268"/>
      <c r="M252" s="154"/>
      <c r="N252" s="268">
        <f t="shared" si="37"/>
        <v>0</v>
      </c>
      <c r="O252" s="154"/>
      <c r="P252" s="154"/>
      <c r="Q252" s="154"/>
      <c r="R252" s="154"/>
      <c r="S252" s="154"/>
    </row>
    <row r="253" spans="2:19" x14ac:dyDescent="0.35">
      <c r="B253" s="226" t="s">
        <v>1157</v>
      </c>
      <c r="C253" s="226" t="s">
        <v>374</v>
      </c>
      <c r="D253" s="268"/>
      <c r="E253" s="226"/>
      <c r="F253" s="269"/>
      <c r="G253" s="226"/>
      <c r="H253" s="268">
        <f t="shared" si="36"/>
        <v>0</v>
      </c>
      <c r="I253" s="226"/>
      <c r="J253" s="300"/>
      <c r="K253" s="226"/>
      <c r="L253" s="268"/>
      <c r="M253" s="226"/>
      <c r="N253" s="268">
        <f t="shared" si="37"/>
        <v>0</v>
      </c>
      <c r="O253" s="226"/>
      <c r="P253" s="226"/>
      <c r="Q253" s="226"/>
      <c r="R253" s="226"/>
      <c r="S253" s="226"/>
    </row>
    <row r="254" spans="2:19" x14ac:dyDescent="0.35">
      <c r="B254" s="154" t="s">
        <v>1158</v>
      </c>
      <c r="C254" s="154" t="s">
        <v>859</v>
      </c>
      <c r="D254" s="268"/>
      <c r="E254" s="154"/>
      <c r="F254" s="268"/>
      <c r="G254" s="154"/>
      <c r="H254" s="268">
        <f t="shared" si="36"/>
        <v>0</v>
      </c>
      <c r="I254" s="154"/>
      <c r="J254" s="299"/>
      <c r="K254" s="154"/>
      <c r="L254" s="268"/>
      <c r="M254" s="154"/>
      <c r="N254" s="268">
        <f t="shared" si="37"/>
        <v>0</v>
      </c>
      <c r="O254" s="154"/>
      <c r="P254" s="154"/>
      <c r="Q254" s="154"/>
      <c r="R254" s="154"/>
      <c r="S254" s="154"/>
    </row>
    <row r="255" spans="2:19" x14ac:dyDescent="0.35">
      <c r="B255" s="154" t="s">
        <v>1159</v>
      </c>
      <c r="C255" s="154" t="s">
        <v>860</v>
      </c>
      <c r="D255" s="268"/>
      <c r="E255" s="154"/>
      <c r="F255" s="268"/>
      <c r="G255" s="154"/>
      <c r="H255" s="268">
        <f t="shared" si="36"/>
        <v>0</v>
      </c>
      <c r="I255" s="154"/>
      <c r="J255" s="299"/>
      <c r="K255" s="154"/>
      <c r="L255" s="268"/>
      <c r="M255" s="154"/>
      <c r="N255" s="268">
        <f t="shared" si="37"/>
        <v>0</v>
      </c>
      <c r="O255" s="154"/>
      <c r="P255" s="154"/>
      <c r="Q255" s="154"/>
      <c r="R255" s="154"/>
      <c r="S255" s="154"/>
    </row>
    <row r="256" spans="2:19" x14ac:dyDescent="0.35">
      <c r="B256" s="154" t="s">
        <v>1160</v>
      </c>
      <c r="C256" s="154" t="s">
        <v>375</v>
      </c>
      <c r="D256" s="268"/>
      <c r="E256" s="154"/>
      <c r="F256" s="268"/>
      <c r="G256" s="154"/>
      <c r="H256" s="268">
        <f t="shared" si="36"/>
        <v>0</v>
      </c>
      <c r="I256" s="154"/>
      <c r="J256" s="299"/>
      <c r="K256" s="154"/>
      <c r="L256" s="268"/>
      <c r="M256" s="154"/>
      <c r="N256" s="268">
        <f t="shared" si="37"/>
        <v>0</v>
      </c>
      <c r="O256" s="154"/>
      <c r="P256" s="154"/>
      <c r="Q256" s="154"/>
      <c r="R256" s="154"/>
      <c r="S256" s="154"/>
    </row>
    <row r="257" spans="2:19" x14ac:dyDescent="0.35">
      <c r="B257" s="224" t="s">
        <v>1161</v>
      </c>
      <c r="C257" s="224" t="s">
        <v>568</v>
      </c>
      <c r="D257" s="267">
        <f>SUM(D258:D260)</f>
        <v>0</v>
      </c>
      <c r="E257" s="267">
        <f t="shared" ref="E257:N257" si="38">SUM(E258:E260)</f>
        <v>0</v>
      </c>
      <c r="F257" s="267">
        <f t="shared" si="38"/>
        <v>0</v>
      </c>
      <c r="G257" s="267">
        <f t="shared" si="38"/>
        <v>0</v>
      </c>
      <c r="H257" s="267">
        <f t="shared" si="38"/>
        <v>0</v>
      </c>
      <c r="I257" s="267">
        <f t="shared" si="38"/>
        <v>0</v>
      </c>
      <c r="J257" s="267">
        <f t="shared" si="38"/>
        <v>0</v>
      </c>
      <c r="K257" s="267">
        <f t="shared" si="38"/>
        <v>0</v>
      </c>
      <c r="L257" s="267">
        <f t="shared" si="38"/>
        <v>0</v>
      </c>
      <c r="M257" s="267">
        <f t="shared" si="38"/>
        <v>0</v>
      </c>
      <c r="N257" s="267">
        <f t="shared" si="38"/>
        <v>0</v>
      </c>
      <c r="O257" s="224"/>
      <c r="P257" s="224"/>
      <c r="Q257" s="224"/>
      <c r="R257" s="224"/>
      <c r="S257" s="224"/>
    </row>
    <row r="258" spans="2:19" x14ac:dyDescent="0.35">
      <c r="B258" s="154" t="s">
        <v>1162</v>
      </c>
      <c r="C258" s="154" t="s">
        <v>892</v>
      </c>
      <c r="D258" s="268"/>
      <c r="E258" s="154"/>
      <c r="F258" s="268"/>
      <c r="G258" s="154"/>
      <c r="H258" s="268">
        <f t="shared" si="36"/>
        <v>0</v>
      </c>
      <c r="I258" s="154"/>
      <c r="J258" s="299"/>
      <c r="K258" s="154"/>
      <c r="L258" s="268"/>
      <c r="M258" s="154"/>
      <c r="N258" s="268">
        <f t="shared" si="37"/>
        <v>0</v>
      </c>
      <c r="O258" s="154"/>
      <c r="P258" s="154"/>
      <c r="Q258" s="154"/>
      <c r="R258" s="154"/>
      <c r="S258" s="154"/>
    </row>
    <row r="259" spans="2:19" x14ac:dyDescent="0.35">
      <c r="B259" s="154" t="s">
        <v>1163</v>
      </c>
      <c r="C259" s="154" t="s">
        <v>893</v>
      </c>
      <c r="D259" s="268"/>
      <c r="E259" s="154"/>
      <c r="F259" s="268"/>
      <c r="G259" s="154"/>
      <c r="H259" s="268">
        <f t="shared" si="36"/>
        <v>0</v>
      </c>
      <c r="I259" s="154"/>
      <c r="J259" s="299"/>
      <c r="K259" s="154"/>
      <c r="L259" s="268"/>
      <c r="M259" s="154"/>
      <c r="N259" s="268">
        <f t="shared" si="37"/>
        <v>0</v>
      </c>
      <c r="O259" s="154"/>
      <c r="P259" s="154"/>
      <c r="Q259" s="154"/>
      <c r="R259" s="154"/>
      <c r="S259" s="154"/>
    </row>
    <row r="260" spans="2:19" x14ac:dyDescent="0.35">
      <c r="B260" s="154" t="s">
        <v>1164</v>
      </c>
      <c r="C260" s="154" t="s">
        <v>594</v>
      </c>
      <c r="D260" s="268"/>
      <c r="E260" s="154"/>
      <c r="F260" s="268"/>
      <c r="G260" s="154"/>
      <c r="H260" s="268">
        <f t="shared" si="36"/>
        <v>0</v>
      </c>
      <c r="I260" s="154"/>
      <c r="J260" s="299"/>
      <c r="K260" s="154"/>
      <c r="L260" s="268"/>
      <c r="M260" s="154"/>
      <c r="N260" s="268">
        <f t="shared" si="37"/>
        <v>0</v>
      </c>
      <c r="O260" s="154"/>
      <c r="P260" s="154"/>
      <c r="Q260" s="154"/>
      <c r="R260" s="154"/>
      <c r="S260" s="154"/>
    </row>
    <row r="261" spans="2:19" x14ac:dyDescent="0.35">
      <c r="B261" s="223" t="s">
        <v>1165</v>
      </c>
      <c r="C261" s="223" t="s">
        <v>376</v>
      </c>
      <c r="D261" s="266"/>
      <c r="E261" s="223"/>
      <c r="F261" s="266"/>
      <c r="G261" s="223"/>
      <c r="H261" s="266"/>
      <c r="I261" s="223"/>
      <c r="J261" s="297">
        <v>0</v>
      </c>
      <c r="K261" s="223"/>
      <c r="L261" s="266"/>
      <c r="M261" s="223"/>
      <c r="N261" s="266"/>
      <c r="O261" s="223"/>
      <c r="P261" s="223"/>
      <c r="Q261" s="223"/>
      <c r="R261" s="223"/>
      <c r="S261" s="223"/>
    </row>
    <row r="262" spans="2:19" x14ac:dyDescent="0.35">
      <c r="B262" s="224" t="s">
        <v>1166</v>
      </c>
      <c r="C262" s="224" t="s">
        <v>569</v>
      </c>
      <c r="D262" s="267"/>
      <c r="E262" s="224"/>
      <c r="F262" s="267"/>
      <c r="G262" s="224"/>
      <c r="H262" s="267"/>
      <c r="I262" s="224"/>
      <c r="J262" s="298">
        <v>0</v>
      </c>
      <c r="K262" s="224"/>
      <c r="L262" s="267"/>
      <c r="M262" s="224"/>
      <c r="N262" s="267"/>
      <c r="O262" s="224"/>
      <c r="P262" s="224"/>
      <c r="Q262" s="224"/>
      <c r="R262" s="224"/>
      <c r="S262" s="224"/>
    </row>
    <row r="263" spans="2:19" hidden="1" x14ac:dyDescent="0.35">
      <c r="B263" s="154" t="s">
        <v>1167</v>
      </c>
      <c r="C263" s="154" t="s">
        <v>377</v>
      </c>
      <c r="D263" s="268"/>
      <c r="E263" s="154"/>
      <c r="F263" s="268"/>
      <c r="G263" s="154"/>
      <c r="H263" s="268"/>
      <c r="I263" s="154"/>
      <c r="J263" s="299">
        <v>0</v>
      </c>
      <c r="K263" s="154"/>
      <c r="L263" s="268"/>
      <c r="M263" s="154"/>
      <c r="N263" s="268"/>
      <c r="O263" s="154"/>
      <c r="P263" s="154"/>
      <c r="Q263" s="154"/>
      <c r="R263" s="154"/>
      <c r="S263" s="154"/>
    </row>
    <row r="264" spans="2:19" hidden="1" x14ac:dyDescent="0.35">
      <c r="B264" s="154" t="s">
        <v>1168</v>
      </c>
      <c r="C264" s="154" t="s">
        <v>378</v>
      </c>
      <c r="D264" s="268"/>
      <c r="E264" s="154"/>
      <c r="F264" s="268"/>
      <c r="G264" s="154"/>
      <c r="H264" s="268"/>
      <c r="I264" s="154"/>
      <c r="J264" s="299">
        <v>0</v>
      </c>
      <c r="K264" s="154"/>
      <c r="L264" s="268"/>
      <c r="M264" s="154"/>
      <c r="N264" s="268"/>
      <c r="O264" s="154"/>
      <c r="P264" s="154"/>
      <c r="Q264" s="154"/>
      <c r="R264" s="154"/>
      <c r="S264" s="154"/>
    </row>
    <row r="265" spans="2:19" hidden="1" x14ac:dyDescent="0.35">
      <c r="B265" s="154" t="s">
        <v>1169</v>
      </c>
      <c r="C265" s="154" t="s">
        <v>379</v>
      </c>
      <c r="D265" s="268"/>
      <c r="E265" s="154"/>
      <c r="F265" s="268"/>
      <c r="G265" s="154"/>
      <c r="H265" s="268"/>
      <c r="I265" s="154"/>
      <c r="J265" s="299">
        <v>0</v>
      </c>
      <c r="K265" s="154"/>
      <c r="L265" s="268"/>
      <c r="M265" s="154"/>
      <c r="N265" s="268"/>
      <c r="O265" s="154"/>
      <c r="P265" s="154"/>
      <c r="Q265" s="154"/>
      <c r="R265" s="154"/>
      <c r="S265" s="154"/>
    </row>
    <row r="266" spans="2:19" hidden="1" x14ac:dyDescent="0.35">
      <c r="B266" s="154" t="s">
        <v>1170</v>
      </c>
      <c r="C266" s="154" t="s">
        <v>380</v>
      </c>
      <c r="D266" s="268"/>
      <c r="E266" s="154"/>
      <c r="F266" s="268"/>
      <c r="G266" s="154"/>
      <c r="H266" s="268"/>
      <c r="I266" s="154"/>
      <c r="J266" s="299">
        <v>0</v>
      </c>
      <c r="K266" s="154"/>
      <c r="L266" s="268"/>
      <c r="M266" s="154"/>
      <c r="N266" s="268"/>
      <c r="O266" s="154"/>
      <c r="P266" s="154"/>
      <c r="Q266" s="154"/>
      <c r="R266" s="154"/>
      <c r="S266" s="154"/>
    </row>
    <row r="267" spans="2:19" hidden="1" x14ac:dyDescent="0.35">
      <c r="B267" s="154" t="s">
        <v>1171</v>
      </c>
      <c r="C267" s="154" t="s">
        <v>381</v>
      </c>
      <c r="D267" s="268"/>
      <c r="E267" s="154"/>
      <c r="F267" s="268"/>
      <c r="G267" s="154"/>
      <c r="H267" s="268"/>
      <c r="I267" s="154"/>
      <c r="J267" s="299">
        <v>0</v>
      </c>
      <c r="K267" s="154"/>
      <c r="L267" s="268"/>
      <c r="M267" s="154"/>
      <c r="N267" s="268"/>
      <c r="O267" s="154"/>
      <c r="P267" s="154"/>
      <c r="Q267" s="154"/>
      <c r="R267" s="154"/>
      <c r="S267" s="154"/>
    </row>
    <row r="268" spans="2:19" hidden="1" x14ac:dyDescent="0.35">
      <c r="B268" s="154" t="s">
        <v>1172</v>
      </c>
      <c r="C268" s="154" t="s">
        <v>382</v>
      </c>
      <c r="D268" s="268"/>
      <c r="E268" s="154"/>
      <c r="F268" s="268"/>
      <c r="G268" s="154"/>
      <c r="H268" s="268"/>
      <c r="I268" s="154"/>
      <c r="J268" s="299">
        <v>0</v>
      </c>
      <c r="K268" s="154"/>
      <c r="L268" s="268"/>
      <c r="M268" s="154"/>
      <c r="N268" s="268"/>
      <c r="O268" s="154"/>
      <c r="P268" s="154"/>
      <c r="Q268" s="154"/>
      <c r="R268" s="154"/>
      <c r="S268" s="154"/>
    </row>
    <row r="269" spans="2:19" x14ac:dyDescent="0.35">
      <c r="B269" s="154" t="s">
        <v>1173</v>
      </c>
      <c r="C269" s="154" t="s">
        <v>383</v>
      </c>
      <c r="D269" s="268"/>
      <c r="E269" s="154"/>
      <c r="F269" s="268"/>
      <c r="G269" s="154"/>
      <c r="H269" s="268">
        <f>D269-F269</f>
        <v>0</v>
      </c>
      <c r="I269" s="154"/>
      <c r="J269" s="299">
        <v>0</v>
      </c>
      <c r="K269" s="154"/>
      <c r="L269" s="268"/>
      <c r="M269" s="154"/>
      <c r="N269" s="268">
        <f>J269-L269</f>
        <v>0</v>
      </c>
      <c r="O269" s="154"/>
      <c r="P269" s="154"/>
      <c r="Q269" s="154"/>
      <c r="R269" s="154"/>
      <c r="S269" s="154"/>
    </row>
    <row r="270" spans="2:19" hidden="1" x14ac:dyDescent="0.35">
      <c r="B270" s="154" t="s">
        <v>1174</v>
      </c>
      <c r="C270" s="154" t="s">
        <v>384</v>
      </c>
      <c r="D270" s="268"/>
      <c r="E270" s="154"/>
      <c r="F270" s="268"/>
      <c r="G270" s="154"/>
      <c r="H270" s="268"/>
      <c r="I270" s="154"/>
      <c r="J270" s="299">
        <v>0</v>
      </c>
      <c r="K270" s="154"/>
      <c r="L270" s="268"/>
      <c r="M270" s="154"/>
      <c r="N270" s="268"/>
      <c r="O270" s="154"/>
      <c r="P270" s="154"/>
      <c r="Q270" s="154"/>
      <c r="R270" s="154"/>
      <c r="S270" s="154"/>
    </row>
    <row r="271" spans="2:19" hidden="1" x14ac:dyDescent="0.35">
      <c r="B271" s="154" t="s">
        <v>1175</v>
      </c>
      <c r="C271" s="154" t="s">
        <v>385</v>
      </c>
      <c r="D271" s="268"/>
      <c r="E271" s="154"/>
      <c r="F271" s="268"/>
      <c r="G271" s="154"/>
      <c r="H271" s="268"/>
      <c r="I271" s="154"/>
      <c r="J271" s="299">
        <v>0</v>
      </c>
      <c r="K271" s="154"/>
      <c r="L271" s="268"/>
      <c r="M271" s="154"/>
      <c r="N271" s="268"/>
      <c r="O271" s="154"/>
      <c r="P271" s="154"/>
      <c r="Q271" s="154"/>
      <c r="R271" s="154"/>
      <c r="S271" s="154"/>
    </row>
    <row r="272" spans="2:19" hidden="1" x14ac:dyDescent="0.35">
      <c r="B272" s="154" t="s">
        <v>1176</v>
      </c>
      <c r="C272" s="154" t="s">
        <v>386</v>
      </c>
      <c r="D272" s="268"/>
      <c r="E272" s="154"/>
      <c r="F272" s="268"/>
      <c r="G272" s="154"/>
      <c r="H272" s="268"/>
      <c r="I272" s="154"/>
      <c r="J272" s="299">
        <v>0</v>
      </c>
      <c r="K272" s="154"/>
      <c r="L272" s="268"/>
      <c r="M272" s="154"/>
      <c r="N272" s="268"/>
      <c r="O272" s="154"/>
      <c r="P272" s="154"/>
      <c r="Q272" s="154"/>
      <c r="R272" s="154"/>
      <c r="S272" s="154"/>
    </row>
    <row r="273" spans="2:19" hidden="1" x14ac:dyDescent="0.35">
      <c r="B273" s="154" t="s">
        <v>1177</v>
      </c>
      <c r="C273" s="154" t="s">
        <v>387</v>
      </c>
      <c r="D273" s="268"/>
      <c r="E273" s="154"/>
      <c r="F273" s="268"/>
      <c r="G273" s="154"/>
      <c r="H273" s="268"/>
      <c r="I273" s="154"/>
      <c r="J273" s="299">
        <v>0</v>
      </c>
      <c r="K273" s="154"/>
      <c r="L273" s="268"/>
      <c r="M273" s="154"/>
      <c r="N273" s="268"/>
      <c r="O273" s="154"/>
      <c r="P273" s="154"/>
      <c r="Q273" s="154"/>
      <c r="R273" s="154"/>
      <c r="S273" s="154"/>
    </row>
    <row r="274" spans="2:19" hidden="1" x14ac:dyDescent="0.35">
      <c r="B274" s="154" t="s">
        <v>1178</v>
      </c>
      <c r="C274" s="154" t="s">
        <v>388</v>
      </c>
      <c r="D274" s="268"/>
      <c r="E274" s="154"/>
      <c r="F274" s="268"/>
      <c r="G274" s="154"/>
      <c r="H274" s="268"/>
      <c r="I274" s="154"/>
      <c r="J274" s="299">
        <v>0</v>
      </c>
      <c r="K274" s="154"/>
      <c r="L274" s="268"/>
      <c r="M274" s="154"/>
      <c r="N274" s="268"/>
      <c r="O274" s="154"/>
      <c r="P274" s="154"/>
      <c r="Q274" s="154"/>
      <c r="R274" s="154"/>
      <c r="S274" s="154"/>
    </row>
    <row r="275" spans="2:19" hidden="1" x14ac:dyDescent="0.35">
      <c r="B275" s="154" t="s">
        <v>1179</v>
      </c>
      <c r="C275" s="154" t="s">
        <v>389</v>
      </c>
      <c r="D275" s="268"/>
      <c r="E275" s="154"/>
      <c r="F275" s="268"/>
      <c r="G275" s="154"/>
      <c r="H275" s="268"/>
      <c r="I275" s="154"/>
      <c r="J275" s="299">
        <v>0</v>
      </c>
      <c r="K275" s="154"/>
      <c r="L275" s="268"/>
      <c r="M275" s="154"/>
      <c r="N275" s="268"/>
      <c r="O275" s="154"/>
      <c r="P275" s="154"/>
      <c r="Q275" s="154"/>
      <c r="R275" s="154"/>
      <c r="S275" s="154"/>
    </row>
    <row r="276" spans="2:19" hidden="1" x14ac:dyDescent="0.35">
      <c r="B276" s="154" t="s">
        <v>1180</v>
      </c>
      <c r="C276" s="154" t="s">
        <v>390</v>
      </c>
      <c r="D276" s="268"/>
      <c r="E276" s="154"/>
      <c r="F276" s="268"/>
      <c r="G276" s="154"/>
      <c r="H276" s="268"/>
      <c r="I276" s="154"/>
      <c r="J276" s="299">
        <v>0</v>
      </c>
      <c r="K276" s="154"/>
      <c r="L276" s="268"/>
      <c r="M276" s="154"/>
      <c r="N276" s="268"/>
      <c r="O276" s="154"/>
      <c r="P276" s="154"/>
      <c r="Q276" s="154"/>
      <c r="R276" s="154"/>
      <c r="S276" s="154"/>
    </row>
    <row r="277" spans="2:19" hidden="1" x14ac:dyDescent="0.35">
      <c r="B277" s="154" t="s">
        <v>1181</v>
      </c>
      <c r="C277" s="154" t="s">
        <v>391</v>
      </c>
      <c r="D277" s="268"/>
      <c r="E277" s="154"/>
      <c r="F277" s="268"/>
      <c r="G277" s="154"/>
      <c r="H277" s="268"/>
      <c r="I277" s="154"/>
      <c r="J277" s="299">
        <v>0</v>
      </c>
      <c r="K277" s="154"/>
      <c r="L277" s="268"/>
      <c r="M277" s="154"/>
      <c r="N277" s="268"/>
      <c r="O277" s="154"/>
      <c r="P277" s="154"/>
      <c r="Q277" s="154"/>
      <c r="R277" s="154"/>
      <c r="S277" s="154"/>
    </row>
    <row r="278" spans="2:19" hidden="1" x14ac:dyDescent="0.35">
      <c r="B278" s="154" t="s">
        <v>1182</v>
      </c>
      <c r="C278" s="154" t="s">
        <v>598</v>
      </c>
      <c r="D278" s="268"/>
      <c r="E278" s="154"/>
      <c r="F278" s="268"/>
      <c r="G278" s="154"/>
      <c r="H278" s="268"/>
      <c r="I278" s="154"/>
      <c r="J278" s="299">
        <v>0</v>
      </c>
      <c r="K278" s="154"/>
      <c r="L278" s="268"/>
      <c r="M278" s="154"/>
      <c r="N278" s="268"/>
      <c r="O278" s="154"/>
      <c r="P278" s="154"/>
      <c r="Q278" s="154"/>
      <c r="R278" s="154"/>
      <c r="S278" s="154"/>
    </row>
    <row r="279" spans="2:19" hidden="1" x14ac:dyDescent="0.35">
      <c r="B279" s="154" t="s">
        <v>1183</v>
      </c>
      <c r="C279" s="154" t="s">
        <v>861</v>
      </c>
      <c r="D279" s="268"/>
      <c r="E279" s="154"/>
      <c r="F279" s="268"/>
      <c r="G279" s="154"/>
      <c r="H279" s="268"/>
      <c r="I279" s="154"/>
      <c r="J279" s="299">
        <v>0</v>
      </c>
      <c r="K279" s="154"/>
      <c r="L279" s="268"/>
      <c r="M279" s="154"/>
      <c r="N279" s="268"/>
      <c r="O279" s="154"/>
      <c r="P279" s="154"/>
      <c r="Q279" s="154"/>
      <c r="R279" s="154"/>
      <c r="S279" s="154"/>
    </row>
    <row r="280" spans="2:19" hidden="1" x14ac:dyDescent="0.35">
      <c r="B280" s="154" t="s">
        <v>1184</v>
      </c>
      <c r="C280" s="154" t="s">
        <v>862</v>
      </c>
      <c r="D280" s="268"/>
      <c r="E280" s="154"/>
      <c r="F280" s="268"/>
      <c r="G280" s="154"/>
      <c r="H280" s="268"/>
      <c r="I280" s="154"/>
      <c r="J280" s="299">
        <v>0</v>
      </c>
      <c r="K280" s="154"/>
      <c r="L280" s="268"/>
      <c r="M280" s="154"/>
      <c r="N280" s="268"/>
      <c r="O280" s="154"/>
      <c r="P280" s="154"/>
      <c r="Q280" s="154"/>
      <c r="R280" s="154"/>
      <c r="S280" s="154"/>
    </row>
    <row r="281" spans="2:19" hidden="1" x14ac:dyDescent="0.35">
      <c r="B281" s="154" t="s">
        <v>1185</v>
      </c>
      <c r="C281" s="154" t="s">
        <v>863</v>
      </c>
      <c r="D281" s="268"/>
      <c r="E281" s="154"/>
      <c r="F281" s="268"/>
      <c r="G281" s="154"/>
      <c r="H281" s="268"/>
      <c r="I281" s="154"/>
      <c r="J281" s="299">
        <v>0</v>
      </c>
      <c r="K281" s="154"/>
      <c r="L281" s="268"/>
      <c r="M281" s="154"/>
      <c r="N281" s="268"/>
      <c r="O281" s="154"/>
      <c r="P281" s="154"/>
      <c r="Q281" s="154"/>
      <c r="R281" s="154"/>
      <c r="S281" s="154"/>
    </row>
    <row r="282" spans="2:19" hidden="1" x14ac:dyDescent="0.35">
      <c r="B282" s="154" t="s">
        <v>1186</v>
      </c>
      <c r="C282" s="154" t="s">
        <v>392</v>
      </c>
      <c r="D282" s="268"/>
      <c r="E282" s="154"/>
      <c r="F282" s="268"/>
      <c r="G282" s="154"/>
      <c r="H282" s="268"/>
      <c r="I282" s="154"/>
      <c r="J282" s="299">
        <v>0</v>
      </c>
      <c r="K282" s="154"/>
      <c r="L282" s="268"/>
      <c r="M282" s="154"/>
      <c r="N282" s="268"/>
      <c r="O282" s="154"/>
      <c r="P282" s="154"/>
      <c r="Q282" s="154"/>
      <c r="R282" s="154"/>
      <c r="S282" s="154"/>
    </row>
    <row r="283" spans="2:19" hidden="1" x14ac:dyDescent="0.35">
      <c r="B283" s="224" t="s">
        <v>1187</v>
      </c>
      <c r="C283" s="224" t="s">
        <v>864</v>
      </c>
      <c r="D283" s="267"/>
      <c r="E283" s="224"/>
      <c r="F283" s="267"/>
      <c r="G283" s="224"/>
      <c r="H283" s="267"/>
      <c r="I283" s="224"/>
      <c r="J283" s="298">
        <v>0</v>
      </c>
      <c r="K283" s="224"/>
      <c r="L283" s="267"/>
      <c r="M283" s="224"/>
      <c r="N283" s="267"/>
      <c r="O283" s="224"/>
      <c r="P283" s="224"/>
      <c r="Q283" s="224"/>
      <c r="R283" s="224"/>
      <c r="S283" s="224"/>
    </row>
    <row r="284" spans="2:19" hidden="1" x14ac:dyDescent="0.35">
      <c r="B284" s="154" t="s">
        <v>1188</v>
      </c>
      <c r="C284" s="154" t="s">
        <v>894</v>
      </c>
      <c r="D284" s="268"/>
      <c r="E284" s="154"/>
      <c r="F284" s="268"/>
      <c r="G284" s="154"/>
      <c r="H284" s="268"/>
      <c r="I284" s="154"/>
      <c r="J284" s="299">
        <v>0</v>
      </c>
      <c r="K284" s="154"/>
      <c r="L284" s="268"/>
      <c r="M284" s="154"/>
      <c r="N284" s="268"/>
      <c r="O284" s="154"/>
      <c r="P284" s="154"/>
      <c r="Q284" s="154"/>
      <c r="R284" s="154"/>
      <c r="S284" s="154"/>
    </row>
    <row r="285" spans="2:19" hidden="1" x14ac:dyDescent="0.35">
      <c r="B285" s="154" t="s">
        <v>1189</v>
      </c>
      <c r="C285" s="154" t="s">
        <v>895</v>
      </c>
      <c r="D285" s="268"/>
      <c r="E285" s="154"/>
      <c r="F285" s="268"/>
      <c r="G285" s="154"/>
      <c r="H285" s="268"/>
      <c r="I285" s="154"/>
      <c r="J285" s="299">
        <v>0</v>
      </c>
      <c r="K285" s="154"/>
      <c r="L285" s="268"/>
      <c r="M285" s="154"/>
      <c r="N285" s="268"/>
      <c r="O285" s="154"/>
      <c r="P285" s="154"/>
      <c r="Q285" s="154"/>
      <c r="R285" s="154"/>
      <c r="S285" s="154"/>
    </row>
    <row r="286" spans="2:19" hidden="1" x14ac:dyDescent="0.35">
      <c r="B286" s="154" t="s">
        <v>1190</v>
      </c>
      <c r="C286" s="154" t="s">
        <v>571</v>
      </c>
      <c r="D286" s="268"/>
      <c r="E286" s="154"/>
      <c r="F286" s="268"/>
      <c r="G286" s="154"/>
      <c r="H286" s="268"/>
      <c r="I286" s="154"/>
      <c r="J286" s="299">
        <v>0</v>
      </c>
      <c r="K286" s="154"/>
      <c r="L286" s="268"/>
      <c r="M286" s="154"/>
      <c r="N286" s="268"/>
      <c r="O286" s="154"/>
      <c r="P286" s="154"/>
      <c r="Q286" s="154"/>
      <c r="R286" s="154"/>
      <c r="S286" s="154"/>
    </row>
    <row r="287" spans="2:19" x14ac:dyDescent="0.35">
      <c r="B287" s="223" t="s">
        <v>1191</v>
      </c>
      <c r="C287" s="223" t="s">
        <v>639</v>
      </c>
      <c r="D287" s="266"/>
      <c r="E287" s="223"/>
      <c r="F287" s="266"/>
      <c r="G287" s="223"/>
      <c r="H287" s="266"/>
      <c r="I287" s="223"/>
      <c r="J287" s="297">
        <v>0</v>
      </c>
      <c r="K287" s="223"/>
      <c r="L287" s="266"/>
      <c r="M287" s="223"/>
      <c r="N287" s="266"/>
      <c r="O287" s="223"/>
      <c r="P287" s="223"/>
      <c r="Q287" s="223"/>
      <c r="R287" s="223"/>
      <c r="S287" s="223"/>
    </row>
    <row r="288" spans="2:19" x14ac:dyDescent="0.35">
      <c r="B288" s="224" t="s">
        <v>1192</v>
      </c>
      <c r="C288" s="224" t="s">
        <v>640</v>
      </c>
      <c r="D288" s="267">
        <f>SUM(D289:D322)</f>
        <v>0</v>
      </c>
      <c r="E288" s="267">
        <f t="shared" ref="E288:N288" si="39">SUM(E289:E322)</f>
        <v>0</v>
      </c>
      <c r="F288" s="267">
        <f t="shared" si="39"/>
        <v>0</v>
      </c>
      <c r="G288" s="267">
        <f t="shared" si="39"/>
        <v>0</v>
      </c>
      <c r="H288" s="267">
        <f t="shared" si="39"/>
        <v>0</v>
      </c>
      <c r="I288" s="267">
        <f t="shared" si="39"/>
        <v>0</v>
      </c>
      <c r="J288" s="267">
        <f>SUM(J289:J322)</f>
        <v>0</v>
      </c>
      <c r="K288" s="267">
        <f t="shared" si="39"/>
        <v>0</v>
      </c>
      <c r="L288" s="267">
        <f t="shared" si="39"/>
        <v>0</v>
      </c>
      <c r="M288" s="267">
        <f t="shared" si="39"/>
        <v>0</v>
      </c>
      <c r="N288" s="267">
        <f t="shared" si="39"/>
        <v>0</v>
      </c>
      <c r="O288" s="224"/>
      <c r="P288" s="224"/>
      <c r="Q288" s="224"/>
      <c r="R288" s="224"/>
      <c r="S288" s="224"/>
    </row>
    <row r="289" spans="2:19" x14ac:dyDescent="0.35">
      <c r="B289" s="154" t="s">
        <v>1193</v>
      </c>
      <c r="C289" s="154" t="s">
        <v>393</v>
      </c>
      <c r="D289" s="268"/>
      <c r="E289" s="154"/>
      <c r="F289" s="268"/>
      <c r="G289" s="154"/>
      <c r="H289" s="268">
        <f t="shared" ref="H289:H329" si="40">D289-F289</f>
        <v>0</v>
      </c>
      <c r="I289" s="154"/>
      <c r="J289" s="299"/>
      <c r="K289" s="154"/>
      <c r="L289" s="268"/>
      <c r="M289" s="154"/>
      <c r="N289" s="268">
        <f t="shared" ref="N289:N329" si="41">J289-L289</f>
        <v>0</v>
      </c>
      <c r="O289" s="154"/>
      <c r="P289" s="154"/>
      <c r="Q289" s="154"/>
      <c r="R289" s="154"/>
      <c r="S289" s="154"/>
    </row>
    <row r="290" spans="2:19" x14ac:dyDescent="0.35">
      <c r="B290" s="154" t="s">
        <v>1194</v>
      </c>
      <c r="C290" s="154" t="s">
        <v>394</v>
      </c>
      <c r="D290" s="268"/>
      <c r="E290" s="154"/>
      <c r="F290" s="268"/>
      <c r="G290" s="154"/>
      <c r="H290" s="268">
        <f t="shared" si="40"/>
        <v>0</v>
      </c>
      <c r="I290" s="154"/>
      <c r="J290" s="299"/>
      <c r="K290" s="154"/>
      <c r="L290" s="268"/>
      <c r="M290" s="154"/>
      <c r="N290" s="268">
        <f t="shared" si="41"/>
        <v>0</v>
      </c>
      <c r="O290" s="154"/>
      <c r="P290" s="154"/>
      <c r="Q290" s="154"/>
      <c r="R290" s="154"/>
      <c r="S290" s="154"/>
    </row>
    <row r="291" spans="2:19" x14ac:dyDescent="0.35">
      <c r="B291" s="154" t="s">
        <v>1195</v>
      </c>
      <c r="C291" s="154" t="s">
        <v>395</v>
      </c>
      <c r="D291" s="268"/>
      <c r="E291" s="154"/>
      <c r="F291" s="268"/>
      <c r="G291" s="154"/>
      <c r="H291" s="268">
        <f t="shared" si="40"/>
        <v>0</v>
      </c>
      <c r="I291" s="154"/>
      <c r="J291" s="299"/>
      <c r="K291" s="154"/>
      <c r="L291" s="268"/>
      <c r="M291" s="154"/>
      <c r="N291" s="268">
        <f t="shared" si="41"/>
        <v>0</v>
      </c>
      <c r="O291" s="154"/>
      <c r="P291" s="154"/>
      <c r="Q291" s="154"/>
      <c r="R291" s="154"/>
      <c r="S291" s="154"/>
    </row>
    <row r="292" spans="2:19" x14ac:dyDescent="0.35">
      <c r="B292" s="154" t="s">
        <v>1196</v>
      </c>
      <c r="C292" s="154" t="s">
        <v>396</v>
      </c>
      <c r="D292" s="268"/>
      <c r="E292" s="154"/>
      <c r="F292" s="268"/>
      <c r="G292" s="154"/>
      <c r="H292" s="268">
        <f t="shared" si="40"/>
        <v>0</v>
      </c>
      <c r="I292" s="154"/>
      <c r="J292" s="299"/>
      <c r="K292" s="154"/>
      <c r="L292" s="268"/>
      <c r="M292" s="154"/>
      <c r="N292" s="268">
        <f t="shared" si="41"/>
        <v>0</v>
      </c>
      <c r="O292" s="154"/>
      <c r="P292" s="154"/>
      <c r="Q292" s="154"/>
      <c r="R292" s="154"/>
      <c r="S292" s="154"/>
    </row>
    <row r="293" spans="2:19" x14ac:dyDescent="0.35">
      <c r="B293" s="154" t="s">
        <v>1197</v>
      </c>
      <c r="C293" s="154" t="s">
        <v>397</v>
      </c>
      <c r="D293" s="268"/>
      <c r="E293" s="154"/>
      <c r="F293" s="268"/>
      <c r="G293" s="154"/>
      <c r="H293" s="268">
        <f t="shared" si="40"/>
        <v>0</v>
      </c>
      <c r="I293" s="154"/>
      <c r="J293" s="299"/>
      <c r="K293" s="154"/>
      <c r="L293" s="268"/>
      <c r="M293" s="154"/>
      <c r="N293" s="268">
        <f t="shared" si="41"/>
        <v>0</v>
      </c>
      <c r="O293" s="154"/>
      <c r="P293" s="154"/>
      <c r="Q293" s="154"/>
      <c r="R293" s="154"/>
      <c r="S293" s="154"/>
    </row>
    <row r="294" spans="2:19" x14ac:dyDescent="0.35">
      <c r="B294" s="154" t="s">
        <v>1198</v>
      </c>
      <c r="C294" s="154" t="s">
        <v>398</v>
      </c>
      <c r="D294" s="268"/>
      <c r="E294" s="154"/>
      <c r="F294" s="268"/>
      <c r="G294" s="154"/>
      <c r="H294" s="268">
        <f t="shared" si="40"/>
        <v>0</v>
      </c>
      <c r="I294" s="154"/>
      <c r="J294" s="299"/>
      <c r="K294" s="154"/>
      <c r="L294" s="268"/>
      <c r="M294" s="154"/>
      <c r="N294" s="268">
        <f t="shared" si="41"/>
        <v>0</v>
      </c>
      <c r="O294" s="154"/>
      <c r="P294" s="154"/>
      <c r="Q294" s="154"/>
      <c r="R294" s="154"/>
      <c r="S294" s="154"/>
    </row>
    <row r="295" spans="2:19" x14ac:dyDescent="0.35">
      <c r="B295" s="154" t="s">
        <v>1199</v>
      </c>
      <c r="C295" s="154" t="s">
        <v>399</v>
      </c>
      <c r="D295" s="268"/>
      <c r="E295" s="154"/>
      <c r="F295" s="268"/>
      <c r="G295" s="154"/>
      <c r="H295" s="268">
        <f t="shared" si="40"/>
        <v>0</v>
      </c>
      <c r="I295" s="154"/>
      <c r="J295" s="299"/>
      <c r="K295" s="154"/>
      <c r="L295" s="268"/>
      <c r="M295" s="154"/>
      <c r="N295" s="268">
        <f t="shared" si="41"/>
        <v>0</v>
      </c>
      <c r="O295" s="154"/>
      <c r="P295" s="154"/>
      <c r="Q295" s="154"/>
      <c r="R295" s="154"/>
      <c r="S295" s="154"/>
    </row>
    <row r="296" spans="2:19" x14ac:dyDescent="0.35">
      <c r="B296" s="154" t="s">
        <v>1200</v>
      </c>
      <c r="C296" s="154" t="s">
        <v>400</v>
      </c>
      <c r="D296" s="268"/>
      <c r="E296" s="154"/>
      <c r="F296" s="268"/>
      <c r="G296" s="154"/>
      <c r="H296" s="268">
        <f t="shared" si="40"/>
        <v>0</v>
      </c>
      <c r="I296" s="154"/>
      <c r="J296" s="299"/>
      <c r="K296" s="154"/>
      <c r="L296" s="268"/>
      <c r="M296" s="154"/>
      <c r="N296" s="268">
        <f t="shared" si="41"/>
        <v>0</v>
      </c>
      <c r="O296" s="154"/>
      <c r="P296" s="154"/>
      <c r="Q296" s="154"/>
      <c r="R296" s="154"/>
      <c r="S296" s="154"/>
    </row>
    <row r="297" spans="2:19" x14ac:dyDescent="0.35">
      <c r="B297" s="154" t="s">
        <v>1201</v>
      </c>
      <c r="C297" s="154" t="s">
        <v>588</v>
      </c>
      <c r="D297" s="268"/>
      <c r="E297" s="154"/>
      <c r="F297" s="268"/>
      <c r="G297" s="154"/>
      <c r="H297" s="268">
        <f t="shared" si="40"/>
        <v>0</v>
      </c>
      <c r="I297" s="154"/>
      <c r="J297" s="299"/>
      <c r="K297" s="154"/>
      <c r="L297" s="268"/>
      <c r="M297" s="154"/>
      <c r="N297" s="268">
        <f t="shared" si="41"/>
        <v>0</v>
      </c>
      <c r="O297" s="154"/>
      <c r="P297" s="154"/>
      <c r="Q297" s="154"/>
      <c r="R297" s="154"/>
      <c r="S297" s="154"/>
    </row>
    <row r="298" spans="2:19" x14ac:dyDescent="0.35">
      <c r="B298" s="154" t="s">
        <v>1202</v>
      </c>
      <c r="C298" s="154" t="s">
        <v>401</v>
      </c>
      <c r="D298" s="268"/>
      <c r="E298" s="154"/>
      <c r="F298" s="268"/>
      <c r="G298" s="154"/>
      <c r="H298" s="268">
        <f t="shared" si="40"/>
        <v>0</v>
      </c>
      <c r="I298" s="154"/>
      <c r="J298" s="299"/>
      <c r="K298" s="154"/>
      <c r="L298" s="268"/>
      <c r="M298" s="154"/>
      <c r="N298" s="268">
        <f t="shared" si="41"/>
        <v>0</v>
      </c>
      <c r="O298" s="154"/>
      <c r="P298" s="154"/>
      <c r="Q298" s="154"/>
      <c r="R298" s="154"/>
      <c r="S298" s="154"/>
    </row>
    <row r="299" spans="2:19" x14ac:dyDescent="0.35">
      <c r="B299" s="154" t="s">
        <v>1203</v>
      </c>
      <c r="C299" s="154" t="s">
        <v>402</v>
      </c>
      <c r="D299" s="268"/>
      <c r="E299" s="154"/>
      <c r="F299" s="268"/>
      <c r="G299" s="154"/>
      <c r="H299" s="268">
        <f t="shared" si="40"/>
        <v>0</v>
      </c>
      <c r="I299" s="154"/>
      <c r="J299" s="299"/>
      <c r="K299" s="154"/>
      <c r="L299" s="268"/>
      <c r="M299" s="154"/>
      <c r="N299" s="268">
        <f t="shared" si="41"/>
        <v>0</v>
      </c>
      <c r="O299" s="154"/>
      <c r="P299" s="154"/>
      <c r="Q299" s="154"/>
      <c r="R299" s="154"/>
      <c r="S299" s="154"/>
    </row>
    <row r="300" spans="2:19" x14ac:dyDescent="0.35">
      <c r="B300" s="154" t="s">
        <v>1204</v>
      </c>
      <c r="C300" s="154" t="s">
        <v>403</v>
      </c>
      <c r="D300" s="268"/>
      <c r="E300" s="154"/>
      <c r="F300" s="268"/>
      <c r="G300" s="154"/>
      <c r="H300" s="268">
        <f t="shared" si="40"/>
        <v>0</v>
      </c>
      <c r="I300" s="154"/>
      <c r="J300" s="299"/>
      <c r="K300" s="154"/>
      <c r="L300" s="268"/>
      <c r="M300" s="154"/>
      <c r="N300" s="268">
        <f t="shared" si="41"/>
        <v>0</v>
      </c>
      <c r="O300" s="154"/>
      <c r="P300" s="154"/>
      <c r="Q300" s="154"/>
      <c r="R300" s="154"/>
      <c r="S300" s="154"/>
    </row>
    <row r="301" spans="2:19" x14ac:dyDescent="0.35">
      <c r="B301" s="154" t="s">
        <v>1205</v>
      </c>
      <c r="C301" s="154" t="s">
        <v>404</v>
      </c>
      <c r="D301" s="268"/>
      <c r="E301" s="154"/>
      <c r="F301" s="268"/>
      <c r="G301" s="154"/>
      <c r="H301" s="268">
        <f t="shared" si="40"/>
        <v>0</v>
      </c>
      <c r="I301" s="154"/>
      <c r="J301" s="299"/>
      <c r="K301" s="154"/>
      <c r="L301" s="268"/>
      <c r="M301" s="154"/>
      <c r="N301" s="268">
        <f t="shared" si="41"/>
        <v>0</v>
      </c>
      <c r="O301" s="154"/>
      <c r="P301" s="154"/>
      <c r="Q301" s="154"/>
      <c r="R301" s="154"/>
      <c r="S301" s="154"/>
    </row>
    <row r="302" spans="2:19" x14ac:dyDescent="0.35">
      <c r="B302" s="154" t="s">
        <v>1206</v>
      </c>
      <c r="C302" s="154" t="s">
        <v>405</v>
      </c>
      <c r="D302" s="268"/>
      <c r="E302" s="154"/>
      <c r="F302" s="268"/>
      <c r="G302" s="154"/>
      <c r="H302" s="268">
        <f t="shared" si="40"/>
        <v>0</v>
      </c>
      <c r="I302" s="154"/>
      <c r="J302" s="299"/>
      <c r="K302" s="154"/>
      <c r="L302" s="268"/>
      <c r="M302" s="154"/>
      <c r="N302" s="268">
        <f t="shared" si="41"/>
        <v>0</v>
      </c>
      <c r="O302" s="154"/>
      <c r="P302" s="154"/>
      <c r="Q302" s="154"/>
      <c r="R302" s="154"/>
      <c r="S302" s="154"/>
    </row>
    <row r="303" spans="2:19" x14ac:dyDescent="0.35">
      <c r="B303" s="154" t="s">
        <v>1207</v>
      </c>
      <c r="C303" s="154" t="s">
        <v>406</v>
      </c>
      <c r="D303" s="268"/>
      <c r="E303" s="154"/>
      <c r="F303" s="268"/>
      <c r="G303" s="154"/>
      <c r="H303" s="268">
        <f t="shared" si="40"/>
        <v>0</v>
      </c>
      <c r="I303" s="154"/>
      <c r="J303" s="299"/>
      <c r="K303" s="154"/>
      <c r="L303" s="268"/>
      <c r="M303" s="154"/>
      <c r="N303" s="268">
        <f t="shared" si="41"/>
        <v>0</v>
      </c>
      <c r="O303" s="154"/>
      <c r="P303" s="154"/>
      <c r="Q303" s="154"/>
      <c r="R303" s="154"/>
      <c r="S303" s="154"/>
    </row>
    <row r="304" spans="2:19" x14ac:dyDescent="0.35">
      <c r="B304" s="154" t="s">
        <v>1208</v>
      </c>
      <c r="C304" s="154" t="s">
        <v>407</v>
      </c>
      <c r="D304" s="268"/>
      <c r="E304" s="154"/>
      <c r="F304" s="268"/>
      <c r="G304" s="154"/>
      <c r="H304" s="268">
        <f t="shared" si="40"/>
        <v>0</v>
      </c>
      <c r="I304" s="154"/>
      <c r="J304" s="299"/>
      <c r="K304" s="154"/>
      <c r="L304" s="268"/>
      <c r="M304" s="154"/>
      <c r="N304" s="268">
        <f t="shared" si="41"/>
        <v>0</v>
      </c>
      <c r="O304" s="154"/>
      <c r="P304" s="154"/>
      <c r="Q304" s="154"/>
      <c r="R304" s="154"/>
      <c r="S304" s="154"/>
    </row>
    <row r="305" spans="2:19" x14ac:dyDescent="0.35">
      <c r="B305" s="154" t="s">
        <v>1209</v>
      </c>
      <c r="C305" s="154" t="s">
        <v>408</v>
      </c>
      <c r="D305" s="268"/>
      <c r="E305" s="154"/>
      <c r="F305" s="268"/>
      <c r="G305" s="154"/>
      <c r="H305" s="268">
        <f t="shared" si="40"/>
        <v>0</v>
      </c>
      <c r="I305" s="154"/>
      <c r="J305" s="299"/>
      <c r="K305" s="154"/>
      <c r="L305" s="268"/>
      <c r="M305" s="154"/>
      <c r="N305" s="268">
        <f t="shared" si="41"/>
        <v>0</v>
      </c>
      <c r="O305" s="154"/>
      <c r="P305" s="154"/>
      <c r="Q305" s="154"/>
      <c r="R305" s="154"/>
      <c r="S305" s="154"/>
    </row>
    <row r="306" spans="2:19" x14ac:dyDescent="0.35">
      <c r="B306" s="154" t="s">
        <v>1210</v>
      </c>
      <c r="C306" s="154" t="s">
        <v>409</v>
      </c>
      <c r="D306" s="268"/>
      <c r="E306" s="154"/>
      <c r="F306" s="268"/>
      <c r="G306" s="154"/>
      <c r="H306" s="268">
        <f t="shared" si="40"/>
        <v>0</v>
      </c>
      <c r="I306" s="154"/>
      <c r="J306" s="299"/>
      <c r="K306" s="154"/>
      <c r="L306" s="268"/>
      <c r="M306" s="154"/>
      <c r="N306" s="268">
        <f t="shared" si="41"/>
        <v>0</v>
      </c>
      <c r="O306" s="154"/>
      <c r="P306" s="154"/>
      <c r="Q306" s="154"/>
      <c r="R306" s="154"/>
      <c r="S306" s="154"/>
    </row>
    <row r="307" spans="2:19" x14ac:dyDescent="0.35">
      <c r="B307" s="154" t="s">
        <v>1211</v>
      </c>
      <c r="C307" s="154" t="s">
        <v>410</v>
      </c>
      <c r="D307" s="268"/>
      <c r="E307" s="154"/>
      <c r="F307" s="268"/>
      <c r="G307" s="154"/>
      <c r="H307" s="268">
        <f t="shared" si="40"/>
        <v>0</v>
      </c>
      <c r="I307" s="154"/>
      <c r="J307" s="299"/>
      <c r="K307" s="154"/>
      <c r="L307" s="268"/>
      <c r="M307" s="154"/>
      <c r="N307" s="268">
        <f t="shared" si="41"/>
        <v>0</v>
      </c>
      <c r="O307" s="154"/>
      <c r="P307" s="154"/>
      <c r="Q307" s="154"/>
      <c r="R307" s="154"/>
      <c r="S307" s="154"/>
    </row>
    <row r="308" spans="2:19" x14ac:dyDescent="0.35">
      <c r="B308" s="154" t="s">
        <v>1212</v>
      </c>
      <c r="C308" s="154" t="s">
        <v>411</v>
      </c>
      <c r="D308" s="268"/>
      <c r="E308" s="154"/>
      <c r="F308" s="268"/>
      <c r="G308" s="154"/>
      <c r="H308" s="268">
        <f t="shared" si="40"/>
        <v>0</v>
      </c>
      <c r="I308" s="154"/>
      <c r="J308" s="299"/>
      <c r="K308" s="154"/>
      <c r="L308" s="268"/>
      <c r="M308" s="154"/>
      <c r="N308" s="268">
        <f t="shared" si="41"/>
        <v>0</v>
      </c>
      <c r="O308" s="154"/>
      <c r="P308" s="154"/>
      <c r="Q308" s="154"/>
      <c r="R308" s="154"/>
      <c r="S308" s="154"/>
    </row>
    <row r="309" spans="2:19" x14ac:dyDescent="0.35">
      <c r="B309" s="154" t="s">
        <v>1213</v>
      </c>
      <c r="C309" s="154" t="s">
        <v>412</v>
      </c>
      <c r="D309" s="268"/>
      <c r="E309" s="154"/>
      <c r="F309" s="268"/>
      <c r="G309" s="154"/>
      <c r="H309" s="268">
        <f t="shared" si="40"/>
        <v>0</v>
      </c>
      <c r="I309" s="154"/>
      <c r="J309" s="299"/>
      <c r="K309" s="154"/>
      <c r="L309" s="268"/>
      <c r="M309" s="154"/>
      <c r="N309" s="268">
        <f t="shared" si="41"/>
        <v>0</v>
      </c>
      <c r="O309" s="154"/>
      <c r="P309" s="154"/>
      <c r="Q309" s="154"/>
      <c r="R309" s="154"/>
      <c r="S309" s="154"/>
    </row>
    <row r="310" spans="2:19" x14ac:dyDescent="0.35">
      <c r="B310" s="154" t="s">
        <v>1214</v>
      </c>
      <c r="C310" s="154" t="s">
        <v>413</v>
      </c>
      <c r="D310" s="268"/>
      <c r="E310" s="154"/>
      <c r="F310" s="268"/>
      <c r="G310" s="154"/>
      <c r="H310" s="268">
        <f t="shared" si="40"/>
        <v>0</v>
      </c>
      <c r="I310" s="154"/>
      <c r="J310" s="299"/>
      <c r="K310" s="154"/>
      <c r="L310" s="268"/>
      <c r="M310" s="154"/>
      <c r="N310" s="268">
        <f t="shared" si="41"/>
        <v>0</v>
      </c>
      <c r="O310" s="154"/>
      <c r="P310" s="154"/>
      <c r="Q310" s="154"/>
      <c r="R310" s="154"/>
      <c r="S310" s="154"/>
    </row>
    <row r="311" spans="2:19" x14ac:dyDescent="0.35">
      <c r="B311" s="154" t="s">
        <v>1215</v>
      </c>
      <c r="C311" s="154" t="s">
        <v>415</v>
      </c>
      <c r="D311" s="268"/>
      <c r="E311" s="154"/>
      <c r="F311" s="268"/>
      <c r="G311" s="154"/>
      <c r="H311" s="268">
        <f t="shared" si="40"/>
        <v>0</v>
      </c>
      <c r="I311" s="154"/>
      <c r="J311" s="299"/>
      <c r="K311" s="154"/>
      <c r="L311" s="268"/>
      <c r="M311" s="154"/>
      <c r="N311" s="268">
        <f t="shared" si="41"/>
        <v>0</v>
      </c>
      <c r="O311" s="154"/>
      <c r="P311" s="154"/>
      <c r="Q311" s="154"/>
      <c r="R311" s="154"/>
      <c r="S311" s="154"/>
    </row>
    <row r="312" spans="2:19" x14ac:dyDescent="0.35">
      <c r="B312" s="154" t="s">
        <v>1216</v>
      </c>
      <c r="C312" s="154" t="s">
        <v>417</v>
      </c>
      <c r="D312" s="268"/>
      <c r="E312" s="154"/>
      <c r="F312" s="268"/>
      <c r="G312" s="154"/>
      <c r="H312" s="268">
        <f t="shared" si="40"/>
        <v>0</v>
      </c>
      <c r="I312" s="154"/>
      <c r="J312" s="299"/>
      <c r="K312" s="154"/>
      <c r="L312" s="268"/>
      <c r="M312" s="154"/>
      <c r="N312" s="268">
        <f t="shared" si="41"/>
        <v>0</v>
      </c>
      <c r="O312" s="154"/>
      <c r="P312" s="154"/>
      <c r="Q312" s="154"/>
      <c r="R312" s="154"/>
      <c r="S312" s="154"/>
    </row>
    <row r="313" spans="2:19" x14ac:dyDescent="0.35">
      <c r="B313" s="154" t="s">
        <v>1217</v>
      </c>
      <c r="C313" s="154" t="s">
        <v>419</v>
      </c>
      <c r="D313" s="268"/>
      <c r="E313" s="154"/>
      <c r="F313" s="268"/>
      <c r="G313" s="154"/>
      <c r="H313" s="268">
        <f t="shared" si="40"/>
        <v>0</v>
      </c>
      <c r="I313" s="154"/>
      <c r="J313" s="299"/>
      <c r="K313" s="154"/>
      <c r="L313" s="268"/>
      <c r="M313" s="154"/>
      <c r="N313" s="268">
        <f t="shared" si="41"/>
        <v>0</v>
      </c>
      <c r="O313" s="154"/>
      <c r="P313" s="154"/>
      <c r="Q313" s="154"/>
      <c r="R313" s="154"/>
      <c r="S313" s="154"/>
    </row>
    <row r="314" spans="2:19" x14ac:dyDescent="0.35">
      <c r="B314" s="154" t="s">
        <v>1218</v>
      </c>
      <c r="C314" s="154" t="s">
        <v>421</v>
      </c>
      <c r="D314" s="268"/>
      <c r="E314" s="154"/>
      <c r="F314" s="268"/>
      <c r="G314" s="154"/>
      <c r="H314" s="268">
        <f t="shared" si="40"/>
        <v>0</v>
      </c>
      <c r="I314" s="154"/>
      <c r="J314" s="299"/>
      <c r="K314" s="154"/>
      <c r="L314" s="268"/>
      <c r="M314" s="154"/>
      <c r="N314" s="268">
        <f t="shared" si="41"/>
        <v>0</v>
      </c>
      <c r="O314" s="154"/>
      <c r="P314" s="154"/>
      <c r="Q314" s="154"/>
      <c r="R314" s="154"/>
      <c r="S314" s="154"/>
    </row>
    <row r="315" spans="2:19" x14ac:dyDescent="0.35">
      <c r="B315" s="154" t="s">
        <v>1219</v>
      </c>
      <c r="C315" s="154" t="s">
        <v>423</v>
      </c>
      <c r="D315" s="268"/>
      <c r="E315" s="154"/>
      <c r="F315" s="268"/>
      <c r="G315" s="154"/>
      <c r="H315" s="268">
        <f t="shared" si="40"/>
        <v>0</v>
      </c>
      <c r="I315" s="154"/>
      <c r="J315" s="299"/>
      <c r="K315" s="154"/>
      <c r="L315" s="268"/>
      <c r="M315" s="154"/>
      <c r="N315" s="268">
        <f t="shared" si="41"/>
        <v>0</v>
      </c>
      <c r="O315" s="154"/>
      <c r="P315" s="154"/>
      <c r="Q315" s="154"/>
      <c r="R315" s="154"/>
      <c r="S315" s="154"/>
    </row>
    <row r="316" spans="2:19" x14ac:dyDescent="0.35">
      <c r="B316" s="154" t="s">
        <v>1220</v>
      </c>
      <c r="C316" s="154" t="s">
        <v>426</v>
      </c>
      <c r="D316" s="268"/>
      <c r="E316" s="154"/>
      <c r="F316" s="268"/>
      <c r="G316" s="154"/>
      <c r="H316" s="268">
        <f t="shared" si="40"/>
        <v>0</v>
      </c>
      <c r="I316" s="154"/>
      <c r="J316" s="299"/>
      <c r="K316" s="154"/>
      <c r="L316" s="268"/>
      <c r="M316" s="154"/>
      <c r="N316" s="268">
        <f t="shared" si="41"/>
        <v>0</v>
      </c>
      <c r="O316" s="154"/>
      <c r="P316" s="154"/>
      <c r="Q316" s="154"/>
      <c r="R316" s="154"/>
      <c r="S316" s="154"/>
    </row>
    <row r="317" spans="2:19" x14ac:dyDescent="0.35">
      <c r="B317" s="154" t="s">
        <v>1221</v>
      </c>
      <c r="C317" s="154" t="s">
        <v>428</v>
      </c>
      <c r="D317" s="268"/>
      <c r="E317" s="154"/>
      <c r="F317" s="268"/>
      <c r="G317" s="154"/>
      <c r="H317" s="268">
        <f t="shared" si="40"/>
        <v>0</v>
      </c>
      <c r="I317" s="154"/>
      <c r="J317" s="299"/>
      <c r="K317" s="154"/>
      <c r="L317" s="268"/>
      <c r="M317" s="154"/>
      <c r="N317" s="268">
        <f t="shared" si="41"/>
        <v>0</v>
      </c>
      <c r="O317" s="154"/>
      <c r="P317" s="154"/>
      <c r="Q317" s="154"/>
      <c r="R317" s="154"/>
      <c r="S317" s="154"/>
    </row>
    <row r="318" spans="2:19" x14ac:dyDescent="0.35">
      <c r="B318" s="154" t="s">
        <v>1222</v>
      </c>
      <c r="C318" s="154" t="s">
        <v>430</v>
      </c>
      <c r="D318" s="268"/>
      <c r="E318" s="154"/>
      <c r="F318" s="268"/>
      <c r="G318" s="154"/>
      <c r="H318" s="268">
        <f t="shared" si="40"/>
        <v>0</v>
      </c>
      <c r="I318" s="154"/>
      <c r="J318" s="299"/>
      <c r="K318" s="154"/>
      <c r="L318" s="268"/>
      <c r="M318" s="154"/>
      <c r="N318" s="268">
        <f t="shared" si="41"/>
        <v>0</v>
      </c>
      <c r="O318" s="154"/>
      <c r="P318" s="154"/>
      <c r="Q318" s="154"/>
      <c r="R318" s="154"/>
      <c r="S318" s="154"/>
    </row>
    <row r="319" spans="2:19" x14ac:dyDescent="0.35">
      <c r="B319" s="154" t="s">
        <v>1223</v>
      </c>
      <c r="C319" s="154" t="s">
        <v>431</v>
      </c>
      <c r="D319" s="268"/>
      <c r="E319" s="154"/>
      <c r="F319" s="268"/>
      <c r="G319" s="154"/>
      <c r="H319" s="268">
        <f t="shared" si="40"/>
        <v>0</v>
      </c>
      <c r="I319" s="154"/>
      <c r="J319" s="299"/>
      <c r="K319" s="154"/>
      <c r="L319" s="268"/>
      <c r="M319" s="154"/>
      <c r="N319" s="268">
        <f t="shared" si="41"/>
        <v>0</v>
      </c>
      <c r="O319" s="154"/>
      <c r="P319" s="154"/>
      <c r="Q319" s="154"/>
      <c r="R319" s="154"/>
      <c r="S319" s="154"/>
    </row>
    <row r="320" spans="2:19" x14ac:dyDescent="0.35">
      <c r="B320" s="154" t="s">
        <v>1224</v>
      </c>
      <c r="C320" s="154" t="s">
        <v>866</v>
      </c>
      <c r="D320" s="268"/>
      <c r="E320" s="154"/>
      <c r="F320" s="268"/>
      <c r="G320" s="154"/>
      <c r="H320" s="268">
        <f t="shared" si="40"/>
        <v>0</v>
      </c>
      <c r="I320" s="154"/>
      <c r="J320" s="299"/>
      <c r="K320" s="154"/>
      <c r="L320" s="268"/>
      <c r="M320" s="154"/>
      <c r="N320" s="268">
        <f t="shared" si="41"/>
        <v>0</v>
      </c>
      <c r="O320" s="154"/>
      <c r="P320" s="154"/>
      <c r="Q320" s="154"/>
      <c r="R320" s="154"/>
      <c r="S320" s="154"/>
    </row>
    <row r="321" spans="2:19" x14ac:dyDescent="0.35">
      <c r="B321" s="154" t="s">
        <v>1225</v>
      </c>
      <c r="C321" s="154" t="s">
        <v>868</v>
      </c>
      <c r="D321" s="268"/>
      <c r="E321" s="154"/>
      <c r="F321" s="268"/>
      <c r="G321" s="154"/>
      <c r="H321" s="268">
        <f t="shared" si="40"/>
        <v>0</v>
      </c>
      <c r="I321" s="154"/>
      <c r="J321" s="299"/>
      <c r="K321" s="154"/>
      <c r="L321" s="268"/>
      <c r="M321" s="154"/>
      <c r="N321" s="268">
        <f t="shared" si="41"/>
        <v>0</v>
      </c>
      <c r="O321" s="154"/>
      <c r="P321" s="154"/>
      <c r="Q321" s="154"/>
      <c r="R321" s="154"/>
      <c r="S321" s="154"/>
    </row>
    <row r="322" spans="2:19" x14ac:dyDescent="0.35">
      <c r="B322" s="154" t="s">
        <v>1226</v>
      </c>
      <c r="C322" s="154" t="s">
        <v>432</v>
      </c>
      <c r="D322" s="268"/>
      <c r="E322" s="154"/>
      <c r="F322" s="268"/>
      <c r="G322" s="154"/>
      <c r="H322" s="268">
        <f t="shared" si="40"/>
        <v>0</v>
      </c>
      <c r="I322" s="154"/>
      <c r="J322" s="299"/>
      <c r="K322" s="154"/>
      <c r="L322" s="268"/>
      <c r="M322" s="154"/>
      <c r="N322" s="268">
        <f t="shared" si="41"/>
        <v>0</v>
      </c>
      <c r="O322" s="154"/>
      <c r="P322" s="154"/>
      <c r="Q322" s="154"/>
      <c r="R322" s="154"/>
      <c r="S322" s="154"/>
    </row>
    <row r="323" spans="2:19" x14ac:dyDescent="0.35">
      <c r="B323" s="224" t="s">
        <v>1227</v>
      </c>
      <c r="C323" s="224" t="s">
        <v>641</v>
      </c>
      <c r="D323" s="267">
        <f>D324</f>
        <v>0</v>
      </c>
      <c r="E323" s="267">
        <f t="shared" ref="E323:N323" si="42">E324</f>
        <v>0</v>
      </c>
      <c r="F323" s="267">
        <f t="shared" si="42"/>
        <v>0</v>
      </c>
      <c r="G323" s="267">
        <f t="shared" si="42"/>
        <v>0</v>
      </c>
      <c r="H323" s="267">
        <f t="shared" si="42"/>
        <v>0</v>
      </c>
      <c r="I323" s="267">
        <f t="shared" si="42"/>
        <v>0</v>
      </c>
      <c r="J323" s="267">
        <f t="shared" si="42"/>
        <v>0</v>
      </c>
      <c r="K323" s="267">
        <f t="shared" si="42"/>
        <v>0</v>
      </c>
      <c r="L323" s="267">
        <f t="shared" si="42"/>
        <v>0</v>
      </c>
      <c r="M323" s="267">
        <f t="shared" si="42"/>
        <v>0</v>
      </c>
      <c r="N323" s="267">
        <f t="shared" si="42"/>
        <v>0</v>
      </c>
      <c r="O323" s="224"/>
      <c r="P323" s="224"/>
      <c r="Q323" s="224"/>
      <c r="R323" s="224"/>
      <c r="S323" s="224"/>
    </row>
    <row r="324" spans="2:19" x14ac:dyDescent="0.35">
      <c r="B324" s="154" t="s">
        <v>1228</v>
      </c>
      <c r="C324" s="154" t="s">
        <v>570</v>
      </c>
      <c r="D324" s="268"/>
      <c r="E324" s="154"/>
      <c r="F324" s="268"/>
      <c r="G324" s="154"/>
      <c r="H324" s="268">
        <f t="shared" si="40"/>
        <v>0</v>
      </c>
      <c r="I324" s="154"/>
      <c r="J324" s="299"/>
      <c r="K324" s="154"/>
      <c r="L324" s="268"/>
      <c r="M324" s="154"/>
      <c r="N324" s="268">
        <f t="shared" si="41"/>
        <v>0</v>
      </c>
      <c r="O324" s="154"/>
      <c r="P324" s="154"/>
      <c r="Q324" s="154"/>
      <c r="R324" s="154"/>
      <c r="S324" s="154"/>
    </row>
    <row r="325" spans="2:19" x14ac:dyDescent="0.35">
      <c r="B325" s="224" t="s">
        <v>1229</v>
      </c>
      <c r="C325" s="224" t="s">
        <v>433</v>
      </c>
      <c r="D325" s="267">
        <f>SUM(D326:D329)</f>
        <v>0</v>
      </c>
      <c r="E325" s="267">
        <f t="shared" ref="E325:N325" si="43">SUM(E326:E329)</f>
        <v>0</v>
      </c>
      <c r="F325" s="267">
        <f t="shared" si="43"/>
        <v>0</v>
      </c>
      <c r="G325" s="267">
        <f t="shared" si="43"/>
        <v>0</v>
      </c>
      <c r="H325" s="267">
        <f t="shared" si="43"/>
        <v>0</v>
      </c>
      <c r="I325" s="267">
        <f t="shared" si="43"/>
        <v>0</v>
      </c>
      <c r="J325" s="267">
        <f t="shared" si="43"/>
        <v>0</v>
      </c>
      <c r="K325" s="267">
        <f t="shared" si="43"/>
        <v>0</v>
      </c>
      <c r="L325" s="267">
        <f t="shared" si="43"/>
        <v>0</v>
      </c>
      <c r="M325" s="267">
        <f t="shared" si="43"/>
        <v>0</v>
      </c>
      <c r="N325" s="267">
        <f t="shared" si="43"/>
        <v>0</v>
      </c>
      <c r="O325" s="224"/>
      <c r="P325" s="224"/>
      <c r="Q325" s="224"/>
      <c r="R325" s="224"/>
      <c r="S325" s="224"/>
    </row>
    <row r="326" spans="2:19" x14ac:dyDescent="0.35">
      <c r="B326" s="154" t="s">
        <v>1230</v>
      </c>
      <c r="C326" s="154" t="s">
        <v>434</v>
      </c>
      <c r="D326" s="268"/>
      <c r="E326" s="154"/>
      <c r="F326" s="268"/>
      <c r="G326" s="154"/>
      <c r="H326" s="268">
        <f t="shared" si="40"/>
        <v>0</v>
      </c>
      <c r="I326" s="154"/>
      <c r="J326" s="299"/>
      <c r="K326" s="154"/>
      <c r="L326" s="268"/>
      <c r="M326" s="154"/>
      <c r="N326" s="268">
        <f t="shared" si="41"/>
        <v>0</v>
      </c>
      <c r="O326" s="154"/>
      <c r="P326" s="154"/>
      <c r="Q326" s="154"/>
      <c r="R326" s="154"/>
      <c r="S326" s="154"/>
    </row>
    <row r="327" spans="2:19" x14ac:dyDescent="0.35">
      <c r="B327" s="154" t="s">
        <v>1231</v>
      </c>
      <c r="C327" s="154" t="s">
        <v>435</v>
      </c>
      <c r="D327" s="268"/>
      <c r="E327" s="154"/>
      <c r="F327" s="268"/>
      <c r="G327" s="154"/>
      <c r="H327" s="268">
        <f t="shared" si="40"/>
        <v>0</v>
      </c>
      <c r="I327" s="154"/>
      <c r="J327" s="299"/>
      <c r="K327" s="154"/>
      <c r="L327" s="268"/>
      <c r="M327" s="154"/>
      <c r="N327" s="268">
        <f t="shared" si="41"/>
        <v>0</v>
      </c>
      <c r="O327" s="154"/>
      <c r="P327" s="154"/>
      <c r="Q327" s="154"/>
      <c r="R327" s="154"/>
      <c r="S327" s="154"/>
    </row>
    <row r="328" spans="2:19" x14ac:dyDescent="0.35">
      <c r="B328" s="154" t="s">
        <v>1232</v>
      </c>
      <c r="C328" s="154" t="s">
        <v>436</v>
      </c>
      <c r="D328" s="268"/>
      <c r="E328" s="154"/>
      <c r="F328" s="268"/>
      <c r="G328" s="154"/>
      <c r="H328" s="268">
        <f t="shared" si="40"/>
        <v>0</v>
      </c>
      <c r="I328" s="154"/>
      <c r="J328" s="299"/>
      <c r="K328" s="154"/>
      <c r="L328" s="268"/>
      <c r="M328" s="154"/>
      <c r="N328" s="268">
        <f t="shared" si="41"/>
        <v>0</v>
      </c>
      <c r="O328" s="154"/>
      <c r="P328" s="154"/>
      <c r="Q328" s="154"/>
      <c r="R328" s="154"/>
      <c r="S328" s="154"/>
    </row>
    <row r="329" spans="2:19" x14ac:dyDescent="0.35">
      <c r="B329" s="154" t="s">
        <v>1233</v>
      </c>
      <c r="C329" s="154" t="s">
        <v>869</v>
      </c>
      <c r="D329" s="268"/>
      <c r="E329" s="154"/>
      <c r="F329" s="268"/>
      <c r="G329" s="154"/>
      <c r="H329" s="268">
        <f t="shared" si="40"/>
        <v>0</v>
      </c>
      <c r="I329" s="154"/>
      <c r="J329" s="299"/>
      <c r="K329" s="154"/>
      <c r="L329" s="268"/>
      <c r="M329" s="154"/>
      <c r="N329" s="268">
        <f t="shared" si="41"/>
        <v>0</v>
      </c>
      <c r="O329" s="154"/>
      <c r="P329" s="154"/>
      <c r="Q329" s="154"/>
      <c r="R329" s="154"/>
      <c r="S329" s="154"/>
    </row>
    <row r="330" spans="2:19" x14ac:dyDescent="0.35">
      <c r="B330" s="223" t="s">
        <v>1234</v>
      </c>
      <c r="C330" s="223" t="s">
        <v>437</v>
      </c>
      <c r="D330" s="266"/>
      <c r="E330" s="223"/>
      <c r="F330" s="266"/>
      <c r="G330" s="223"/>
      <c r="H330" s="266"/>
      <c r="I330" s="223"/>
      <c r="J330" s="297">
        <v>0</v>
      </c>
      <c r="K330" s="223"/>
      <c r="L330" s="266"/>
      <c r="M330" s="223"/>
      <c r="N330" s="266"/>
      <c r="O330" s="223"/>
      <c r="P330" s="223"/>
      <c r="Q330" s="223"/>
      <c r="R330" s="223"/>
      <c r="S330" s="223"/>
    </row>
    <row r="331" spans="2:19" x14ac:dyDescent="0.35">
      <c r="B331" s="224" t="s">
        <v>1235</v>
      </c>
      <c r="C331" s="224" t="s">
        <v>572</v>
      </c>
      <c r="D331" s="267">
        <f>SUM(D332:D354)</f>
        <v>0</v>
      </c>
      <c r="E331" s="267">
        <f t="shared" ref="E331:N331" si="44">SUM(E332:E354)</f>
        <v>0</v>
      </c>
      <c r="F331" s="267">
        <f t="shared" si="44"/>
        <v>0</v>
      </c>
      <c r="G331" s="267">
        <f t="shared" si="44"/>
        <v>0</v>
      </c>
      <c r="H331" s="267">
        <f t="shared" si="44"/>
        <v>0</v>
      </c>
      <c r="I331" s="267">
        <f t="shared" si="44"/>
        <v>0</v>
      </c>
      <c r="J331" s="267">
        <f t="shared" si="44"/>
        <v>0</v>
      </c>
      <c r="K331" s="267">
        <f t="shared" si="44"/>
        <v>0</v>
      </c>
      <c r="L331" s="267">
        <f t="shared" si="44"/>
        <v>0</v>
      </c>
      <c r="M331" s="267">
        <f t="shared" si="44"/>
        <v>0</v>
      </c>
      <c r="N331" s="267">
        <f t="shared" si="44"/>
        <v>0</v>
      </c>
      <c r="O331" s="224"/>
      <c r="P331" s="224"/>
      <c r="Q331" s="224"/>
      <c r="R331" s="224"/>
      <c r="S331" s="224"/>
    </row>
    <row r="332" spans="2:19" x14ac:dyDescent="0.35">
      <c r="B332" s="154" t="s">
        <v>1236</v>
      </c>
      <c r="C332" s="154" t="s">
        <v>438</v>
      </c>
      <c r="D332" s="268"/>
      <c r="E332" s="154"/>
      <c r="F332" s="268"/>
      <c r="G332" s="154"/>
      <c r="H332" s="268">
        <f t="shared" ref="H332:H356" si="45">D332-F332</f>
        <v>0</v>
      </c>
      <c r="I332" s="154"/>
      <c r="J332" s="299"/>
      <c r="K332" s="154"/>
      <c r="L332" s="268"/>
      <c r="M332" s="154"/>
      <c r="N332" s="268">
        <f t="shared" ref="N332:N356" si="46">J332-L332</f>
        <v>0</v>
      </c>
      <c r="O332" s="154"/>
      <c r="P332" s="154"/>
      <c r="Q332" s="154"/>
      <c r="R332" s="154"/>
      <c r="S332" s="154"/>
    </row>
    <row r="333" spans="2:19" x14ac:dyDescent="0.35">
      <c r="B333" s="154" t="s">
        <v>1237</v>
      </c>
      <c r="C333" s="154" t="s">
        <v>439</v>
      </c>
      <c r="D333" s="268"/>
      <c r="E333" s="154"/>
      <c r="F333" s="268"/>
      <c r="G333" s="154"/>
      <c r="H333" s="268">
        <f t="shared" si="45"/>
        <v>0</v>
      </c>
      <c r="I333" s="154"/>
      <c r="J333" s="299"/>
      <c r="K333" s="154"/>
      <c r="L333" s="268"/>
      <c r="M333" s="154"/>
      <c r="N333" s="268">
        <f t="shared" si="46"/>
        <v>0</v>
      </c>
      <c r="O333" s="154"/>
      <c r="P333" s="154"/>
      <c r="Q333" s="154"/>
      <c r="R333" s="154"/>
      <c r="S333" s="154"/>
    </row>
    <row r="334" spans="2:19" x14ac:dyDescent="0.35">
      <c r="B334" s="154" t="s">
        <v>1238</v>
      </c>
      <c r="C334" s="154" t="s">
        <v>440</v>
      </c>
      <c r="D334" s="268"/>
      <c r="E334" s="154"/>
      <c r="F334" s="268"/>
      <c r="G334" s="154"/>
      <c r="H334" s="268">
        <f t="shared" si="45"/>
        <v>0</v>
      </c>
      <c r="I334" s="154"/>
      <c r="J334" s="299"/>
      <c r="K334" s="154"/>
      <c r="L334" s="268"/>
      <c r="M334" s="154"/>
      <c r="N334" s="268">
        <f t="shared" si="46"/>
        <v>0</v>
      </c>
      <c r="O334" s="154"/>
      <c r="P334" s="154"/>
      <c r="Q334" s="154"/>
      <c r="R334" s="154"/>
      <c r="S334" s="154"/>
    </row>
    <row r="335" spans="2:19" x14ac:dyDescent="0.35">
      <c r="B335" s="154" t="s">
        <v>1239</v>
      </c>
      <c r="C335" s="154" t="s">
        <v>441</v>
      </c>
      <c r="D335" s="268"/>
      <c r="E335" s="154"/>
      <c r="F335" s="268"/>
      <c r="G335" s="154"/>
      <c r="H335" s="268">
        <f t="shared" si="45"/>
        <v>0</v>
      </c>
      <c r="I335" s="154"/>
      <c r="J335" s="299"/>
      <c r="K335" s="154"/>
      <c r="L335" s="268"/>
      <c r="M335" s="154"/>
      <c r="N335" s="268">
        <f t="shared" si="46"/>
        <v>0</v>
      </c>
      <c r="O335" s="154"/>
      <c r="P335" s="154"/>
      <c r="Q335" s="154"/>
      <c r="R335" s="154"/>
      <c r="S335" s="154"/>
    </row>
    <row r="336" spans="2:19" x14ac:dyDescent="0.35">
      <c r="B336" s="154" t="s">
        <v>1240</v>
      </c>
      <c r="C336" s="154" t="s">
        <v>442</v>
      </c>
      <c r="D336" s="268"/>
      <c r="E336" s="154"/>
      <c r="F336" s="268"/>
      <c r="G336" s="154"/>
      <c r="H336" s="268">
        <f t="shared" si="45"/>
        <v>0</v>
      </c>
      <c r="I336" s="154"/>
      <c r="J336" s="299"/>
      <c r="K336" s="154"/>
      <c r="L336" s="268"/>
      <c r="M336" s="154"/>
      <c r="N336" s="268">
        <f t="shared" si="46"/>
        <v>0</v>
      </c>
      <c r="O336" s="154"/>
      <c r="P336" s="154"/>
      <c r="Q336" s="154"/>
      <c r="R336" s="154"/>
      <c r="S336" s="154"/>
    </row>
    <row r="337" spans="2:19" x14ac:dyDescent="0.35">
      <c r="B337" s="154" t="s">
        <v>1241</v>
      </c>
      <c r="C337" s="154" t="s">
        <v>443</v>
      </c>
      <c r="D337" s="268"/>
      <c r="E337" s="154"/>
      <c r="F337" s="268"/>
      <c r="G337" s="154"/>
      <c r="H337" s="268">
        <f t="shared" si="45"/>
        <v>0</v>
      </c>
      <c r="I337" s="154"/>
      <c r="J337" s="299"/>
      <c r="K337" s="154"/>
      <c r="L337" s="268"/>
      <c r="M337" s="154"/>
      <c r="N337" s="268">
        <f t="shared" si="46"/>
        <v>0</v>
      </c>
      <c r="O337" s="154"/>
      <c r="P337" s="154"/>
      <c r="Q337" s="154"/>
      <c r="R337" s="154"/>
      <c r="S337" s="154"/>
    </row>
    <row r="338" spans="2:19" x14ac:dyDescent="0.35">
      <c r="B338" s="154" t="s">
        <v>1242</v>
      </c>
      <c r="C338" s="154" t="s">
        <v>870</v>
      </c>
      <c r="D338" s="268"/>
      <c r="E338" s="154"/>
      <c r="F338" s="268"/>
      <c r="G338" s="154"/>
      <c r="H338" s="268">
        <f t="shared" si="45"/>
        <v>0</v>
      </c>
      <c r="I338" s="154"/>
      <c r="J338" s="299"/>
      <c r="K338" s="154"/>
      <c r="L338" s="268"/>
      <c r="M338" s="154"/>
      <c r="N338" s="268">
        <f t="shared" si="46"/>
        <v>0</v>
      </c>
      <c r="O338" s="154"/>
      <c r="P338" s="154"/>
      <c r="Q338" s="154"/>
      <c r="R338" s="154"/>
      <c r="S338" s="154"/>
    </row>
    <row r="339" spans="2:19" x14ac:dyDescent="0.35">
      <c r="B339" s="154" t="s">
        <v>1243</v>
      </c>
      <c r="C339" s="154" t="s">
        <v>444</v>
      </c>
      <c r="D339" s="268"/>
      <c r="E339" s="154"/>
      <c r="F339" s="268"/>
      <c r="G339" s="154"/>
      <c r="H339" s="268">
        <f t="shared" si="45"/>
        <v>0</v>
      </c>
      <c r="I339" s="154"/>
      <c r="J339" s="299"/>
      <c r="K339" s="154"/>
      <c r="L339" s="268"/>
      <c r="M339" s="154"/>
      <c r="N339" s="268">
        <f t="shared" si="46"/>
        <v>0</v>
      </c>
      <c r="O339" s="154"/>
      <c r="P339" s="154"/>
      <c r="Q339" s="154"/>
      <c r="R339" s="154"/>
      <c r="S339" s="154"/>
    </row>
    <row r="340" spans="2:19" x14ac:dyDescent="0.35">
      <c r="B340" s="154" t="s">
        <v>1244</v>
      </c>
      <c r="C340" s="154" t="s">
        <v>445</v>
      </c>
      <c r="D340" s="268"/>
      <c r="E340" s="154"/>
      <c r="F340" s="268"/>
      <c r="G340" s="154"/>
      <c r="H340" s="268">
        <f t="shared" si="45"/>
        <v>0</v>
      </c>
      <c r="I340" s="154"/>
      <c r="J340" s="299"/>
      <c r="K340" s="154"/>
      <c r="L340" s="268"/>
      <c r="M340" s="154"/>
      <c r="N340" s="268">
        <f t="shared" si="46"/>
        <v>0</v>
      </c>
      <c r="O340" s="154"/>
      <c r="P340" s="154"/>
      <c r="Q340" s="154"/>
      <c r="R340" s="154"/>
      <c r="S340" s="154"/>
    </row>
    <row r="341" spans="2:19" x14ac:dyDescent="0.35">
      <c r="B341" s="154" t="s">
        <v>1245</v>
      </c>
      <c r="C341" s="154" t="s">
        <v>446</v>
      </c>
      <c r="D341" s="268"/>
      <c r="E341" s="154"/>
      <c r="F341" s="268"/>
      <c r="G341" s="154"/>
      <c r="H341" s="268">
        <f t="shared" si="45"/>
        <v>0</v>
      </c>
      <c r="I341" s="154"/>
      <c r="J341" s="299"/>
      <c r="K341" s="154"/>
      <c r="L341" s="268"/>
      <c r="M341" s="154"/>
      <c r="N341" s="268">
        <f t="shared" si="46"/>
        <v>0</v>
      </c>
      <c r="O341" s="154"/>
      <c r="P341" s="154"/>
      <c r="Q341" s="154"/>
      <c r="R341" s="154"/>
      <c r="S341" s="154"/>
    </row>
    <row r="342" spans="2:19" x14ac:dyDescent="0.35">
      <c r="B342" s="154" t="s">
        <v>1246</v>
      </c>
      <c r="C342" s="154" t="s">
        <v>871</v>
      </c>
      <c r="D342" s="268"/>
      <c r="E342" s="154"/>
      <c r="F342" s="268"/>
      <c r="G342" s="154"/>
      <c r="H342" s="268">
        <f t="shared" si="45"/>
        <v>0</v>
      </c>
      <c r="I342" s="154"/>
      <c r="J342" s="299"/>
      <c r="K342" s="154"/>
      <c r="L342" s="268"/>
      <c r="M342" s="154"/>
      <c r="N342" s="268">
        <f t="shared" si="46"/>
        <v>0</v>
      </c>
      <c r="O342" s="154"/>
      <c r="P342" s="154"/>
      <c r="Q342" s="154"/>
      <c r="R342" s="154"/>
      <c r="S342" s="154"/>
    </row>
    <row r="343" spans="2:19" x14ac:dyDescent="0.35">
      <c r="B343" s="154" t="s">
        <v>1247</v>
      </c>
      <c r="C343" s="154" t="s">
        <v>447</v>
      </c>
      <c r="D343" s="268"/>
      <c r="E343" s="154"/>
      <c r="F343" s="268"/>
      <c r="G343" s="154"/>
      <c r="H343" s="268">
        <f t="shared" si="45"/>
        <v>0</v>
      </c>
      <c r="I343" s="154"/>
      <c r="J343" s="299"/>
      <c r="K343" s="154"/>
      <c r="L343" s="268"/>
      <c r="M343" s="154"/>
      <c r="N343" s="268">
        <f t="shared" si="46"/>
        <v>0</v>
      </c>
      <c r="O343" s="154"/>
      <c r="P343" s="154"/>
      <c r="Q343" s="154"/>
      <c r="R343" s="154"/>
      <c r="S343" s="154"/>
    </row>
    <row r="344" spans="2:19" x14ac:dyDescent="0.35">
      <c r="B344" s="154" t="s">
        <v>1248</v>
      </c>
      <c r="C344" s="154" t="s">
        <v>448</v>
      </c>
      <c r="D344" s="268"/>
      <c r="E344" s="154"/>
      <c r="F344" s="268"/>
      <c r="G344" s="154"/>
      <c r="H344" s="268">
        <f t="shared" si="45"/>
        <v>0</v>
      </c>
      <c r="I344" s="154"/>
      <c r="J344" s="299"/>
      <c r="K344" s="154"/>
      <c r="L344" s="268"/>
      <c r="M344" s="154"/>
      <c r="N344" s="268">
        <f t="shared" si="46"/>
        <v>0</v>
      </c>
      <c r="O344" s="154"/>
      <c r="P344" s="154"/>
      <c r="Q344" s="154"/>
      <c r="R344" s="154"/>
      <c r="S344" s="154"/>
    </row>
    <row r="345" spans="2:19" x14ac:dyDescent="0.35">
      <c r="B345" s="154" t="s">
        <v>1249</v>
      </c>
      <c r="C345" s="154" t="s">
        <v>449</v>
      </c>
      <c r="D345" s="268"/>
      <c r="E345" s="154"/>
      <c r="F345" s="268"/>
      <c r="G345" s="154"/>
      <c r="H345" s="268">
        <f t="shared" si="45"/>
        <v>0</v>
      </c>
      <c r="I345" s="154"/>
      <c r="J345" s="299"/>
      <c r="K345" s="154"/>
      <c r="L345" s="268"/>
      <c r="M345" s="154"/>
      <c r="N345" s="268">
        <f t="shared" si="46"/>
        <v>0</v>
      </c>
      <c r="O345" s="154"/>
      <c r="P345" s="154"/>
      <c r="Q345" s="154"/>
      <c r="R345" s="154"/>
      <c r="S345" s="154"/>
    </row>
    <row r="346" spans="2:19" x14ac:dyDescent="0.35">
      <c r="B346" s="154" t="s">
        <v>1250</v>
      </c>
      <c r="C346" s="154" t="s">
        <v>450</v>
      </c>
      <c r="D346" s="268"/>
      <c r="E346" s="154"/>
      <c r="F346" s="268"/>
      <c r="G346" s="154"/>
      <c r="H346" s="268">
        <f t="shared" si="45"/>
        <v>0</v>
      </c>
      <c r="I346" s="154"/>
      <c r="J346" s="299"/>
      <c r="K346" s="154"/>
      <c r="L346" s="268"/>
      <c r="M346" s="154"/>
      <c r="N346" s="268">
        <f t="shared" si="46"/>
        <v>0</v>
      </c>
      <c r="O346" s="154"/>
      <c r="P346" s="154"/>
      <c r="Q346" s="154"/>
      <c r="R346" s="154"/>
      <c r="S346" s="154"/>
    </row>
    <row r="347" spans="2:19" x14ac:dyDescent="0.35">
      <c r="B347" s="154" t="s">
        <v>1251</v>
      </c>
      <c r="C347" s="154" t="s">
        <v>451</v>
      </c>
      <c r="D347" s="268"/>
      <c r="E347" s="154"/>
      <c r="F347" s="268"/>
      <c r="G347" s="154"/>
      <c r="H347" s="268">
        <f t="shared" si="45"/>
        <v>0</v>
      </c>
      <c r="I347" s="154"/>
      <c r="J347" s="299"/>
      <c r="K347" s="154"/>
      <c r="L347" s="268"/>
      <c r="M347" s="154"/>
      <c r="N347" s="268">
        <f t="shared" si="46"/>
        <v>0</v>
      </c>
      <c r="O347" s="154"/>
      <c r="P347" s="154"/>
      <c r="Q347" s="154"/>
      <c r="R347" s="154"/>
      <c r="S347" s="154"/>
    </row>
    <row r="348" spans="2:19" x14ac:dyDescent="0.35">
      <c r="B348" s="154" t="s">
        <v>1252</v>
      </c>
      <c r="C348" s="154" t="s">
        <v>452</v>
      </c>
      <c r="D348" s="268"/>
      <c r="E348" s="154"/>
      <c r="F348" s="268"/>
      <c r="G348" s="154"/>
      <c r="H348" s="268">
        <f t="shared" si="45"/>
        <v>0</v>
      </c>
      <c r="I348" s="154"/>
      <c r="J348" s="299"/>
      <c r="K348" s="154"/>
      <c r="L348" s="268"/>
      <c r="M348" s="154"/>
      <c r="N348" s="268">
        <f t="shared" si="46"/>
        <v>0</v>
      </c>
      <c r="O348" s="154"/>
      <c r="P348" s="154"/>
      <c r="Q348" s="154"/>
      <c r="R348" s="154"/>
      <c r="S348" s="154"/>
    </row>
    <row r="349" spans="2:19" x14ac:dyDescent="0.35">
      <c r="B349" s="154" t="s">
        <v>1253</v>
      </c>
      <c r="C349" s="154" t="s">
        <v>872</v>
      </c>
      <c r="D349" s="268"/>
      <c r="E349" s="154"/>
      <c r="F349" s="268"/>
      <c r="G349" s="154"/>
      <c r="H349" s="268">
        <f t="shared" si="45"/>
        <v>0</v>
      </c>
      <c r="I349" s="154"/>
      <c r="J349" s="299"/>
      <c r="K349" s="154"/>
      <c r="L349" s="268"/>
      <c r="M349" s="154"/>
      <c r="N349" s="268">
        <f t="shared" si="46"/>
        <v>0</v>
      </c>
      <c r="O349" s="154"/>
      <c r="P349" s="154"/>
      <c r="Q349" s="154"/>
      <c r="R349" s="154"/>
      <c r="S349" s="154"/>
    </row>
    <row r="350" spans="2:19" x14ac:dyDescent="0.35">
      <c r="B350" s="154" t="s">
        <v>1254</v>
      </c>
      <c r="C350" s="154" t="s">
        <v>453</v>
      </c>
      <c r="D350" s="268"/>
      <c r="E350" s="154"/>
      <c r="F350" s="268"/>
      <c r="G350" s="154"/>
      <c r="H350" s="268">
        <f t="shared" si="45"/>
        <v>0</v>
      </c>
      <c r="I350" s="154"/>
      <c r="J350" s="299"/>
      <c r="K350" s="154"/>
      <c r="L350" s="268"/>
      <c r="M350" s="154"/>
      <c r="N350" s="268">
        <f t="shared" si="46"/>
        <v>0</v>
      </c>
      <c r="O350" s="154"/>
      <c r="P350" s="154"/>
      <c r="Q350" s="154"/>
      <c r="R350" s="154"/>
      <c r="S350" s="154"/>
    </row>
    <row r="351" spans="2:19" x14ac:dyDescent="0.35">
      <c r="B351" s="154" t="s">
        <v>1255</v>
      </c>
      <c r="C351" s="154" t="s">
        <v>454</v>
      </c>
      <c r="D351" s="268"/>
      <c r="E351" s="154"/>
      <c r="F351" s="268"/>
      <c r="G351" s="154"/>
      <c r="H351" s="268">
        <f t="shared" si="45"/>
        <v>0</v>
      </c>
      <c r="I351" s="154"/>
      <c r="J351" s="299"/>
      <c r="K351" s="154"/>
      <c r="L351" s="268"/>
      <c r="M351" s="154"/>
      <c r="N351" s="268">
        <f t="shared" si="46"/>
        <v>0</v>
      </c>
      <c r="O351" s="154"/>
      <c r="P351" s="154"/>
      <c r="Q351" s="154"/>
      <c r="R351" s="154"/>
      <c r="S351" s="154"/>
    </row>
    <row r="352" spans="2:19" x14ac:dyDescent="0.35">
      <c r="B352" s="154" t="s">
        <v>1256</v>
      </c>
      <c r="C352" s="154" t="s">
        <v>873</v>
      </c>
      <c r="D352" s="268"/>
      <c r="E352" s="154"/>
      <c r="F352" s="268"/>
      <c r="G352" s="154"/>
      <c r="H352" s="268">
        <f t="shared" si="45"/>
        <v>0</v>
      </c>
      <c r="I352" s="154"/>
      <c r="J352" s="299"/>
      <c r="K352" s="154"/>
      <c r="L352" s="268"/>
      <c r="M352" s="154"/>
      <c r="N352" s="268">
        <f t="shared" si="46"/>
        <v>0</v>
      </c>
      <c r="O352" s="154"/>
      <c r="P352" s="154"/>
      <c r="Q352" s="154"/>
      <c r="R352" s="154"/>
      <c r="S352" s="154"/>
    </row>
    <row r="353" spans="2:19" x14ac:dyDescent="0.35">
      <c r="B353" s="154" t="s">
        <v>1257</v>
      </c>
      <c r="C353" s="154" t="s">
        <v>874</v>
      </c>
      <c r="D353" s="268"/>
      <c r="E353" s="154"/>
      <c r="F353" s="268"/>
      <c r="G353" s="154"/>
      <c r="H353" s="268">
        <f t="shared" si="45"/>
        <v>0</v>
      </c>
      <c r="I353" s="154"/>
      <c r="J353" s="299"/>
      <c r="K353" s="154"/>
      <c r="L353" s="268"/>
      <c r="M353" s="154"/>
      <c r="N353" s="268">
        <f t="shared" si="46"/>
        <v>0</v>
      </c>
      <c r="O353" s="154"/>
      <c r="P353" s="154"/>
      <c r="Q353" s="154"/>
      <c r="R353" s="154"/>
      <c r="S353" s="154"/>
    </row>
    <row r="354" spans="2:19" x14ac:dyDescent="0.35">
      <c r="B354" s="154" t="s">
        <v>1258</v>
      </c>
      <c r="C354" s="154" t="s">
        <v>455</v>
      </c>
      <c r="D354" s="268"/>
      <c r="E354" s="154"/>
      <c r="F354" s="268"/>
      <c r="G354" s="154"/>
      <c r="H354" s="268">
        <f t="shared" si="45"/>
        <v>0</v>
      </c>
      <c r="I354" s="154"/>
      <c r="J354" s="299"/>
      <c r="K354" s="154"/>
      <c r="L354" s="268"/>
      <c r="M354" s="154"/>
      <c r="N354" s="268">
        <f t="shared" si="46"/>
        <v>0</v>
      </c>
      <c r="O354" s="154"/>
      <c r="P354" s="154"/>
      <c r="Q354" s="154"/>
      <c r="R354" s="154"/>
      <c r="S354" s="154"/>
    </row>
    <row r="355" spans="2:19" x14ac:dyDescent="0.35">
      <c r="B355" s="224" t="s">
        <v>1259</v>
      </c>
      <c r="C355" s="224" t="s">
        <v>576</v>
      </c>
      <c r="D355" s="267">
        <f>D356</f>
        <v>0</v>
      </c>
      <c r="E355" s="267">
        <f t="shared" ref="E355:N355" si="47">E356</f>
        <v>0</v>
      </c>
      <c r="F355" s="267">
        <f t="shared" si="47"/>
        <v>0</v>
      </c>
      <c r="G355" s="267">
        <f t="shared" si="47"/>
        <v>0</v>
      </c>
      <c r="H355" s="267">
        <f t="shared" si="47"/>
        <v>0</v>
      </c>
      <c r="I355" s="267">
        <f t="shared" si="47"/>
        <v>0</v>
      </c>
      <c r="J355" s="267">
        <f t="shared" si="47"/>
        <v>0</v>
      </c>
      <c r="K355" s="267">
        <f t="shared" si="47"/>
        <v>0</v>
      </c>
      <c r="L355" s="267">
        <f t="shared" si="47"/>
        <v>0</v>
      </c>
      <c r="M355" s="267">
        <f t="shared" si="47"/>
        <v>0</v>
      </c>
      <c r="N355" s="267">
        <f t="shared" si="47"/>
        <v>0</v>
      </c>
      <c r="O355" s="224"/>
      <c r="P355" s="224"/>
      <c r="Q355" s="224"/>
      <c r="R355" s="224"/>
      <c r="S355" s="224"/>
    </row>
    <row r="356" spans="2:19" x14ac:dyDescent="0.35">
      <c r="B356" s="154" t="s">
        <v>1260</v>
      </c>
      <c r="C356" s="154" t="s">
        <v>577</v>
      </c>
      <c r="D356" s="268"/>
      <c r="E356" s="154"/>
      <c r="F356" s="268"/>
      <c r="G356" s="154"/>
      <c r="H356" s="268">
        <f t="shared" si="45"/>
        <v>0</v>
      </c>
      <c r="I356" s="154"/>
      <c r="J356" s="299"/>
      <c r="K356" s="154"/>
      <c r="L356" s="268"/>
      <c r="M356" s="154"/>
      <c r="N356" s="268">
        <f t="shared" si="46"/>
        <v>0</v>
      </c>
      <c r="O356" s="154"/>
      <c r="P356" s="154"/>
      <c r="Q356" s="154"/>
      <c r="R356" s="154"/>
      <c r="S356" s="154"/>
    </row>
    <row r="357" spans="2:19" x14ac:dyDescent="0.35">
      <c r="B357" s="223" t="s">
        <v>1261</v>
      </c>
      <c r="C357" s="223" t="s">
        <v>456</v>
      </c>
      <c r="D357" s="266"/>
      <c r="E357" s="223"/>
      <c r="F357" s="266"/>
      <c r="G357" s="223"/>
      <c r="H357" s="266"/>
      <c r="I357" s="223"/>
      <c r="J357" s="297">
        <v>0</v>
      </c>
      <c r="K357" s="223"/>
      <c r="L357" s="266"/>
      <c r="M357" s="223"/>
      <c r="N357" s="266"/>
      <c r="O357" s="223"/>
      <c r="P357" s="223"/>
      <c r="Q357" s="223"/>
      <c r="R357" s="223"/>
      <c r="S357" s="223"/>
    </row>
    <row r="358" spans="2:19" x14ac:dyDescent="0.35">
      <c r="B358" s="224" t="s">
        <v>1262</v>
      </c>
      <c r="C358" s="224" t="s">
        <v>573</v>
      </c>
      <c r="D358" s="267">
        <f>SUM(D359:D386)</f>
        <v>0</v>
      </c>
      <c r="E358" s="267">
        <f t="shared" ref="E358:N358" si="48">SUM(E359:E386)</f>
        <v>0</v>
      </c>
      <c r="F358" s="267">
        <f t="shared" si="48"/>
        <v>0</v>
      </c>
      <c r="G358" s="267">
        <f t="shared" si="48"/>
        <v>0</v>
      </c>
      <c r="H358" s="267">
        <f t="shared" si="48"/>
        <v>0</v>
      </c>
      <c r="I358" s="267">
        <f t="shared" si="48"/>
        <v>0</v>
      </c>
      <c r="J358" s="267">
        <f t="shared" si="48"/>
        <v>0</v>
      </c>
      <c r="K358" s="267">
        <f t="shared" si="48"/>
        <v>0</v>
      </c>
      <c r="L358" s="267">
        <f t="shared" si="48"/>
        <v>0</v>
      </c>
      <c r="M358" s="267">
        <f t="shared" si="48"/>
        <v>0</v>
      </c>
      <c r="N358" s="267">
        <f t="shared" si="48"/>
        <v>0</v>
      </c>
      <c r="O358" s="224"/>
      <c r="P358" s="224"/>
      <c r="Q358" s="224"/>
      <c r="R358" s="224"/>
      <c r="S358" s="224"/>
    </row>
    <row r="359" spans="2:19" x14ac:dyDescent="0.35">
      <c r="B359" s="154" t="s">
        <v>1263</v>
      </c>
      <c r="C359" s="154" t="s">
        <v>457</v>
      </c>
      <c r="D359" s="268"/>
      <c r="E359" s="154"/>
      <c r="F359" s="268"/>
      <c r="G359" s="154"/>
      <c r="H359" s="268">
        <f t="shared" ref="H359:H388" si="49">D359-F359</f>
        <v>0</v>
      </c>
      <c r="I359" s="154"/>
      <c r="J359" s="299"/>
      <c r="K359" s="154"/>
      <c r="L359" s="268"/>
      <c r="M359" s="154"/>
      <c r="N359" s="268">
        <f t="shared" ref="N359:N388" si="50">J359-L359</f>
        <v>0</v>
      </c>
      <c r="O359" s="154"/>
      <c r="P359" s="154"/>
      <c r="Q359" s="154"/>
      <c r="R359" s="154"/>
      <c r="S359" s="154"/>
    </row>
    <row r="360" spans="2:19" x14ac:dyDescent="0.35">
      <c r="B360" s="154" t="s">
        <v>1264</v>
      </c>
      <c r="C360" s="154" t="s">
        <v>458</v>
      </c>
      <c r="D360" s="268"/>
      <c r="E360" s="154"/>
      <c r="F360" s="268"/>
      <c r="G360" s="154"/>
      <c r="H360" s="268">
        <f t="shared" si="49"/>
        <v>0</v>
      </c>
      <c r="I360" s="154"/>
      <c r="J360" s="299"/>
      <c r="K360" s="154"/>
      <c r="L360" s="268"/>
      <c r="M360" s="154"/>
      <c r="N360" s="268">
        <f t="shared" si="50"/>
        <v>0</v>
      </c>
      <c r="O360" s="154"/>
      <c r="P360" s="154"/>
      <c r="Q360" s="154"/>
      <c r="R360" s="154"/>
      <c r="S360" s="154"/>
    </row>
    <row r="361" spans="2:19" x14ac:dyDescent="0.35">
      <c r="B361" s="154" t="s">
        <v>1265</v>
      </c>
      <c r="C361" s="154" t="s">
        <v>459</v>
      </c>
      <c r="D361" s="268"/>
      <c r="E361" s="154"/>
      <c r="F361" s="268"/>
      <c r="G361" s="154"/>
      <c r="H361" s="268">
        <f t="shared" si="49"/>
        <v>0</v>
      </c>
      <c r="I361" s="154"/>
      <c r="J361" s="299"/>
      <c r="K361" s="154"/>
      <c r="L361" s="268"/>
      <c r="M361" s="154"/>
      <c r="N361" s="268">
        <f t="shared" si="50"/>
        <v>0</v>
      </c>
      <c r="O361" s="154"/>
      <c r="P361" s="154"/>
      <c r="Q361" s="154"/>
      <c r="R361" s="154"/>
      <c r="S361" s="154"/>
    </row>
    <row r="362" spans="2:19" x14ac:dyDescent="0.35">
      <c r="B362" s="154" t="s">
        <v>1266</v>
      </c>
      <c r="C362" s="154" t="s">
        <v>460</v>
      </c>
      <c r="D362" s="268"/>
      <c r="E362" s="154"/>
      <c r="F362" s="268"/>
      <c r="G362" s="154"/>
      <c r="H362" s="268">
        <f t="shared" si="49"/>
        <v>0</v>
      </c>
      <c r="I362" s="154"/>
      <c r="J362" s="299"/>
      <c r="K362" s="154"/>
      <c r="L362" s="268"/>
      <c r="M362" s="154"/>
      <c r="N362" s="268">
        <f t="shared" si="50"/>
        <v>0</v>
      </c>
      <c r="O362" s="154"/>
      <c r="P362" s="154"/>
      <c r="Q362" s="154"/>
      <c r="R362" s="154"/>
      <c r="S362" s="154"/>
    </row>
    <row r="363" spans="2:19" x14ac:dyDescent="0.35">
      <c r="B363" s="154" t="s">
        <v>1267</v>
      </c>
      <c r="C363" s="154" t="s">
        <v>461</v>
      </c>
      <c r="D363" s="268"/>
      <c r="E363" s="154"/>
      <c r="F363" s="268"/>
      <c r="G363" s="154"/>
      <c r="H363" s="268">
        <f t="shared" si="49"/>
        <v>0</v>
      </c>
      <c r="I363" s="154"/>
      <c r="J363" s="299"/>
      <c r="K363" s="154"/>
      <c r="L363" s="268"/>
      <c r="M363" s="154"/>
      <c r="N363" s="268">
        <f t="shared" si="50"/>
        <v>0</v>
      </c>
      <c r="O363" s="154"/>
      <c r="P363" s="154"/>
      <c r="Q363" s="154"/>
      <c r="R363" s="154"/>
      <c r="S363" s="154"/>
    </row>
    <row r="364" spans="2:19" x14ac:dyDescent="0.35">
      <c r="B364" s="154" t="s">
        <v>1268</v>
      </c>
      <c r="C364" s="154" t="s">
        <v>462</v>
      </c>
      <c r="D364" s="268"/>
      <c r="E364" s="154"/>
      <c r="F364" s="268"/>
      <c r="G364" s="154"/>
      <c r="H364" s="268">
        <f t="shared" si="49"/>
        <v>0</v>
      </c>
      <c r="I364" s="154"/>
      <c r="J364" s="299"/>
      <c r="K364" s="154"/>
      <c r="L364" s="268"/>
      <c r="M364" s="154"/>
      <c r="N364" s="268">
        <f t="shared" si="50"/>
        <v>0</v>
      </c>
      <c r="O364" s="154"/>
      <c r="P364" s="154"/>
      <c r="Q364" s="154"/>
      <c r="R364" s="154"/>
      <c r="S364" s="154"/>
    </row>
    <row r="365" spans="2:19" x14ac:dyDescent="0.35">
      <c r="B365" s="154" t="s">
        <v>1269</v>
      </c>
      <c r="C365" s="154" t="s">
        <v>463</v>
      </c>
      <c r="D365" s="268"/>
      <c r="E365" s="154"/>
      <c r="F365" s="268"/>
      <c r="G365" s="154"/>
      <c r="H365" s="268">
        <f t="shared" si="49"/>
        <v>0</v>
      </c>
      <c r="I365" s="154"/>
      <c r="J365" s="299"/>
      <c r="K365" s="154"/>
      <c r="L365" s="268"/>
      <c r="M365" s="154"/>
      <c r="N365" s="268">
        <f t="shared" si="50"/>
        <v>0</v>
      </c>
      <c r="O365" s="154"/>
      <c r="P365" s="154"/>
      <c r="Q365" s="154"/>
      <c r="R365" s="154"/>
      <c r="S365" s="154"/>
    </row>
    <row r="366" spans="2:19" x14ac:dyDescent="0.35">
      <c r="B366" s="154" t="s">
        <v>1270</v>
      </c>
      <c r="C366" s="154" t="s">
        <v>464</v>
      </c>
      <c r="D366" s="268"/>
      <c r="E366" s="154"/>
      <c r="F366" s="268"/>
      <c r="G366" s="154"/>
      <c r="H366" s="268">
        <f t="shared" si="49"/>
        <v>0</v>
      </c>
      <c r="I366" s="154"/>
      <c r="J366" s="299"/>
      <c r="K366" s="154"/>
      <c r="L366" s="268"/>
      <c r="M366" s="154"/>
      <c r="N366" s="268">
        <f t="shared" si="50"/>
        <v>0</v>
      </c>
      <c r="O366" s="154"/>
      <c r="P366" s="154"/>
      <c r="Q366" s="154"/>
      <c r="R366" s="154"/>
      <c r="S366" s="154"/>
    </row>
    <row r="367" spans="2:19" x14ac:dyDescent="0.35">
      <c r="B367" s="154" t="s">
        <v>1271</v>
      </c>
      <c r="C367" s="154" t="s">
        <v>465</v>
      </c>
      <c r="D367" s="268"/>
      <c r="E367" s="154"/>
      <c r="F367" s="268"/>
      <c r="G367" s="154"/>
      <c r="H367" s="268">
        <f t="shared" si="49"/>
        <v>0</v>
      </c>
      <c r="I367" s="154"/>
      <c r="J367" s="299"/>
      <c r="K367" s="154"/>
      <c r="L367" s="268"/>
      <c r="M367" s="154"/>
      <c r="N367" s="268">
        <f t="shared" si="50"/>
        <v>0</v>
      </c>
      <c r="O367" s="154"/>
      <c r="P367" s="154"/>
      <c r="Q367" s="154"/>
      <c r="R367" s="154"/>
      <c r="S367" s="154"/>
    </row>
    <row r="368" spans="2:19" x14ac:dyDescent="0.35">
      <c r="B368" s="154" t="s">
        <v>1272</v>
      </c>
      <c r="C368" s="154" t="s">
        <v>466</v>
      </c>
      <c r="D368" s="268"/>
      <c r="E368" s="154"/>
      <c r="F368" s="268"/>
      <c r="G368" s="154"/>
      <c r="H368" s="268">
        <f t="shared" si="49"/>
        <v>0</v>
      </c>
      <c r="I368" s="154"/>
      <c r="J368" s="299"/>
      <c r="K368" s="154"/>
      <c r="L368" s="268"/>
      <c r="M368" s="154"/>
      <c r="N368" s="268">
        <f t="shared" si="50"/>
        <v>0</v>
      </c>
      <c r="O368" s="154"/>
      <c r="P368" s="154"/>
      <c r="Q368" s="154"/>
      <c r="R368" s="154"/>
      <c r="S368" s="154"/>
    </row>
    <row r="369" spans="2:19" x14ac:dyDescent="0.35">
      <c r="B369" s="154" t="s">
        <v>1273</v>
      </c>
      <c r="C369" s="154" t="s">
        <v>467</v>
      </c>
      <c r="D369" s="268"/>
      <c r="E369" s="154"/>
      <c r="F369" s="268"/>
      <c r="G369" s="154"/>
      <c r="H369" s="268">
        <f t="shared" si="49"/>
        <v>0</v>
      </c>
      <c r="I369" s="154"/>
      <c r="J369" s="299"/>
      <c r="K369" s="154"/>
      <c r="L369" s="268"/>
      <c r="M369" s="154"/>
      <c r="N369" s="268">
        <f t="shared" si="50"/>
        <v>0</v>
      </c>
      <c r="O369" s="154"/>
      <c r="P369" s="154"/>
      <c r="Q369" s="154"/>
      <c r="R369" s="154"/>
      <c r="S369" s="154"/>
    </row>
    <row r="370" spans="2:19" x14ac:dyDescent="0.35">
      <c r="B370" s="154" t="s">
        <v>1274</v>
      </c>
      <c r="C370" s="154" t="s">
        <v>468</v>
      </c>
      <c r="D370" s="268"/>
      <c r="E370" s="154"/>
      <c r="F370" s="268"/>
      <c r="G370" s="154"/>
      <c r="H370" s="268">
        <f t="shared" si="49"/>
        <v>0</v>
      </c>
      <c r="I370" s="154"/>
      <c r="J370" s="299"/>
      <c r="K370" s="154"/>
      <c r="L370" s="268"/>
      <c r="M370" s="154"/>
      <c r="N370" s="268">
        <f t="shared" si="50"/>
        <v>0</v>
      </c>
      <c r="O370" s="154"/>
      <c r="P370" s="154"/>
      <c r="Q370" s="154"/>
      <c r="R370" s="154"/>
      <c r="S370" s="154"/>
    </row>
    <row r="371" spans="2:19" x14ac:dyDescent="0.35">
      <c r="B371" s="154" t="s">
        <v>1275</v>
      </c>
      <c r="C371" s="154" t="s">
        <v>875</v>
      </c>
      <c r="D371" s="268"/>
      <c r="E371" s="154"/>
      <c r="F371" s="268"/>
      <c r="G371" s="154"/>
      <c r="H371" s="268">
        <f t="shared" si="49"/>
        <v>0</v>
      </c>
      <c r="I371" s="154"/>
      <c r="J371" s="299"/>
      <c r="K371" s="154"/>
      <c r="L371" s="268"/>
      <c r="M371" s="154"/>
      <c r="N371" s="268">
        <f t="shared" si="50"/>
        <v>0</v>
      </c>
      <c r="O371" s="154"/>
      <c r="P371" s="154"/>
      <c r="Q371" s="154"/>
      <c r="R371" s="154"/>
      <c r="S371" s="154"/>
    </row>
    <row r="372" spans="2:19" x14ac:dyDescent="0.35">
      <c r="B372" s="154" t="s">
        <v>1276</v>
      </c>
      <c r="C372" s="154" t="s">
        <v>469</v>
      </c>
      <c r="D372" s="268"/>
      <c r="E372" s="154"/>
      <c r="F372" s="268"/>
      <c r="G372" s="154"/>
      <c r="H372" s="268">
        <f t="shared" si="49"/>
        <v>0</v>
      </c>
      <c r="I372" s="154"/>
      <c r="J372" s="299"/>
      <c r="K372" s="154"/>
      <c r="L372" s="268"/>
      <c r="M372" s="154"/>
      <c r="N372" s="268">
        <f t="shared" si="50"/>
        <v>0</v>
      </c>
      <c r="O372" s="154"/>
      <c r="P372" s="154"/>
      <c r="Q372" s="154"/>
      <c r="R372" s="154"/>
      <c r="S372" s="154"/>
    </row>
    <row r="373" spans="2:19" x14ac:dyDescent="0.35">
      <c r="B373" s="154" t="s">
        <v>1277</v>
      </c>
      <c r="C373" s="154" t="s">
        <v>470</v>
      </c>
      <c r="D373" s="268"/>
      <c r="E373" s="154"/>
      <c r="F373" s="268"/>
      <c r="G373" s="154"/>
      <c r="H373" s="268">
        <f t="shared" si="49"/>
        <v>0</v>
      </c>
      <c r="I373" s="154"/>
      <c r="J373" s="299"/>
      <c r="K373" s="154"/>
      <c r="L373" s="268"/>
      <c r="M373" s="154"/>
      <c r="N373" s="268">
        <f t="shared" si="50"/>
        <v>0</v>
      </c>
      <c r="O373" s="154"/>
      <c r="P373" s="154"/>
      <c r="Q373" s="154"/>
      <c r="R373" s="154"/>
      <c r="S373" s="154"/>
    </row>
    <row r="374" spans="2:19" x14ac:dyDescent="0.35">
      <c r="B374" s="154" t="s">
        <v>1278</v>
      </c>
      <c r="C374" s="154" t="s">
        <v>471</v>
      </c>
      <c r="D374" s="268"/>
      <c r="E374" s="154"/>
      <c r="F374" s="268"/>
      <c r="G374" s="154"/>
      <c r="H374" s="268">
        <f t="shared" si="49"/>
        <v>0</v>
      </c>
      <c r="I374" s="154"/>
      <c r="J374" s="299"/>
      <c r="K374" s="154"/>
      <c r="L374" s="268"/>
      <c r="M374" s="154"/>
      <c r="N374" s="268">
        <f t="shared" si="50"/>
        <v>0</v>
      </c>
      <c r="O374" s="154"/>
      <c r="P374" s="154"/>
      <c r="Q374" s="154"/>
      <c r="R374" s="154"/>
      <c r="S374" s="154"/>
    </row>
    <row r="375" spans="2:19" x14ac:dyDescent="0.35">
      <c r="B375" s="154" t="s">
        <v>1279</v>
      </c>
      <c r="C375" s="154" t="s">
        <v>472</v>
      </c>
      <c r="D375" s="268"/>
      <c r="E375" s="154"/>
      <c r="F375" s="268"/>
      <c r="G375" s="154"/>
      <c r="H375" s="268">
        <f t="shared" si="49"/>
        <v>0</v>
      </c>
      <c r="I375" s="154"/>
      <c r="J375" s="299"/>
      <c r="K375" s="154"/>
      <c r="L375" s="268"/>
      <c r="M375" s="154"/>
      <c r="N375" s="268">
        <f t="shared" si="50"/>
        <v>0</v>
      </c>
      <c r="O375" s="154"/>
      <c r="P375" s="154"/>
      <c r="Q375" s="154"/>
      <c r="R375" s="154"/>
      <c r="S375" s="154"/>
    </row>
    <row r="376" spans="2:19" x14ac:dyDescent="0.35">
      <c r="B376" s="154" t="s">
        <v>1280</v>
      </c>
      <c r="C376" s="154" t="s">
        <v>473</v>
      </c>
      <c r="D376" s="268"/>
      <c r="E376" s="154"/>
      <c r="F376" s="268"/>
      <c r="G376" s="154"/>
      <c r="H376" s="268">
        <f t="shared" si="49"/>
        <v>0</v>
      </c>
      <c r="I376" s="154"/>
      <c r="J376" s="299"/>
      <c r="K376" s="154"/>
      <c r="L376" s="268"/>
      <c r="M376" s="154"/>
      <c r="N376" s="268">
        <f t="shared" si="50"/>
        <v>0</v>
      </c>
      <c r="O376" s="154"/>
      <c r="P376" s="154"/>
      <c r="Q376" s="154"/>
      <c r="R376" s="154"/>
      <c r="S376" s="154"/>
    </row>
    <row r="377" spans="2:19" x14ac:dyDescent="0.35">
      <c r="B377" s="154" t="s">
        <v>1281</v>
      </c>
      <c r="C377" s="154" t="s">
        <v>474</v>
      </c>
      <c r="D377" s="268"/>
      <c r="E377" s="154"/>
      <c r="F377" s="268"/>
      <c r="G377" s="154"/>
      <c r="H377" s="268">
        <f t="shared" si="49"/>
        <v>0</v>
      </c>
      <c r="I377" s="154"/>
      <c r="J377" s="299"/>
      <c r="K377" s="154"/>
      <c r="L377" s="268"/>
      <c r="M377" s="154"/>
      <c r="N377" s="268">
        <f t="shared" si="50"/>
        <v>0</v>
      </c>
      <c r="O377" s="154"/>
      <c r="P377" s="154"/>
      <c r="Q377" s="154"/>
      <c r="R377" s="154"/>
      <c r="S377" s="154"/>
    </row>
    <row r="378" spans="2:19" x14ac:dyDescent="0.35">
      <c r="B378" s="154" t="s">
        <v>1282</v>
      </c>
      <c r="C378" s="154" t="s">
        <v>475</v>
      </c>
      <c r="D378" s="268"/>
      <c r="E378" s="154"/>
      <c r="F378" s="268"/>
      <c r="G378" s="154"/>
      <c r="H378" s="268">
        <f t="shared" si="49"/>
        <v>0</v>
      </c>
      <c r="I378" s="154"/>
      <c r="J378" s="299"/>
      <c r="K378" s="154"/>
      <c r="L378" s="268"/>
      <c r="M378" s="154"/>
      <c r="N378" s="268">
        <f t="shared" si="50"/>
        <v>0</v>
      </c>
      <c r="O378" s="154"/>
      <c r="P378" s="154"/>
      <c r="Q378" s="154"/>
      <c r="R378" s="154"/>
      <c r="S378" s="154"/>
    </row>
    <row r="379" spans="2:19" x14ac:dyDescent="0.35">
      <c r="B379" s="154" t="s">
        <v>1283</v>
      </c>
      <c r="C379" s="154" t="s">
        <v>876</v>
      </c>
      <c r="D379" s="268"/>
      <c r="E379" s="154"/>
      <c r="F379" s="268"/>
      <c r="G379" s="154"/>
      <c r="H379" s="268">
        <f t="shared" si="49"/>
        <v>0</v>
      </c>
      <c r="I379" s="154"/>
      <c r="J379" s="299"/>
      <c r="K379" s="154"/>
      <c r="L379" s="268"/>
      <c r="M379" s="154"/>
      <c r="N379" s="268">
        <f t="shared" si="50"/>
        <v>0</v>
      </c>
      <c r="O379" s="154"/>
      <c r="P379" s="154"/>
      <c r="Q379" s="154"/>
      <c r="R379" s="154"/>
      <c r="S379" s="154"/>
    </row>
    <row r="380" spans="2:19" x14ac:dyDescent="0.35">
      <c r="B380" s="154" t="s">
        <v>1284</v>
      </c>
      <c r="C380" s="154" t="s">
        <v>476</v>
      </c>
      <c r="D380" s="268"/>
      <c r="E380" s="154"/>
      <c r="F380" s="268"/>
      <c r="G380" s="154"/>
      <c r="H380" s="268">
        <f t="shared" si="49"/>
        <v>0</v>
      </c>
      <c r="I380" s="154"/>
      <c r="J380" s="299"/>
      <c r="K380" s="154"/>
      <c r="L380" s="268"/>
      <c r="M380" s="154"/>
      <c r="N380" s="268">
        <f t="shared" si="50"/>
        <v>0</v>
      </c>
      <c r="O380" s="154"/>
      <c r="P380" s="154"/>
      <c r="Q380" s="154"/>
      <c r="R380" s="154"/>
      <c r="S380" s="154"/>
    </row>
    <row r="381" spans="2:19" x14ac:dyDescent="0.35">
      <c r="B381" s="154" t="s">
        <v>1285</v>
      </c>
      <c r="C381" s="154" t="s">
        <v>477</v>
      </c>
      <c r="D381" s="268"/>
      <c r="E381" s="154"/>
      <c r="F381" s="268"/>
      <c r="G381" s="154"/>
      <c r="H381" s="268">
        <f t="shared" si="49"/>
        <v>0</v>
      </c>
      <c r="I381" s="154"/>
      <c r="J381" s="299"/>
      <c r="K381" s="154"/>
      <c r="L381" s="268"/>
      <c r="M381" s="154"/>
      <c r="N381" s="268">
        <f t="shared" si="50"/>
        <v>0</v>
      </c>
      <c r="O381" s="154"/>
      <c r="P381" s="154"/>
      <c r="Q381" s="154"/>
      <c r="R381" s="154"/>
      <c r="S381" s="154"/>
    </row>
    <row r="382" spans="2:19" x14ac:dyDescent="0.35">
      <c r="B382" s="226" t="s">
        <v>1286</v>
      </c>
      <c r="C382" s="226" t="s">
        <v>478</v>
      </c>
      <c r="D382" s="269"/>
      <c r="E382" s="226"/>
      <c r="F382" s="269"/>
      <c r="G382" s="226"/>
      <c r="H382" s="268">
        <f t="shared" si="49"/>
        <v>0</v>
      </c>
      <c r="I382" s="226"/>
      <c r="J382" s="299"/>
      <c r="K382" s="226"/>
      <c r="L382" s="268"/>
      <c r="M382" s="226"/>
      <c r="N382" s="268">
        <f t="shared" si="50"/>
        <v>0</v>
      </c>
      <c r="O382" s="226"/>
      <c r="P382" s="226"/>
      <c r="Q382" s="226"/>
      <c r="R382" s="226"/>
      <c r="S382" s="226"/>
    </row>
    <row r="383" spans="2:19" x14ac:dyDescent="0.35">
      <c r="B383" s="226" t="s">
        <v>1287</v>
      </c>
      <c r="C383" s="226" t="s">
        <v>772</v>
      </c>
      <c r="D383" s="269"/>
      <c r="E383" s="226"/>
      <c r="F383" s="269"/>
      <c r="G383" s="226"/>
      <c r="H383" s="268">
        <f t="shared" si="49"/>
        <v>0</v>
      </c>
      <c r="I383" s="226"/>
      <c r="J383" s="300"/>
      <c r="K383" s="226"/>
      <c r="L383" s="268"/>
      <c r="M383" s="226"/>
      <c r="N383" s="268">
        <f t="shared" si="50"/>
        <v>0</v>
      </c>
      <c r="O383" s="226"/>
      <c r="P383" s="226"/>
      <c r="Q383" s="226"/>
      <c r="R383" s="226"/>
      <c r="S383" s="226"/>
    </row>
    <row r="384" spans="2:19" x14ac:dyDescent="0.35">
      <c r="B384" s="226" t="s">
        <v>1288</v>
      </c>
      <c r="C384" s="226" t="s">
        <v>773</v>
      </c>
      <c r="D384" s="269"/>
      <c r="E384" s="226"/>
      <c r="F384" s="269"/>
      <c r="G384" s="226"/>
      <c r="H384" s="268">
        <f t="shared" si="49"/>
        <v>0</v>
      </c>
      <c r="I384" s="226"/>
      <c r="J384" s="300"/>
      <c r="K384" s="226"/>
      <c r="L384" s="268"/>
      <c r="M384" s="226"/>
      <c r="N384" s="268">
        <f t="shared" si="50"/>
        <v>0</v>
      </c>
      <c r="O384" s="226"/>
      <c r="P384" s="226"/>
      <c r="Q384" s="226"/>
      <c r="R384" s="226"/>
      <c r="S384" s="226"/>
    </row>
    <row r="385" spans="2:22" x14ac:dyDescent="0.35">
      <c r="B385" s="154" t="s">
        <v>1289</v>
      </c>
      <c r="C385" s="154" t="s">
        <v>774</v>
      </c>
      <c r="D385" s="268"/>
      <c r="E385" s="154"/>
      <c r="F385" s="268"/>
      <c r="G385" s="154"/>
      <c r="H385" s="268">
        <f t="shared" si="49"/>
        <v>0</v>
      </c>
      <c r="I385" s="154"/>
      <c r="J385" s="299"/>
      <c r="K385" s="154"/>
      <c r="L385" s="268"/>
      <c r="M385" s="154"/>
      <c r="N385" s="268">
        <f t="shared" si="50"/>
        <v>0</v>
      </c>
      <c r="O385" s="154"/>
      <c r="P385" s="154"/>
      <c r="Q385" s="154"/>
      <c r="R385" s="154"/>
      <c r="S385" s="154"/>
    </row>
    <row r="386" spans="2:22" x14ac:dyDescent="0.35">
      <c r="B386" s="154" t="s">
        <v>1290</v>
      </c>
      <c r="C386" s="154" t="s">
        <v>479</v>
      </c>
      <c r="D386" s="268"/>
      <c r="E386" s="154"/>
      <c r="F386" s="268"/>
      <c r="G386" s="154"/>
      <c r="H386" s="268">
        <f t="shared" si="49"/>
        <v>0</v>
      </c>
      <c r="I386" s="154"/>
      <c r="J386" s="299"/>
      <c r="K386" s="154"/>
      <c r="L386" s="268"/>
      <c r="M386" s="154"/>
      <c r="N386" s="268">
        <f t="shared" si="50"/>
        <v>0</v>
      </c>
      <c r="O386" s="154"/>
      <c r="P386" s="154"/>
      <c r="Q386" s="154"/>
      <c r="R386" s="154"/>
      <c r="S386" s="154"/>
    </row>
    <row r="387" spans="2:22" x14ac:dyDescent="0.35">
      <c r="B387" s="224" t="s">
        <v>1291</v>
      </c>
      <c r="C387" s="224" t="s">
        <v>574</v>
      </c>
      <c r="D387" s="267">
        <f>D388</f>
        <v>0</v>
      </c>
      <c r="E387" s="267">
        <f t="shared" ref="E387:N387" si="51">E388</f>
        <v>0</v>
      </c>
      <c r="F387" s="267">
        <f t="shared" si="51"/>
        <v>0</v>
      </c>
      <c r="G387" s="267">
        <f t="shared" si="51"/>
        <v>0</v>
      </c>
      <c r="H387" s="267">
        <f t="shared" si="51"/>
        <v>0</v>
      </c>
      <c r="I387" s="267">
        <f t="shared" si="51"/>
        <v>0</v>
      </c>
      <c r="J387" s="267">
        <f t="shared" si="51"/>
        <v>0</v>
      </c>
      <c r="K387" s="267">
        <f t="shared" si="51"/>
        <v>0</v>
      </c>
      <c r="L387" s="267">
        <f t="shared" si="51"/>
        <v>0</v>
      </c>
      <c r="M387" s="267">
        <f t="shared" si="51"/>
        <v>0</v>
      </c>
      <c r="N387" s="267">
        <f t="shared" si="51"/>
        <v>0</v>
      </c>
      <c r="O387" s="224"/>
      <c r="P387" s="224"/>
      <c r="Q387" s="224"/>
      <c r="R387" s="224"/>
      <c r="S387" s="224"/>
    </row>
    <row r="388" spans="2:22" x14ac:dyDescent="0.35">
      <c r="B388" s="154" t="s">
        <v>1292</v>
      </c>
      <c r="C388" s="154" t="s">
        <v>575</v>
      </c>
      <c r="D388" s="268"/>
      <c r="E388" s="154"/>
      <c r="F388" s="268"/>
      <c r="G388" s="154"/>
      <c r="H388" s="268">
        <f t="shared" si="49"/>
        <v>0</v>
      </c>
      <c r="I388" s="154"/>
      <c r="J388" s="299"/>
      <c r="K388" s="154"/>
      <c r="L388" s="268"/>
      <c r="M388" s="154"/>
      <c r="N388" s="268">
        <f t="shared" si="50"/>
        <v>0</v>
      </c>
      <c r="O388" s="154"/>
      <c r="P388" s="154"/>
      <c r="Q388" s="154"/>
      <c r="R388" s="154"/>
      <c r="S388" s="154"/>
    </row>
    <row r="389" spans="2:22" x14ac:dyDescent="0.35">
      <c r="B389" s="221" t="s">
        <v>480</v>
      </c>
      <c r="C389" s="221" t="s">
        <v>481</v>
      </c>
      <c r="D389" s="264"/>
      <c r="E389" s="221"/>
      <c r="F389" s="264"/>
      <c r="G389" s="221"/>
      <c r="H389" s="264"/>
      <c r="I389" s="221"/>
      <c r="J389" s="295">
        <v>0</v>
      </c>
      <c r="K389" s="221"/>
      <c r="L389" s="264"/>
      <c r="M389" s="221"/>
      <c r="N389" s="264"/>
      <c r="O389" s="221"/>
      <c r="P389" s="221"/>
      <c r="Q389" s="221"/>
      <c r="R389" s="221"/>
      <c r="S389" s="221"/>
    </row>
    <row r="390" spans="2:22" x14ac:dyDescent="0.35">
      <c r="B390" s="222" t="s">
        <v>1293</v>
      </c>
      <c r="C390" s="222" t="s">
        <v>560</v>
      </c>
      <c r="D390" s="265"/>
      <c r="E390" s="222"/>
      <c r="F390" s="265"/>
      <c r="G390" s="222"/>
      <c r="H390" s="265"/>
      <c r="I390" s="222"/>
      <c r="J390" s="296">
        <v>0</v>
      </c>
      <c r="K390" s="222"/>
      <c r="L390" s="265"/>
      <c r="M390" s="222"/>
      <c r="N390" s="265"/>
      <c r="O390" s="222"/>
      <c r="P390" s="222"/>
      <c r="Q390" s="222"/>
      <c r="R390" s="222"/>
      <c r="S390" s="222"/>
    </row>
    <row r="391" spans="2:22" x14ac:dyDescent="0.35">
      <c r="B391" s="223" t="s">
        <v>1294</v>
      </c>
      <c r="C391" s="223" t="s">
        <v>483</v>
      </c>
      <c r="D391" s="266"/>
      <c r="E391" s="223"/>
      <c r="F391" s="266"/>
      <c r="G391" s="223"/>
      <c r="H391" s="266"/>
      <c r="I391" s="223"/>
      <c r="J391" s="297">
        <v>0</v>
      </c>
      <c r="K391" s="223"/>
      <c r="L391" s="266"/>
      <c r="M391" s="223"/>
      <c r="N391" s="266"/>
      <c r="O391" s="223"/>
      <c r="P391" s="223"/>
      <c r="Q391" s="223"/>
      <c r="R391" s="223"/>
      <c r="S391" s="223"/>
      <c r="V391" s="310">
        <f>'PL Detail'!D385</f>
        <v>0</v>
      </c>
    </row>
    <row r="392" spans="2:22" x14ac:dyDescent="0.35">
      <c r="B392" s="224" t="s">
        <v>1295</v>
      </c>
      <c r="C392" s="224" t="s">
        <v>482</v>
      </c>
      <c r="D392" s="267">
        <f>SUM(D393:D397)</f>
        <v>0</v>
      </c>
      <c r="E392" s="267">
        <f t="shared" ref="E392:N392" si="52">SUM(E393:E397)</f>
        <v>0</v>
      </c>
      <c r="F392" s="267">
        <f t="shared" si="52"/>
        <v>0</v>
      </c>
      <c r="G392" s="267">
        <f t="shared" si="52"/>
        <v>0</v>
      </c>
      <c r="H392" s="267">
        <f t="shared" si="52"/>
        <v>0</v>
      </c>
      <c r="I392" s="267">
        <f t="shared" si="52"/>
        <v>0</v>
      </c>
      <c r="J392" s="267">
        <f t="shared" si="52"/>
        <v>0</v>
      </c>
      <c r="K392" s="267">
        <f t="shared" si="52"/>
        <v>0</v>
      </c>
      <c r="L392" s="267">
        <f t="shared" si="52"/>
        <v>0</v>
      </c>
      <c r="M392" s="267">
        <f t="shared" si="52"/>
        <v>0</v>
      </c>
      <c r="N392" s="267">
        <f t="shared" si="52"/>
        <v>0</v>
      </c>
      <c r="O392" s="224"/>
      <c r="P392" s="224"/>
      <c r="Q392" s="224"/>
      <c r="R392" s="224"/>
      <c r="S392" s="224"/>
    </row>
    <row r="393" spans="2:22" x14ac:dyDescent="0.35">
      <c r="B393" s="154" t="s">
        <v>1296</v>
      </c>
      <c r="C393" s="154" t="s">
        <v>589</v>
      </c>
      <c r="D393" s="268"/>
      <c r="E393" s="154"/>
      <c r="F393" s="268"/>
      <c r="G393" s="154"/>
      <c r="H393" s="268">
        <f>D393-F393</f>
        <v>0</v>
      </c>
      <c r="I393" s="154"/>
      <c r="J393" s="299"/>
      <c r="K393" s="154"/>
      <c r="L393" s="268"/>
      <c r="M393" s="154"/>
      <c r="N393" s="268">
        <f>J393-L393</f>
        <v>0</v>
      </c>
      <c r="O393" s="154"/>
      <c r="P393" s="154"/>
      <c r="Q393" s="154"/>
      <c r="R393" s="154"/>
      <c r="S393" s="154"/>
    </row>
    <row r="394" spans="2:22" x14ac:dyDescent="0.35">
      <c r="B394" s="154" t="s">
        <v>1297</v>
      </c>
      <c r="C394" s="154" t="s">
        <v>485</v>
      </c>
      <c r="D394" s="268"/>
      <c r="E394" s="154"/>
      <c r="F394" s="268"/>
      <c r="G394" s="154"/>
      <c r="H394" s="268">
        <f>D394-F394</f>
        <v>0</v>
      </c>
      <c r="I394" s="154"/>
      <c r="J394" s="299"/>
      <c r="K394" s="154"/>
      <c r="L394" s="268"/>
      <c r="M394" s="154"/>
      <c r="N394" s="268">
        <f>J394-L394</f>
        <v>0</v>
      </c>
      <c r="O394" s="154"/>
      <c r="P394" s="154"/>
      <c r="Q394" s="154"/>
      <c r="R394" s="154"/>
      <c r="S394" s="154"/>
    </row>
    <row r="395" spans="2:22" x14ac:dyDescent="0.35">
      <c r="B395" s="154" t="s">
        <v>1340</v>
      </c>
      <c r="C395" s="154" t="s">
        <v>484</v>
      </c>
      <c r="D395" s="268"/>
      <c r="E395" s="154"/>
      <c r="F395" s="268"/>
      <c r="G395" s="154"/>
      <c r="H395" s="268">
        <f>D395-F395</f>
        <v>0</v>
      </c>
      <c r="I395" s="154"/>
      <c r="J395" s="299"/>
      <c r="K395" s="154"/>
      <c r="L395" s="268"/>
      <c r="M395" s="154"/>
      <c r="N395" s="268">
        <f>J395-L395</f>
        <v>0</v>
      </c>
      <c r="O395" s="154"/>
      <c r="P395" s="154"/>
      <c r="Q395" s="154"/>
      <c r="R395" s="154"/>
      <c r="S395" s="154"/>
    </row>
    <row r="396" spans="2:22" x14ac:dyDescent="0.35">
      <c r="B396" s="154" t="s">
        <v>1341</v>
      </c>
      <c r="C396" s="154" t="s">
        <v>488</v>
      </c>
      <c r="D396" s="268"/>
      <c r="E396" s="154"/>
      <c r="F396" s="268"/>
      <c r="G396" s="154"/>
      <c r="H396" s="268">
        <f>D396-F396</f>
        <v>0</v>
      </c>
      <c r="I396" s="154"/>
      <c r="J396" s="299"/>
      <c r="K396" s="154"/>
      <c r="L396" s="268"/>
      <c r="M396" s="154"/>
      <c r="N396" s="268">
        <f>J396-L396</f>
        <v>0</v>
      </c>
      <c r="O396" s="154"/>
      <c r="P396" s="154"/>
      <c r="Q396" s="154"/>
      <c r="R396" s="154"/>
      <c r="S396" s="154"/>
    </row>
    <row r="397" spans="2:22" x14ac:dyDescent="0.35">
      <c r="B397" s="154" t="s">
        <v>1298</v>
      </c>
      <c r="C397" s="154" t="s">
        <v>486</v>
      </c>
      <c r="D397" s="268"/>
      <c r="E397" s="154"/>
      <c r="F397" s="268"/>
      <c r="G397" s="154"/>
      <c r="H397" s="268">
        <f>D397-F397</f>
        <v>0</v>
      </c>
      <c r="I397" s="154"/>
      <c r="J397" s="299"/>
      <c r="K397" s="154"/>
      <c r="L397" s="268"/>
      <c r="M397" s="154"/>
      <c r="N397" s="268">
        <f>J397-L397</f>
        <v>0</v>
      </c>
      <c r="O397" s="154"/>
      <c r="P397" s="154"/>
      <c r="Q397" s="154"/>
      <c r="R397" s="154"/>
      <c r="S397" s="154"/>
    </row>
    <row r="398" spans="2:22" x14ac:dyDescent="0.35">
      <c r="B398" s="223" t="s">
        <v>1299</v>
      </c>
      <c r="C398" s="223" t="s">
        <v>487</v>
      </c>
      <c r="D398" s="266"/>
      <c r="E398" s="223"/>
      <c r="F398" s="266"/>
      <c r="G398" s="223"/>
      <c r="H398" s="266"/>
      <c r="I398" s="223"/>
      <c r="J398" s="297">
        <v>0</v>
      </c>
      <c r="K398" s="223"/>
      <c r="L398" s="266"/>
      <c r="M398" s="223"/>
      <c r="N398" s="266"/>
      <c r="O398" s="223"/>
      <c r="P398" s="223"/>
      <c r="Q398" s="223"/>
      <c r="R398" s="223"/>
      <c r="S398" s="223"/>
    </row>
    <row r="399" spans="2:22" x14ac:dyDescent="0.35">
      <c r="B399" s="224" t="s">
        <v>1300</v>
      </c>
      <c r="C399" s="224" t="s">
        <v>561</v>
      </c>
      <c r="D399" s="267">
        <f>SUM(D400:D407)</f>
        <v>0</v>
      </c>
      <c r="E399" s="267">
        <f t="shared" ref="E399:M399" si="53">E406</f>
        <v>0</v>
      </c>
      <c r="F399" s="267">
        <f t="shared" si="53"/>
        <v>0</v>
      </c>
      <c r="G399" s="267">
        <f t="shared" si="53"/>
        <v>0</v>
      </c>
      <c r="H399" s="267">
        <f>SUM(H400:H407)</f>
        <v>0</v>
      </c>
      <c r="I399" s="267">
        <f t="shared" si="53"/>
        <v>0</v>
      </c>
      <c r="J399" s="267">
        <f>SUM(J400:J407)</f>
        <v>0</v>
      </c>
      <c r="K399" s="267">
        <f t="shared" si="53"/>
        <v>0</v>
      </c>
      <c r="L399" s="267">
        <f>SUM(L400:L407)</f>
        <v>0</v>
      </c>
      <c r="M399" s="267">
        <f t="shared" si="53"/>
        <v>0</v>
      </c>
      <c r="N399" s="267">
        <f>SUM(N400:N407)</f>
        <v>0</v>
      </c>
      <c r="O399" s="224"/>
      <c r="P399" s="224"/>
      <c r="Q399" s="224"/>
      <c r="R399" s="224"/>
      <c r="S399" s="224"/>
    </row>
    <row r="400" spans="2:22" x14ac:dyDescent="0.35">
      <c r="B400" s="154" t="s">
        <v>1301</v>
      </c>
      <c r="C400" s="154" t="s">
        <v>489</v>
      </c>
      <c r="D400" s="268"/>
      <c r="E400" s="154"/>
      <c r="F400" s="268"/>
      <c r="G400" s="154"/>
      <c r="H400" s="268">
        <f t="shared" ref="H400:H415" si="54">D400-F400</f>
        <v>0</v>
      </c>
      <c r="I400" s="154"/>
      <c r="J400" s="299"/>
      <c r="K400" s="154"/>
      <c r="L400" s="268"/>
      <c r="M400" s="154"/>
      <c r="N400" s="268">
        <f t="shared" ref="N400:N415" si="55">J400-L400</f>
        <v>0</v>
      </c>
      <c r="O400" s="154"/>
      <c r="P400" s="154"/>
      <c r="Q400" s="154"/>
      <c r="R400" s="154"/>
      <c r="S400" s="154"/>
    </row>
    <row r="401" spans="2:19" x14ac:dyDescent="0.35">
      <c r="B401" s="154" t="s">
        <v>1302</v>
      </c>
      <c r="C401" s="154" t="s">
        <v>490</v>
      </c>
      <c r="D401" s="268"/>
      <c r="E401" s="154"/>
      <c r="F401" s="268"/>
      <c r="G401" s="154"/>
      <c r="H401" s="268">
        <f t="shared" si="54"/>
        <v>0</v>
      </c>
      <c r="I401" s="154"/>
      <c r="J401" s="299"/>
      <c r="K401" s="154"/>
      <c r="L401" s="268">
        <f t="shared" ref="L401:L411" si="56">F401</f>
        <v>0</v>
      </c>
      <c r="M401" s="154"/>
      <c r="N401" s="268">
        <f t="shared" si="55"/>
        <v>0</v>
      </c>
      <c r="O401" s="154"/>
      <c r="P401" s="154"/>
      <c r="Q401" s="154"/>
      <c r="R401" s="154"/>
      <c r="S401" s="154"/>
    </row>
    <row r="402" spans="2:19" x14ac:dyDescent="0.35">
      <c r="B402" s="154" t="s">
        <v>1303</v>
      </c>
      <c r="C402" s="154" t="s">
        <v>491</v>
      </c>
      <c r="D402" s="268"/>
      <c r="E402" s="154"/>
      <c r="F402" s="268"/>
      <c r="G402" s="154"/>
      <c r="H402" s="268">
        <f t="shared" si="54"/>
        <v>0</v>
      </c>
      <c r="I402" s="154"/>
      <c r="J402" s="299"/>
      <c r="K402" s="154"/>
      <c r="L402" s="268">
        <f t="shared" si="56"/>
        <v>0</v>
      </c>
      <c r="M402" s="154"/>
      <c r="N402" s="268">
        <f t="shared" si="55"/>
        <v>0</v>
      </c>
      <c r="O402" s="154"/>
      <c r="P402" s="154"/>
      <c r="Q402" s="154"/>
      <c r="R402" s="154"/>
      <c r="S402" s="154"/>
    </row>
    <row r="403" spans="2:19" x14ac:dyDescent="0.35">
      <c r="B403" s="154" t="s">
        <v>1304</v>
      </c>
      <c r="C403" s="154" t="s">
        <v>492</v>
      </c>
      <c r="D403" s="268"/>
      <c r="E403" s="154"/>
      <c r="F403" s="268"/>
      <c r="G403" s="154"/>
      <c r="H403" s="268">
        <f t="shared" si="54"/>
        <v>0</v>
      </c>
      <c r="I403" s="154"/>
      <c r="J403" s="299"/>
      <c r="K403" s="154"/>
      <c r="L403" s="268">
        <f t="shared" si="56"/>
        <v>0</v>
      </c>
      <c r="M403" s="154"/>
      <c r="N403" s="268">
        <f t="shared" si="55"/>
        <v>0</v>
      </c>
      <c r="O403" s="154"/>
      <c r="P403" s="154"/>
      <c r="Q403" s="154"/>
      <c r="R403" s="154"/>
      <c r="S403" s="154"/>
    </row>
    <row r="404" spans="2:19" x14ac:dyDescent="0.35">
      <c r="B404" s="154" t="s">
        <v>1305</v>
      </c>
      <c r="C404" s="154" t="s">
        <v>914</v>
      </c>
      <c r="D404" s="268"/>
      <c r="E404" s="154"/>
      <c r="F404" s="268"/>
      <c r="G404" s="154"/>
      <c r="H404" s="268">
        <f t="shared" si="54"/>
        <v>0</v>
      </c>
      <c r="I404" s="154"/>
      <c r="J404" s="299"/>
      <c r="K404" s="154"/>
      <c r="L404" s="268">
        <f t="shared" si="56"/>
        <v>0</v>
      </c>
      <c r="M404" s="154"/>
      <c r="N404" s="268">
        <f t="shared" si="55"/>
        <v>0</v>
      </c>
      <c r="O404" s="154"/>
      <c r="P404" s="154"/>
      <c r="Q404" s="154"/>
      <c r="R404" s="154"/>
      <c r="S404" s="154"/>
    </row>
    <row r="405" spans="2:19" x14ac:dyDescent="0.35">
      <c r="B405" s="154" t="s">
        <v>1306</v>
      </c>
      <c r="C405" s="154" t="s">
        <v>494</v>
      </c>
      <c r="D405" s="268"/>
      <c r="E405" s="154"/>
      <c r="F405" s="268"/>
      <c r="G405" s="154"/>
      <c r="H405" s="268">
        <f t="shared" si="54"/>
        <v>0</v>
      </c>
      <c r="I405" s="154"/>
      <c r="J405" s="299"/>
      <c r="K405" s="154"/>
      <c r="L405" s="268">
        <f t="shared" si="56"/>
        <v>0</v>
      </c>
      <c r="M405" s="154"/>
      <c r="N405" s="268">
        <f t="shared" si="55"/>
        <v>0</v>
      </c>
      <c r="O405" s="154"/>
      <c r="P405" s="154"/>
      <c r="Q405" s="154"/>
      <c r="R405" s="154"/>
      <c r="S405" s="154"/>
    </row>
    <row r="406" spans="2:19" x14ac:dyDescent="0.35">
      <c r="B406" s="154" t="s">
        <v>1307</v>
      </c>
      <c r="C406" s="154" t="s">
        <v>549</v>
      </c>
      <c r="D406" s="268"/>
      <c r="E406" s="154"/>
      <c r="F406" s="268"/>
      <c r="G406" s="154"/>
      <c r="H406" s="268">
        <f t="shared" si="54"/>
        <v>0</v>
      </c>
      <c r="I406" s="154"/>
      <c r="J406" s="299"/>
      <c r="K406" s="154"/>
      <c r="L406" s="268">
        <f t="shared" si="56"/>
        <v>0</v>
      </c>
      <c r="M406" s="154"/>
      <c r="N406" s="268">
        <f t="shared" si="55"/>
        <v>0</v>
      </c>
      <c r="O406" s="154"/>
      <c r="P406" s="154"/>
      <c r="Q406" s="154"/>
      <c r="R406" s="154"/>
      <c r="S406" s="154"/>
    </row>
    <row r="407" spans="2:19" x14ac:dyDescent="0.35">
      <c r="B407" s="154" t="s">
        <v>1308</v>
      </c>
      <c r="C407" s="154" t="s">
        <v>495</v>
      </c>
      <c r="D407" s="268"/>
      <c r="E407" s="154"/>
      <c r="F407" s="268"/>
      <c r="G407" s="154"/>
      <c r="H407" s="268">
        <f t="shared" si="54"/>
        <v>0</v>
      </c>
      <c r="I407" s="154"/>
      <c r="J407" s="299"/>
      <c r="K407" s="154"/>
      <c r="L407" s="268">
        <f t="shared" si="56"/>
        <v>0</v>
      </c>
      <c r="M407" s="154"/>
      <c r="N407" s="268">
        <f t="shared" si="55"/>
        <v>0</v>
      </c>
      <c r="O407" s="154"/>
      <c r="P407" s="154"/>
      <c r="Q407" s="154"/>
      <c r="R407" s="154"/>
      <c r="S407" s="154"/>
    </row>
    <row r="408" spans="2:19" x14ac:dyDescent="0.35">
      <c r="B408" s="224" t="s">
        <v>1309</v>
      </c>
      <c r="C408" s="224" t="s">
        <v>562</v>
      </c>
      <c r="D408" s="267"/>
      <c r="E408" s="224"/>
      <c r="F408" s="267"/>
      <c r="G408" s="224"/>
      <c r="H408" s="267"/>
      <c r="I408" s="224"/>
      <c r="J408" s="298">
        <v>0</v>
      </c>
      <c r="K408" s="224"/>
      <c r="L408" s="267"/>
      <c r="M408" s="224"/>
      <c r="N408" s="267"/>
      <c r="O408" s="224"/>
      <c r="P408" s="224"/>
      <c r="Q408" s="224"/>
      <c r="R408" s="224"/>
      <c r="S408" s="224"/>
    </row>
    <row r="409" spans="2:19" x14ac:dyDescent="0.35">
      <c r="B409" s="154" t="s">
        <v>1310</v>
      </c>
      <c r="C409" s="154" t="s">
        <v>496</v>
      </c>
      <c r="D409" s="268"/>
      <c r="E409" s="154"/>
      <c r="F409" s="268"/>
      <c r="G409" s="154"/>
      <c r="H409" s="268">
        <f t="shared" si="54"/>
        <v>0</v>
      </c>
      <c r="I409" s="154"/>
      <c r="J409" s="299">
        <v>0</v>
      </c>
      <c r="K409" s="154"/>
      <c r="L409" s="268">
        <f t="shared" si="56"/>
        <v>0</v>
      </c>
      <c r="M409" s="154"/>
      <c r="N409" s="268">
        <f t="shared" si="55"/>
        <v>0</v>
      </c>
      <c r="O409" s="154"/>
      <c r="P409" s="154"/>
      <c r="Q409" s="154"/>
      <c r="R409" s="154"/>
      <c r="S409" s="154"/>
    </row>
    <row r="410" spans="2:19" x14ac:dyDescent="0.35">
      <c r="B410" s="154" t="s">
        <v>1311</v>
      </c>
      <c r="C410" s="154" t="s">
        <v>497</v>
      </c>
      <c r="D410" s="268"/>
      <c r="E410" s="154"/>
      <c r="F410" s="268"/>
      <c r="G410" s="154"/>
      <c r="H410" s="268">
        <f t="shared" si="54"/>
        <v>0</v>
      </c>
      <c r="I410" s="154"/>
      <c r="J410" s="299">
        <v>0</v>
      </c>
      <c r="K410" s="154"/>
      <c r="L410" s="268">
        <f t="shared" si="56"/>
        <v>0</v>
      </c>
      <c r="M410" s="154"/>
      <c r="N410" s="268">
        <f t="shared" si="55"/>
        <v>0</v>
      </c>
      <c r="O410" s="154"/>
      <c r="P410" s="154"/>
      <c r="Q410" s="154"/>
      <c r="R410" s="154"/>
      <c r="S410" s="154"/>
    </row>
    <row r="411" spans="2:19" x14ac:dyDescent="0.35">
      <c r="B411" s="154" t="s">
        <v>1312</v>
      </c>
      <c r="C411" s="154" t="s">
        <v>498</v>
      </c>
      <c r="D411" s="268"/>
      <c r="E411" s="154"/>
      <c r="F411" s="268"/>
      <c r="G411" s="154"/>
      <c r="H411" s="268">
        <f t="shared" si="54"/>
        <v>0</v>
      </c>
      <c r="I411" s="154"/>
      <c r="J411" s="299">
        <v>0</v>
      </c>
      <c r="K411" s="154"/>
      <c r="L411" s="268">
        <f t="shared" si="56"/>
        <v>0</v>
      </c>
      <c r="M411" s="154"/>
      <c r="N411" s="268">
        <f t="shared" si="55"/>
        <v>0</v>
      </c>
      <c r="O411" s="154"/>
      <c r="P411" s="154"/>
      <c r="Q411" s="154"/>
      <c r="R411" s="154"/>
      <c r="S411" s="154"/>
    </row>
    <row r="412" spans="2:19" x14ac:dyDescent="0.35">
      <c r="B412" s="224" t="s">
        <v>1313</v>
      </c>
      <c r="C412" s="224" t="s">
        <v>583</v>
      </c>
      <c r="D412" s="267">
        <f>SUM(D413:D415)</f>
        <v>0</v>
      </c>
      <c r="E412" s="267">
        <f t="shared" ref="E412:N412" si="57">SUM(E413:E415)</f>
        <v>0</v>
      </c>
      <c r="F412" s="267">
        <f t="shared" si="57"/>
        <v>0</v>
      </c>
      <c r="G412" s="267">
        <f t="shared" si="57"/>
        <v>0</v>
      </c>
      <c r="H412" s="267">
        <f t="shared" si="57"/>
        <v>0</v>
      </c>
      <c r="I412" s="267">
        <f t="shared" si="57"/>
        <v>0</v>
      </c>
      <c r="J412" s="267" t="e">
        <f t="shared" si="57"/>
        <v>#REF!</v>
      </c>
      <c r="K412" s="267">
        <f t="shared" si="57"/>
        <v>0</v>
      </c>
      <c r="L412" s="267" t="e">
        <f t="shared" si="57"/>
        <v>#REF!</v>
      </c>
      <c r="M412" s="267">
        <f t="shared" si="57"/>
        <v>0</v>
      </c>
      <c r="N412" s="267" t="e">
        <f t="shared" si="57"/>
        <v>#REF!</v>
      </c>
      <c r="O412" s="224"/>
      <c r="P412" s="224"/>
      <c r="Q412" s="224"/>
      <c r="R412" s="224"/>
      <c r="S412" s="224"/>
    </row>
    <row r="413" spans="2:19" x14ac:dyDescent="0.35">
      <c r="B413" s="154" t="s">
        <v>1314</v>
      </c>
      <c r="C413" s="154" t="s">
        <v>499</v>
      </c>
      <c r="D413" s="268"/>
      <c r="E413" s="154"/>
      <c r="F413" s="268"/>
      <c r="G413" s="154"/>
      <c r="H413" s="268">
        <f t="shared" si="54"/>
        <v>0</v>
      </c>
      <c r="I413" s="154"/>
      <c r="J413" s="299"/>
      <c r="K413" s="154"/>
      <c r="L413" s="268"/>
      <c r="M413" s="154"/>
      <c r="N413" s="268">
        <f t="shared" si="55"/>
        <v>0</v>
      </c>
      <c r="O413" s="154"/>
      <c r="P413" s="154"/>
      <c r="Q413" s="154"/>
      <c r="R413" s="154"/>
      <c r="S413" s="154"/>
    </row>
    <row r="414" spans="2:19" x14ac:dyDescent="0.35">
      <c r="B414" s="154" t="s">
        <v>1315</v>
      </c>
      <c r="C414" s="154" t="s">
        <v>500</v>
      </c>
      <c r="D414" s="268"/>
      <c r="E414" s="154"/>
      <c r="F414" s="268"/>
      <c r="G414" s="154"/>
      <c r="H414" s="268">
        <f t="shared" si="54"/>
        <v>0</v>
      </c>
      <c r="I414" s="154"/>
      <c r="J414" s="299"/>
      <c r="K414" s="154"/>
      <c r="L414" s="268"/>
      <c r="M414" s="154"/>
      <c r="N414" s="268">
        <f t="shared" si="55"/>
        <v>0</v>
      </c>
      <c r="O414" s="154"/>
      <c r="P414" s="154"/>
      <c r="Q414" s="154"/>
      <c r="R414" s="154"/>
      <c r="S414" s="154"/>
    </row>
    <row r="415" spans="2:19" x14ac:dyDescent="0.35">
      <c r="B415" s="154" t="s">
        <v>1316</v>
      </c>
      <c r="C415" s="154" t="s">
        <v>501</v>
      </c>
      <c r="D415" s="268"/>
      <c r="E415" s="154"/>
      <c r="F415" s="268">
        <f>'PL Summary'!D102</f>
        <v>0</v>
      </c>
      <c r="G415" s="154"/>
      <c r="H415" s="268">
        <f t="shared" si="54"/>
        <v>0</v>
      </c>
      <c r="I415" s="154"/>
      <c r="J415" s="299" t="e">
        <f>'PL Summary'!#REF!</f>
        <v>#REF!</v>
      </c>
      <c r="K415" s="154"/>
      <c r="L415" s="268" t="e">
        <f>'PL Summary'!#REF!</f>
        <v>#REF!</v>
      </c>
      <c r="M415" s="154"/>
      <c r="N415" s="268" t="e">
        <f t="shared" si="55"/>
        <v>#REF!</v>
      </c>
      <c r="O415" s="154"/>
      <c r="P415" s="154"/>
      <c r="Q415" s="154"/>
      <c r="R415" s="154"/>
      <c r="S415" s="154"/>
    </row>
    <row r="416" spans="2:19" x14ac:dyDescent="0.35">
      <c r="B416" s="222" t="s">
        <v>1317</v>
      </c>
      <c r="C416" s="222" t="s">
        <v>506</v>
      </c>
      <c r="D416" s="265"/>
      <c r="E416" s="222"/>
      <c r="F416" s="265"/>
      <c r="G416" s="222"/>
      <c r="H416" s="265"/>
      <c r="I416" s="222"/>
      <c r="J416" s="296">
        <v>0</v>
      </c>
      <c r="K416" s="222"/>
      <c r="L416" s="265"/>
      <c r="M416" s="222"/>
      <c r="N416" s="265"/>
      <c r="O416" s="222"/>
      <c r="P416" s="222"/>
      <c r="Q416" s="222"/>
      <c r="R416" s="222"/>
      <c r="S416" s="222"/>
    </row>
    <row r="417" spans="2:19" x14ac:dyDescent="0.35">
      <c r="B417" s="223" t="s">
        <v>1318</v>
      </c>
      <c r="C417" s="223" t="s">
        <v>507</v>
      </c>
      <c r="D417" s="266"/>
      <c r="E417" s="223"/>
      <c r="F417" s="266"/>
      <c r="G417" s="223"/>
      <c r="H417" s="266"/>
      <c r="I417" s="223"/>
      <c r="J417" s="297">
        <v>0</v>
      </c>
      <c r="K417" s="223"/>
      <c r="L417" s="266"/>
      <c r="M417" s="223"/>
      <c r="N417" s="266"/>
      <c r="O417" s="223"/>
      <c r="P417" s="223"/>
      <c r="Q417" s="223"/>
      <c r="R417" s="223"/>
      <c r="S417" s="223"/>
    </row>
    <row r="418" spans="2:19" x14ac:dyDescent="0.35">
      <c r="B418" s="224" t="s">
        <v>1319</v>
      </c>
      <c r="C418" s="224" t="s">
        <v>581</v>
      </c>
      <c r="D418" s="267">
        <f>SUM(D419:D426)</f>
        <v>0</v>
      </c>
      <c r="E418" s="267">
        <f t="shared" ref="E418:N418" si="58">SUM(E419:E426)</f>
        <v>0</v>
      </c>
      <c r="F418" s="267">
        <f t="shared" si="58"/>
        <v>0</v>
      </c>
      <c r="G418" s="267">
        <f t="shared" si="58"/>
        <v>0</v>
      </c>
      <c r="H418" s="267">
        <f t="shared" si="58"/>
        <v>0</v>
      </c>
      <c r="I418" s="267">
        <f t="shared" si="58"/>
        <v>0</v>
      </c>
      <c r="J418" s="267">
        <f t="shared" si="58"/>
        <v>0</v>
      </c>
      <c r="K418" s="267">
        <f t="shared" si="58"/>
        <v>0</v>
      </c>
      <c r="L418" s="267">
        <f t="shared" si="58"/>
        <v>0</v>
      </c>
      <c r="M418" s="267">
        <f t="shared" si="58"/>
        <v>0</v>
      </c>
      <c r="N418" s="267">
        <f t="shared" si="58"/>
        <v>0</v>
      </c>
      <c r="O418" s="224"/>
      <c r="P418" s="224"/>
      <c r="Q418" s="224"/>
      <c r="R418" s="224"/>
      <c r="S418" s="224"/>
    </row>
    <row r="419" spans="2:19" x14ac:dyDescent="0.35">
      <c r="B419" s="154" t="s">
        <v>1320</v>
      </c>
      <c r="C419" s="142" t="s">
        <v>581</v>
      </c>
      <c r="D419" s="268"/>
      <c r="E419" s="154"/>
      <c r="F419" s="268"/>
      <c r="G419" s="154"/>
      <c r="H419" s="268">
        <f>D419-F419</f>
        <v>0</v>
      </c>
      <c r="I419" s="154"/>
      <c r="J419" s="216"/>
      <c r="K419" s="154"/>
      <c r="L419" s="216"/>
      <c r="M419" s="154"/>
      <c r="N419" s="268">
        <f t="shared" ref="N419:N426" si="59">J419-L419</f>
        <v>0</v>
      </c>
      <c r="O419" s="154"/>
      <c r="P419" s="154"/>
      <c r="Q419" s="154"/>
      <c r="R419" s="154"/>
      <c r="S419" s="154"/>
    </row>
    <row r="420" spans="2:19" x14ac:dyDescent="0.35">
      <c r="B420" s="154" t="s">
        <v>1321</v>
      </c>
      <c r="C420" s="142" t="s">
        <v>509</v>
      </c>
      <c r="D420" s="268"/>
      <c r="E420" s="154"/>
      <c r="F420" s="268"/>
      <c r="G420" s="154"/>
      <c r="H420" s="268">
        <f t="shared" ref="H420:H425" si="60">D420-F420</f>
        <v>0</v>
      </c>
      <c r="I420" s="154"/>
      <c r="J420" s="216"/>
      <c r="K420" s="154"/>
      <c r="L420" s="216"/>
      <c r="M420" s="154"/>
      <c r="N420" s="268">
        <f t="shared" si="59"/>
        <v>0</v>
      </c>
      <c r="O420" s="154"/>
      <c r="P420" s="154"/>
      <c r="Q420" s="154"/>
      <c r="R420" s="154"/>
      <c r="S420" s="154"/>
    </row>
    <row r="421" spans="2:19" x14ac:dyDescent="0.35">
      <c r="B421" s="154" t="s">
        <v>1322</v>
      </c>
      <c r="C421" s="142" t="s">
        <v>582</v>
      </c>
      <c r="D421" s="268"/>
      <c r="E421" s="154"/>
      <c r="F421" s="268"/>
      <c r="G421" s="154"/>
      <c r="H421" s="268">
        <f t="shared" si="60"/>
        <v>0</v>
      </c>
      <c r="I421" s="154"/>
      <c r="J421" s="216"/>
      <c r="K421" s="154"/>
      <c r="L421" s="216"/>
      <c r="M421" s="154"/>
      <c r="N421" s="268">
        <f t="shared" si="59"/>
        <v>0</v>
      </c>
      <c r="O421" s="154"/>
      <c r="P421" s="154"/>
      <c r="Q421" s="154"/>
      <c r="R421" s="154"/>
      <c r="S421" s="154"/>
    </row>
    <row r="422" spans="2:19" x14ac:dyDescent="0.35">
      <c r="B422" s="154" t="s">
        <v>1323</v>
      </c>
      <c r="C422" s="154" t="s">
        <v>514</v>
      </c>
      <c r="D422" s="268"/>
      <c r="E422" s="154"/>
      <c r="F422" s="268"/>
      <c r="G422" s="154"/>
      <c r="H422" s="268">
        <f t="shared" si="60"/>
        <v>0</v>
      </c>
      <c r="I422" s="154"/>
      <c r="J422" s="216"/>
      <c r="K422" s="154"/>
      <c r="L422" s="216"/>
      <c r="M422" s="154"/>
      <c r="N422" s="268">
        <f t="shared" si="59"/>
        <v>0</v>
      </c>
      <c r="O422" s="154"/>
      <c r="P422" s="154"/>
      <c r="Q422" s="154"/>
      <c r="R422" s="154"/>
      <c r="S422" s="154"/>
    </row>
    <row r="423" spans="2:19" x14ac:dyDescent="0.35">
      <c r="B423" s="154" t="s">
        <v>1324</v>
      </c>
      <c r="C423" s="154" t="s">
        <v>1602</v>
      </c>
      <c r="D423" s="268"/>
      <c r="E423" s="154"/>
      <c r="F423" s="268"/>
      <c r="G423" s="154"/>
      <c r="H423" s="268">
        <f t="shared" si="60"/>
        <v>0</v>
      </c>
      <c r="I423" s="154"/>
      <c r="J423" s="216"/>
      <c r="K423" s="154"/>
      <c r="L423" s="216"/>
      <c r="M423" s="154"/>
      <c r="N423" s="268">
        <f t="shared" si="59"/>
        <v>0</v>
      </c>
      <c r="O423" s="154"/>
      <c r="P423" s="154"/>
      <c r="Q423" s="154"/>
      <c r="R423" s="154"/>
      <c r="S423" s="154"/>
    </row>
    <row r="424" spans="2:19" x14ac:dyDescent="0.35">
      <c r="B424" s="154" t="s">
        <v>1325</v>
      </c>
      <c r="C424" s="154" t="s">
        <v>510</v>
      </c>
      <c r="D424" s="268"/>
      <c r="E424" s="154"/>
      <c r="F424" s="268"/>
      <c r="G424" s="154"/>
      <c r="H424" s="268">
        <f t="shared" si="60"/>
        <v>0</v>
      </c>
      <c r="I424" s="154"/>
      <c r="J424" s="216"/>
      <c r="K424" s="154"/>
      <c r="L424" s="216"/>
      <c r="M424" s="154"/>
      <c r="N424" s="268">
        <f t="shared" si="59"/>
        <v>0</v>
      </c>
      <c r="O424" s="154"/>
      <c r="P424" s="154"/>
      <c r="Q424" s="154"/>
      <c r="R424" s="154"/>
      <c r="S424" s="154"/>
    </row>
    <row r="425" spans="2:19" x14ac:dyDescent="0.35">
      <c r="B425" s="154"/>
      <c r="C425" s="154" t="s">
        <v>511</v>
      </c>
      <c r="D425" s="268"/>
      <c r="E425" s="154"/>
      <c r="F425" s="268"/>
      <c r="G425" s="154"/>
      <c r="H425" s="268">
        <f t="shared" si="60"/>
        <v>0</v>
      </c>
      <c r="I425" s="154"/>
      <c r="J425" s="216"/>
      <c r="K425" s="154"/>
      <c r="L425" s="216"/>
      <c r="M425" s="154"/>
      <c r="N425" s="268">
        <f t="shared" si="59"/>
        <v>0</v>
      </c>
      <c r="O425" s="154"/>
      <c r="P425" s="154"/>
      <c r="Q425" s="154"/>
      <c r="R425" s="154"/>
      <c r="S425" s="154"/>
    </row>
    <row r="426" spans="2:19" s="305" customFormat="1" x14ac:dyDescent="0.35">
      <c r="B426" s="306"/>
      <c r="C426" s="306"/>
      <c r="D426" s="268"/>
      <c r="E426" s="306"/>
      <c r="F426" s="268"/>
      <c r="G426" s="306"/>
      <c r="H426" s="274"/>
      <c r="I426" s="306"/>
      <c r="J426" s="307"/>
      <c r="K426" s="306"/>
      <c r="L426" s="268"/>
      <c r="M426" s="306"/>
      <c r="N426" s="268">
        <f t="shared" si="59"/>
        <v>0</v>
      </c>
      <c r="O426" s="306"/>
      <c r="P426" s="306"/>
      <c r="Q426" s="306"/>
      <c r="R426" s="306"/>
      <c r="S426" s="306"/>
    </row>
    <row r="427" spans="2:19" x14ac:dyDescent="0.35">
      <c r="B427" s="223" t="s">
        <v>1326</v>
      </c>
      <c r="C427" s="223" t="s">
        <v>515</v>
      </c>
      <c r="D427" s="266"/>
      <c r="E427" s="223"/>
      <c r="F427" s="266"/>
      <c r="G427" s="223"/>
      <c r="H427" s="266"/>
      <c r="I427" s="223"/>
      <c r="J427" s="297">
        <v>0</v>
      </c>
      <c r="K427" s="223"/>
      <c r="L427" s="266"/>
      <c r="M427" s="223"/>
      <c r="N427" s="266"/>
      <c r="O427" s="223"/>
      <c r="P427" s="223"/>
      <c r="Q427" s="223"/>
      <c r="R427" s="223"/>
      <c r="S427" s="223"/>
    </row>
    <row r="428" spans="2:19" x14ac:dyDescent="0.35">
      <c r="B428" s="224" t="s">
        <v>1327</v>
      </c>
      <c r="C428" s="224" t="s">
        <v>516</v>
      </c>
      <c r="D428" s="267">
        <f>D429</f>
        <v>0</v>
      </c>
      <c r="E428" s="267">
        <f t="shared" ref="E428:N428" si="61">E429</f>
        <v>0</v>
      </c>
      <c r="F428" s="267">
        <f t="shared" si="61"/>
        <v>0</v>
      </c>
      <c r="G428" s="267">
        <f t="shared" si="61"/>
        <v>0</v>
      </c>
      <c r="H428" s="267">
        <f t="shared" si="61"/>
        <v>0</v>
      </c>
      <c r="I428" s="267">
        <f t="shared" si="61"/>
        <v>0</v>
      </c>
      <c r="J428" s="267">
        <f t="shared" si="61"/>
        <v>0</v>
      </c>
      <c r="K428" s="267">
        <f t="shared" si="61"/>
        <v>0</v>
      </c>
      <c r="L428" s="267">
        <f t="shared" si="61"/>
        <v>0</v>
      </c>
      <c r="M428" s="267">
        <f t="shared" si="61"/>
        <v>0</v>
      </c>
      <c r="N428" s="267">
        <f t="shared" si="61"/>
        <v>0</v>
      </c>
      <c r="O428" s="224"/>
      <c r="P428" s="224"/>
      <c r="Q428" s="224"/>
      <c r="R428" s="224"/>
      <c r="S428" s="224"/>
    </row>
    <row r="429" spans="2:19" x14ac:dyDescent="0.35">
      <c r="B429" s="154" t="s">
        <v>1328</v>
      </c>
      <c r="C429" s="154" t="s">
        <v>517</v>
      </c>
      <c r="D429" s="268"/>
      <c r="E429" s="154"/>
      <c r="F429" s="268">
        <f>'PL Summary'!D118</f>
        <v>0</v>
      </c>
      <c r="G429" s="154"/>
      <c r="H429" s="268"/>
      <c r="I429" s="154"/>
      <c r="J429" s="299"/>
      <c r="K429" s="154"/>
      <c r="L429" s="268"/>
      <c r="M429" s="154"/>
      <c r="N429" s="268">
        <f t="shared" ref="N429:N435" si="62">J429-L429</f>
        <v>0</v>
      </c>
      <c r="O429" s="154"/>
      <c r="P429" s="154"/>
      <c r="Q429" s="154"/>
      <c r="R429" s="154"/>
      <c r="S429" s="154"/>
    </row>
    <row r="430" spans="2:19" x14ac:dyDescent="0.35">
      <c r="B430" s="154" t="s">
        <v>1329</v>
      </c>
      <c r="C430" s="154" t="s">
        <v>518</v>
      </c>
      <c r="D430" s="268"/>
      <c r="E430" s="154"/>
      <c r="F430" s="268"/>
      <c r="G430" s="154"/>
      <c r="H430" s="268"/>
      <c r="I430" s="154"/>
      <c r="J430" s="299"/>
      <c r="K430" s="154"/>
      <c r="L430" s="268"/>
      <c r="M430" s="154"/>
      <c r="N430" s="268">
        <f t="shared" si="62"/>
        <v>0</v>
      </c>
      <c r="O430" s="154"/>
      <c r="P430" s="154"/>
      <c r="Q430" s="154"/>
      <c r="R430" s="154"/>
      <c r="S430" s="154"/>
    </row>
    <row r="431" spans="2:19" x14ac:dyDescent="0.35">
      <c r="B431" s="154" t="s">
        <v>1330</v>
      </c>
      <c r="C431" s="154" t="s">
        <v>519</v>
      </c>
      <c r="D431" s="268"/>
      <c r="E431" s="154"/>
      <c r="F431" s="268"/>
      <c r="G431" s="154"/>
      <c r="H431" s="268"/>
      <c r="I431" s="154"/>
      <c r="J431" s="299"/>
      <c r="K431" s="154"/>
      <c r="L431" s="268"/>
      <c r="M431" s="154"/>
      <c r="N431" s="268">
        <f t="shared" si="62"/>
        <v>0</v>
      </c>
      <c r="O431" s="154"/>
      <c r="P431" s="154"/>
      <c r="Q431" s="154"/>
      <c r="R431" s="154"/>
      <c r="S431" s="154"/>
    </row>
    <row r="432" spans="2:19" x14ac:dyDescent="0.35">
      <c r="B432" s="154" t="s">
        <v>1331</v>
      </c>
      <c r="C432" s="154" t="s">
        <v>520</v>
      </c>
      <c r="D432" s="268"/>
      <c r="E432" s="154"/>
      <c r="F432" s="268"/>
      <c r="G432" s="154"/>
      <c r="H432" s="268"/>
      <c r="I432" s="154"/>
      <c r="J432" s="299"/>
      <c r="K432" s="154"/>
      <c r="L432" s="268"/>
      <c r="M432" s="154"/>
      <c r="N432" s="268">
        <f t="shared" si="62"/>
        <v>0</v>
      </c>
      <c r="O432" s="154"/>
      <c r="P432" s="154"/>
      <c r="Q432" s="154"/>
      <c r="R432" s="154"/>
      <c r="S432" s="154"/>
    </row>
    <row r="433" spans="2:19" x14ac:dyDescent="0.35">
      <c r="B433" s="154" t="s">
        <v>1332</v>
      </c>
      <c r="C433" s="154" t="s">
        <v>547</v>
      </c>
      <c r="D433" s="268"/>
      <c r="E433" s="154"/>
      <c r="F433" s="268"/>
      <c r="G433" s="154"/>
      <c r="H433" s="268"/>
      <c r="I433" s="154"/>
      <c r="J433" s="299"/>
      <c r="K433" s="154"/>
      <c r="L433" s="268"/>
      <c r="M433" s="154"/>
      <c r="N433" s="268">
        <f t="shared" si="62"/>
        <v>0</v>
      </c>
      <c r="O433" s="154"/>
      <c r="P433" s="154"/>
      <c r="Q433" s="154"/>
      <c r="R433" s="154"/>
      <c r="S433" s="154"/>
    </row>
    <row r="434" spans="2:19" x14ac:dyDescent="0.35">
      <c r="B434" s="224" t="s">
        <v>1333</v>
      </c>
      <c r="C434" s="224" t="s">
        <v>521</v>
      </c>
      <c r="D434" s="267"/>
      <c r="E434" s="224"/>
      <c r="F434" s="267"/>
      <c r="G434" s="224"/>
      <c r="H434" s="267"/>
      <c r="I434" s="224"/>
      <c r="J434" s="298">
        <v>0</v>
      </c>
      <c r="K434" s="224"/>
      <c r="L434" s="267"/>
      <c r="M434" s="224"/>
      <c r="N434" s="267"/>
      <c r="O434" s="224"/>
      <c r="P434" s="224"/>
      <c r="Q434" s="224"/>
      <c r="R434" s="224"/>
      <c r="S434" s="224"/>
    </row>
    <row r="435" spans="2:19" x14ac:dyDescent="0.35">
      <c r="B435" s="154" t="s">
        <v>1334</v>
      </c>
      <c r="C435" s="154" t="s">
        <v>877</v>
      </c>
      <c r="D435" s="268"/>
      <c r="E435" s="154"/>
      <c r="F435" s="268"/>
      <c r="G435" s="154"/>
      <c r="H435" s="268">
        <f t="shared" ref="H435" si="63">D435-F435</f>
        <v>0</v>
      </c>
      <c r="I435" s="154"/>
      <c r="J435" s="299">
        <v>0</v>
      </c>
      <c r="K435" s="154"/>
      <c r="L435" s="268">
        <f t="shared" ref="L435" si="64">F435</f>
        <v>0</v>
      </c>
      <c r="M435" s="154"/>
      <c r="N435" s="268">
        <f t="shared" si="62"/>
        <v>0</v>
      </c>
      <c r="O435" s="154"/>
      <c r="P435" s="154"/>
      <c r="Q435" s="154"/>
      <c r="R435" s="154"/>
      <c r="S435" s="154"/>
    </row>
    <row r="436" spans="2:19" x14ac:dyDescent="0.35">
      <c r="B436" s="222" t="s">
        <v>1335</v>
      </c>
      <c r="C436" s="222" t="s">
        <v>1554</v>
      </c>
      <c r="D436" s="265"/>
      <c r="E436" s="222"/>
      <c r="F436" s="265"/>
      <c r="G436" s="222"/>
      <c r="H436" s="265"/>
      <c r="I436" s="222"/>
      <c r="J436" s="296">
        <v>0</v>
      </c>
      <c r="K436" s="222"/>
      <c r="L436" s="265"/>
      <c r="M436" s="222"/>
      <c r="N436" s="265"/>
      <c r="O436" s="222"/>
      <c r="P436" s="222"/>
      <c r="Q436" s="222"/>
      <c r="R436" s="222"/>
      <c r="S436" s="222"/>
    </row>
    <row r="437" spans="2:19" x14ac:dyDescent="0.35">
      <c r="B437" s="223" t="s">
        <v>1336</v>
      </c>
      <c r="C437" s="223" t="s">
        <v>1555</v>
      </c>
      <c r="D437" s="266"/>
      <c r="E437" s="223"/>
      <c r="F437" s="266"/>
      <c r="G437" s="223"/>
      <c r="H437" s="266"/>
      <c r="I437" s="223"/>
      <c r="J437" s="297">
        <v>0</v>
      </c>
      <c r="K437" s="223"/>
      <c r="L437" s="266"/>
      <c r="M437" s="223"/>
      <c r="N437" s="266"/>
      <c r="O437" s="223"/>
      <c r="P437" s="223"/>
      <c r="Q437" s="223"/>
      <c r="R437" s="223"/>
      <c r="S437" s="223"/>
    </row>
    <row r="438" spans="2:19" x14ac:dyDescent="0.35">
      <c r="B438" s="227" t="s">
        <v>1337</v>
      </c>
      <c r="C438" s="227" t="s">
        <v>502</v>
      </c>
      <c r="D438" s="267">
        <f>SUM(D439:D441)</f>
        <v>0</v>
      </c>
      <c r="E438" s="267">
        <f t="shared" ref="E438:N438" si="65">SUM(E439:E441)</f>
        <v>0</v>
      </c>
      <c r="F438" s="267">
        <f t="shared" si="65"/>
        <v>0</v>
      </c>
      <c r="G438" s="267">
        <f t="shared" si="65"/>
        <v>0</v>
      </c>
      <c r="H438" s="267">
        <f t="shared" si="65"/>
        <v>0</v>
      </c>
      <c r="I438" s="267">
        <f t="shared" si="65"/>
        <v>0</v>
      </c>
      <c r="J438" s="267" t="e">
        <f t="shared" si="65"/>
        <v>#REF!</v>
      </c>
      <c r="K438" s="267">
        <f t="shared" si="65"/>
        <v>0</v>
      </c>
      <c r="L438" s="267" t="e">
        <f t="shared" si="65"/>
        <v>#REF!</v>
      </c>
      <c r="M438" s="267">
        <f t="shared" si="65"/>
        <v>0</v>
      </c>
      <c r="N438" s="267" t="e">
        <f t="shared" si="65"/>
        <v>#REF!</v>
      </c>
      <c r="O438" s="227"/>
      <c r="P438" s="227"/>
      <c r="Q438" s="227"/>
      <c r="R438" s="227"/>
      <c r="S438" s="227"/>
    </row>
    <row r="439" spans="2:19" x14ac:dyDescent="0.35">
      <c r="B439" s="154" t="s">
        <v>1338</v>
      </c>
      <c r="C439" s="154" t="s">
        <v>503</v>
      </c>
      <c r="D439" s="268"/>
      <c r="E439" s="154"/>
      <c r="F439" s="268"/>
      <c r="G439" s="154"/>
      <c r="H439" s="268"/>
      <c r="I439" s="154"/>
      <c r="J439" s="299" t="e">
        <f>'PL Summary'!#REF!</f>
        <v>#REF!</v>
      </c>
      <c r="K439" s="154"/>
      <c r="L439" s="268" t="e">
        <f>'PL Summary'!#REF!</f>
        <v>#REF!</v>
      </c>
      <c r="M439" s="154"/>
      <c r="N439" s="268" t="e">
        <f>J439-L439</f>
        <v>#REF!</v>
      </c>
      <c r="O439" s="154"/>
      <c r="P439" s="154"/>
      <c r="Q439" s="154"/>
      <c r="R439" s="154"/>
      <c r="S439" s="154"/>
    </row>
    <row r="440" spans="2:19" x14ac:dyDescent="0.35">
      <c r="B440" s="148" t="s">
        <v>1556</v>
      </c>
      <c r="C440" s="148" t="s">
        <v>504</v>
      </c>
      <c r="D440" s="270"/>
      <c r="E440" s="170"/>
      <c r="F440" s="270"/>
      <c r="G440" s="170"/>
      <c r="H440" s="268"/>
      <c r="I440" s="148"/>
      <c r="J440" s="294"/>
      <c r="K440" s="170"/>
      <c r="L440" s="268">
        <f>F440</f>
        <v>0</v>
      </c>
      <c r="M440" s="148"/>
      <c r="N440" s="268">
        <f>J440-L440</f>
        <v>0</v>
      </c>
      <c r="O440" s="148"/>
      <c r="P440" s="148"/>
      <c r="Q440" s="148"/>
      <c r="R440" s="148"/>
      <c r="S440" s="148"/>
    </row>
    <row r="441" spans="2:19" x14ac:dyDescent="0.35">
      <c r="B441" s="148" t="s">
        <v>1557</v>
      </c>
      <c r="C441" s="148" t="s">
        <v>505</v>
      </c>
      <c r="D441" s="270"/>
      <c r="E441" s="170"/>
      <c r="F441" s="270"/>
      <c r="G441" s="170"/>
      <c r="H441" s="268">
        <f>D441-F441</f>
        <v>0</v>
      </c>
      <c r="I441" s="148"/>
      <c r="J441" s="294"/>
      <c r="K441" s="170"/>
      <c r="L441" s="268">
        <f>F441</f>
        <v>0</v>
      </c>
      <c r="M441" s="148"/>
      <c r="N441" s="268">
        <f>J441-L441</f>
        <v>0</v>
      </c>
      <c r="O441" s="148"/>
      <c r="P441" s="148"/>
      <c r="Q441" s="148"/>
      <c r="R441" s="148"/>
      <c r="S441" s="148"/>
    </row>
    <row r="442" spans="2:19" x14ac:dyDescent="0.35">
      <c r="B442" s="222" t="s">
        <v>1558</v>
      </c>
      <c r="C442" s="222" t="s">
        <v>553</v>
      </c>
      <c r="D442" s="265"/>
      <c r="E442" s="222"/>
      <c r="F442" s="265"/>
      <c r="G442" s="222"/>
      <c r="H442" s="265"/>
      <c r="I442" s="222"/>
      <c r="J442" s="296">
        <v>0</v>
      </c>
      <c r="K442" s="222"/>
      <c r="L442" s="265"/>
      <c r="M442" s="222"/>
      <c r="N442" s="265"/>
      <c r="O442" s="222"/>
      <c r="P442" s="222"/>
      <c r="Q442" s="222"/>
      <c r="R442" s="222"/>
      <c r="S442" s="222"/>
    </row>
    <row r="443" spans="2:19" x14ac:dyDescent="0.35">
      <c r="B443" s="223" t="s">
        <v>1559</v>
      </c>
      <c r="C443" s="223" t="s">
        <v>554</v>
      </c>
      <c r="D443" s="266"/>
      <c r="E443" s="223"/>
      <c r="F443" s="266"/>
      <c r="G443" s="223"/>
      <c r="H443" s="266"/>
      <c r="I443" s="223"/>
      <c r="J443" s="297">
        <v>0</v>
      </c>
      <c r="K443" s="223"/>
      <c r="L443" s="266"/>
      <c r="M443" s="223"/>
      <c r="N443" s="266"/>
      <c r="O443" s="223"/>
      <c r="P443" s="223"/>
      <c r="Q443" s="223"/>
      <c r="R443" s="223"/>
      <c r="S443" s="223"/>
    </row>
    <row r="444" spans="2:19" x14ac:dyDescent="0.35">
      <c r="B444" s="227" t="s">
        <v>1560</v>
      </c>
      <c r="C444" s="227" t="s">
        <v>555</v>
      </c>
      <c r="D444" s="267"/>
      <c r="E444" s="227"/>
      <c r="F444" s="267"/>
      <c r="G444" s="227"/>
      <c r="H444" s="267"/>
      <c r="I444" s="227"/>
      <c r="J444" s="298">
        <v>0</v>
      </c>
      <c r="K444" s="227"/>
      <c r="L444" s="267"/>
      <c r="M444" s="227"/>
      <c r="N444" s="267"/>
      <c r="O444" s="227"/>
      <c r="P444" s="227"/>
      <c r="Q444" s="227"/>
      <c r="R444" s="227"/>
      <c r="S444" s="227"/>
    </row>
    <row r="445" spans="2:19" x14ac:dyDescent="0.35">
      <c r="B445" s="148" t="s">
        <v>1561</v>
      </c>
      <c r="C445" s="148" t="s">
        <v>523</v>
      </c>
      <c r="D445" s="270"/>
      <c r="E445" s="170"/>
      <c r="F445" s="270">
        <f>'PL Summary'!D130</f>
        <v>59550561.48824463</v>
      </c>
      <c r="G445" s="170"/>
      <c r="H445" s="268">
        <f>D445-F445</f>
        <v>-59550561.48824463</v>
      </c>
      <c r="I445" s="148"/>
      <c r="J445" s="308" t="e">
        <f>'PL Summary'!#REF!</f>
        <v>#REF!</v>
      </c>
      <c r="K445" s="170"/>
      <c r="L445" s="308" t="e">
        <f>'PL Summary'!#REF!</f>
        <v>#REF!</v>
      </c>
      <c r="M445" s="148"/>
      <c r="N445" s="170" t="e">
        <f>J445-L445</f>
        <v>#REF!</v>
      </c>
      <c r="O445" s="148"/>
      <c r="P445" s="148"/>
      <c r="Q445" s="148"/>
      <c r="R445" s="148"/>
      <c r="S445" s="148"/>
    </row>
  </sheetData>
  <mergeCells count="14">
    <mergeCell ref="B5:C5"/>
    <mergeCell ref="B7:C7"/>
    <mergeCell ref="B8:C8"/>
    <mergeCell ref="B9:C9"/>
    <mergeCell ref="B10:C10"/>
    <mergeCell ref="B17:C17"/>
    <mergeCell ref="B18:C18"/>
    <mergeCell ref="B19:C19"/>
    <mergeCell ref="B11:C11"/>
    <mergeCell ref="B12:C12"/>
    <mergeCell ref="B13:C13"/>
    <mergeCell ref="B14:C14"/>
    <mergeCell ref="B15:C15"/>
    <mergeCell ref="B16:C16"/>
  </mergeCells>
  <pageMargins left="0.70866141732283472" right="0.70866141732283472" top="0.74803149606299213" bottom="0.74803149606299213" header="0.31496062992125984" footer="0.31496062992125984"/>
  <pageSetup paperSize="9" scale="65" fitToWidth="2" fitToHeight="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59"/>
  <sheetViews>
    <sheetView workbookViewId="0">
      <pane ySplit="3" topLeftCell="A4" activePane="bottomLeft" state="frozen"/>
      <selection pane="bottomLeft" activeCell="G31" sqref="G31"/>
    </sheetView>
  </sheetViews>
  <sheetFormatPr defaultRowHeight="13" x14ac:dyDescent="0.3"/>
  <cols>
    <col min="1" max="3" width="2" style="233" bestFit="1" customWidth="1"/>
    <col min="4" max="4" width="3" style="233" bestFit="1" customWidth="1"/>
    <col min="5" max="5" width="4" style="233" bestFit="1" customWidth="1"/>
    <col min="6" max="6" width="49.26953125" style="108" bestFit="1" customWidth="1"/>
    <col min="7" max="7" width="76.7265625" style="253" customWidth="1"/>
    <col min="8" max="219" width="9.08984375" style="108"/>
    <col min="220" max="221" width="9.08984375" style="108" customWidth="1"/>
    <col min="222" max="224" width="1.81640625" style="108" bestFit="1" customWidth="1"/>
    <col min="225" max="225" width="2.7265625" style="108" bestFit="1" customWidth="1"/>
    <col min="226" max="226" width="3.6328125" style="108" bestFit="1" customWidth="1"/>
    <col min="227" max="227" width="55.6328125" style="108" bestFit="1" customWidth="1"/>
    <col min="228" max="228" width="5" style="108" bestFit="1" customWidth="1"/>
    <col min="229" max="229" width="11.26953125" style="108" bestFit="1" customWidth="1"/>
    <col min="230" max="230" width="13.26953125" style="108" bestFit="1" customWidth="1"/>
    <col min="231" max="231" width="7.08984375" style="108" customWidth="1"/>
    <col min="232" max="232" width="10.08984375" style="108" bestFit="1" customWidth="1"/>
    <col min="233" max="233" width="14.36328125" style="108" bestFit="1" customWidth="1"/>
    <col min="234" max="234" width="8.81640625" style="108" bestFit="1" customWidth="1"/>
    <col min="235" max="235" width="7.6328125" style="108" bestFit="1" customWidth="1"/>
    <col min="236" max="236" width="19" style="108" bestFit="1" customWidth="1"/>
    <col min="237" max="475" width="9.08984375" style="108"/>
    <col min="476" max="477" width="9.08984375" style="108" customWidth="1"/>
    <col min="478" max="480" width="1.81640625" style="108" bestFit="1" customWidth="1"/>
    <col min="481" max="481" width="2.7265625" style="108" bestFit="1" customWidth="1"/>
    <col min="482" max="482" width="3.6328125" style="108" bestFit="1" customWidth="1"/>
    <col min="483" max="483" width="55.6328125" style="108" bestFit="1" customWidth="1"/>
    <col min="484" max="484" width="5" style="108" bestFit="1" customWidth="1"/>
    <col min="485" max="485" width="11.26953125" style="108" bestFit="1" customWidth="1"/>
    <col min="486" max="486" width="13.26953125" style="108" bestFit="1" customWidth="1"/>
    <col min="487" max="487" width="7.08984375" style="108" customWidth="1"/>
    <col min="488" max="488" width="10.08984375" style="108" bestFit="1" customWidth="1"/>
    <col min="489" max="489" width="14.36328125" style="108" bestFit="1" customWidth="1"/>
    <col min="490" max="490" width="8.81640625" style="108" bestFit="1" customWidth="1"/>
    <col min="491" max="491" width="7.6328125" style="108" bestFit="1" customWidth="1"/>
    <col min="492" max="492" width="19" style="108" bestFit="1" customWidth="1"/>
    <col min="493" max="731" width="9.08984375" style="108"/>
    <col min="732" max="733" width="9.08984375" style="108" customWidth="1"/>
    <col min="734" max="736" width="1.81640625" style="108" bestFit="1" customWidth="1"/>
    <col min="737" max="737" width="2.7265625" style="108" bestFit="1" customWidth="1"/>
    <col min="738" max="738" width="3.6328125" style="108" bestFit="1" customWidth="1"/>
    <col min="739" max="739" width="55.6328125" style="108" bestFit="1" customWidth="1"/>
    <col min="740" max="740" width="5" style="108" bestFit="1" customWidth="1"/>
    <col min="741" max="741" width="11.26953125" style="108" bestFit="1" customWidth="1"/>
    <col min="742" max="742" width="13.26953125" style="108" bestFit="1" customWidth="1"/>
    <col min="743" max="743" width="7.08984375" style="108" customWidth="1"/>
    <col min="744" max="744" width="10.08984375" style="108" bestFit="1" customWidth="1"/>
    <col min="745" max="745" width="14.36328125" style="108" bestFit="1" customWidth="1"/>
    <col min="746" max="746" width="8.81640625" style="108" bestFit="1" customWidth="1"/>
    <col min="747" max="747" width="7.6328125" style="108" bestFit="1" customWidth="1"/>
    <col min="748" max="748" width="19" style="108" bestFit="1" customWidth="1"/>
    <col min="749" max="987" width="9.08984375" style="108"/>
    <col min="988" max="989" width="9.08984375" style="108" customWidth="1"/>
    <col min="990" max="992" width="1.81640625" style="108" bestFit="1" customWidth="1"/>
    <col min="993" max="993" width="2.7265625" style="108" bestFit="1" customWidth="1"/>
    <col min="994" max="994" width="3.6328125" style="108" bestFit="1" customWidth="1"/>
    <col min="995" max="995" width="55.6328125" style="108" bestFit="1" customWidth="1"/>
    <col min="996" max="996" width="5" style="108" bestFit="1" customWidth="1"/>
    <col min="997" max="997" width="11.26953125" style="108" bestFit="1" customWidth="1"/>
    <col min="998" max="998" width="13.26953125" style="108" bestFit="1" customWidth="1"/>
    <col min="999" max="999" width="7.08984375" style="108" customWidth="1"/>
    <col min="1000" max="1000" width="10.08984375" style="108" bestFit="1" customWidth="1"/>
    <col min="1001" max="1001" width="14.36328125" style="108" bestFit="1" customWidth="1"/>
    <col min="1002" max="1002" width="8.81640625" style="108" bestFit="1" customWidth="1"/>
    <col min="1003" max="1003" width="7.6328125" style="108" bestFit="1" customWidth="1"/>
    <col min="1004" max="1004" width="19" style="108" bestFit="1" customWidth="1"/>
    <col min="1005" max="1243" width="9.08984375" style="108"/>
    <col min="1244" max="1245" width="9.08984375" style="108" customWidth="1"/>
    <col min="1246" max="1248" width="1.81640625" style="108" bestFit="1" customWidth="1"/>
    <col min="1249" max="1249" width="2.7265625" style="108" bestFit="1" customWidth="1"/>
    <col min="1250" max="1250" width="3.6328125" style="108" bestFit="1" customWidth="1"/>
    <col min="1251" max="1251" width="55.6328125" style="108" bestFit="1" customWidth="1"/>
    <col min="1252" max="1252" width="5" style="108" bestFit="1" customWidth="1"/>
    <col min="1253" max="1253" width="11.26953125" style="108" bestFit="1" customWidth="1"/>
    <col min="1254" max="1254" width="13.26953125" style="108" bestFit="1" customWidth="1"/>
    <col min="1255" max="1255" width="7.08984375" style="108" customWidth="1"/>
    <col min="1256" max="1256" width="10.08984375" style="108" bestFit="1" customWidth="1"/>
    <col min="1257" max="1257" width="14.36328125" style="108" bestFit="1" customWidth="1"/>
    <col min="1258" max="1258" width="8.81640625" style="108" bestFit="1" customWidth="1"/>
    <col min="1259" max="1259" width="7.6328125" style="108" bestFit="1" customWidth="1"/>
    <col min="1260" max="1260" width="19" style="108" bestFit="1" customWidth="1"/>
    <col min="1261" max="1499" width="9.08984375" style="108"/>
    <col min="1500" max="1501" width="9.08984375" style="108" customWidth="1"/>
    <col min="1502" max="1504" width="1.81640625" style="108" bestFit="1" customWidth="1"/>
    <col min="1505" max="1505" width="2.7265625" style="108" bestFit="1" customWidth="1"/>
    <col min="1506" max="1506" width="3.6328125" style="108" bestFit="1" customWidth="1"/>
    <col min="1507" max="1507" width="55.6328125" style="108" bestFit="1" customWidth="1"/>
    <col min="1508" max="1508" width="5" style="108" bestFit="1" customWidth="1"/>
    <col min="1509" max="1509" width="11.26953125" style="108" bestFit="1" customWidth="1"/>
    <col min="1510" max="1510" width="13.26953125" style="108" bestFit="1" customWidth="1"/>
    <col min="1511" max="1511" width="7.08984375" style="108" customWidth="1"/>
    <col min="1512" max="1512" width="10.08984375" style="108" bestFit="1" customWidth="1"/>
    <col min="1513" max="1513" width="14.36328125" style="108" bestFit="1" customWidth="1"/>
    <col min="1514" max="1514" width="8.81640625" style="108" bestFit="1" customWidth="1"/>
    <col min="1515" max="1515" width="7.6328125" style="108" bestFit="1" customWidth="1"/>
    <col min="1516" max="1516" width="19" style="108" bestFit="1" customWidth="1"/>
    <col min="1517" max="1755" width="9.08984375" style="108"/>
    <col min="1756" max="1757" width="9.08984375" style="108" customWidth="1"/>
    <col min="1758" max="1760" width="1.81640625" style="108" bestFit="1" customWidth="1"/>
    <col min="1761" max="1761" width="2.7265625" style="108" bestFit="1" customWidth="1"/>
    <col min="1762" max="1762" width="3.6328125" style="108" bestFit="1" customWidth="1"/>
    <col min="1763" max="1763" width="55.6328125" style="108" bestFit="1" customWidth="1"/>
    <col min="1764" max="1764" width="5" style="108" bestFit="1" customWidth="1"/>
    <col min="1765" max="1765" width="11.26953125" style="108" bestFit="1" customWidth="1"/>
    <col min="1766" max="1766" width="13.26953125" style="108" bestFit="1" customWidth="1"/>
    <col min="1767" max="1767" width="7.08984375" style="108" customWidth="1"/>
    <col min="1768" max="1768" width="10.08984375" style="108" bestFit="1" customWidth="1"/>
    <col min="1769" max="1769" width="14.36328125" style="108" bestFit="1" customWidth="1"/>
    <col min="1770" max="1770" width="8.81640625" style="108" bestFit="1" customWidth="1"/>
    <col min="1771" max="1771" width="7.6328125" style="108" bestFit="1" customWidth="1"/>
    <col min="1772" max="1772" width="19" style="108" bestFit="1" customWidth="1"/>
    <col min="1773" max="2011" width="9.08984375" style="108"/>
    <col min="2012" max="2013" width="9.08984375" style="108" customWidth="1"/>
    <col min="2014" max="2016" width="1.81640625" style="108" bestFit="1" customWidth="1"/>
    <col min="2017" max="2017" width="2.7265625" style="108" bestFit="1" customWidth="1"/>
    <col min="2018" max="2018" width="3.6328125" style="108" bestFit="1" customWidth="1"/>
    <col min="2019" max="2019" width="55.6328125" style="108" bestFit="1" customWidth="1"/>
    <col min="2020" max="2020" width="5" style="108" bestFit="1" customWidth="1"/>
    <col min="2021" max="2021" width="11.26953125" style="108" bestFit="1" customWidth="1"/>
    <col min="2022" max="2022" width="13.26953125" style="108" bestFit="1" customWidth="1"/>
    <col min="2023" max="2023" width="7.08984375" style="108" customWidth="1"/>
    <col min="2024" max="2024" width="10.08984375" style="108" bestFit="1" customWidth="1"/>
    <col min="2025" max="2025" width="14.36328125" style="108" bestFit="1" customWidth="1"/>
    <col min="2026" max="2026" width="8.81640625" style="108" bestFit="1" customWidth="1"/>
    <col min="2027" max="2027" width="7.6328125" style="108" bestFit="1" customWidth="1"/>
    <col min="2028" max="2028" width="19" style="108" bestFit="1" customWidth="1"/>
    <col min="2029" max="2267" width="9.08984375" style="108"/>
    <col min="2268" max="2269" width="9.08984375" style="108" customWidth="1"/>
    <col min="2270" max="2272" width="1.81640625" style="108" bestFit="1" customWidth="1"/>
    <col min="2273" max="2273" width="2.7265625" style="108" bestFit="1" customWidth="1"/>
    <col min="2274" max="2274" width="3.6328125" style="108" bestFit="1" customWidth="1"/>
    <col min="2275" max="2275" width="55.6328125" style="108" bestFit="1" customWidth="1"/>
    <col min="2276" max="2276" width="5" style="108" bestFit="1" customWidth="1"/>
    <col min="2277" max="2277" width="11.26953125" style="108" bestFit="1" customWidth="1"/>
    <col min="2278" max="2278" width="13.26953125" style="108" bestFit="1" customWidth="1"/>
    <col min="2279" max="2279" width="7.08984375" style="108" customWidth="1"/>
    <col min="2280" max="2280" width="10.08984375" style="108" bestFit="1" customWidth="1"/>
    <col min="2281" max="2281" width="14.36328125" style="108" bestFit="1" customWidth="1"/>
    <col min="2282" max="2282" width="8.81640625" style="108" bestFit="1" customWidth="1"/>
    <col min="2283" max="2283" width="7.6328125" style="108" bestFit="1" customWidth="1"/>
    <col min="2284" max="2284" width="19" style="108" bestFit="1" customWidth="1"/>
    <col min="2285" max="2523" width="9.08984375" style="108"/>
    <col min="2524" max="2525" width="9.08984375" style="108" customWidth="1"/>
    <col min="2526" max="2528" width="1.81640625" style="108" bestFit="1" customWidth="1"/>
    <col min="2529" max="2529" width="2.7265625" style="108" bestFit="1" customWidth="1"/>
    <col min="2530" max="2530" width="3.6328125" style="108" bestFit="1" customWidth="1"/>
    <col min="2531" max="2531" width="55.6328125" style="108" bestFit="1" customWidth="1"/>
    <col min="2532" max="2532" width="5" style="108" bestFit="1" customWidth="1"/>
    <col min="2533" max="2533" width="11.26953125" style="108" bestFit="1" customWidth="1"/>
    <col min="2534" max="2534" width="13.26953125" style="108" bestFit="1" customWidth="1"/>
    <col min="2535" max="2535" width="7.08984375" style="108" customWidth="1"/>
    <col min="2536" max="2536" width="10.08984375" style="108" bestFit="1" customWidth="1"/>
    <col min="2537" max="2537" width="14.36328125" style="108" bestFit="1" customWidth="1"/>
    <col min="2538" max="2538" width="8.81640625" style="108" bestFit="1" customWidth="1"/>
    <col min="2539" max="2539" width="7.6328125" style="108" bestFit="1" customWidth="1"/>
    <col min="2540" max="2540" width="19" style="108" bestFit="1" customWidth="1"/>
    <col min="2541" max="2779" width="9.08984375" style="108"/>
    <col min="2780" max="2781" width="9.08984375" style="108" customWidth="1"/>
    <col min="2782" max="2784" width="1.81640625" style="108" bestFit="1" customWidth="1"/>
    <col min="2785" max="2785" width="2.7265625" style="108" bestFit="1" customWidth="1"/>
    <col min="2786" max="2786" width="3.6328125" style="108" bestFit="1" customWidth="1"/>
    <col min="2787" max="2787" width="55.6328125" style="108" bestFit="1" customWidth="1"/>
    <col min="2788" max="2788" width="5" style="108" bestFit="1" customWidth="1"/>
    <col min="2789" max="2789" width="11.26953125" style="108" bestFit="1" customWidth="1"/>
    <col min="2790" max="2790" width="13.26953125" style="108" bestFit="1" customWidth="1"/>
    <col min="2791" max="2791" width="7.08984375" style="108" customWidth="1"/>
    <col min="2792" max="2792" width="10.08984375" style="108" bestFit="1" customWidth="1"/>
    <col min="2793" max="2793" width="14.36328125" style="108" bestFit="1" customWidth="1"/>
    <col min="2794" max="2794" width="8.81640625" style="108" bestFit="1" customWidth="1"/>
    <col min="2795" max="2795" width="7.6328125" style="108" bestFit="1" customWidth="1"/>
    <col min="2796" max="2796" width="19" style="108" bestFit="1" customWidth="1"/>
    <col min="2797" max="3035" width="9.08984375" style="108"/>
    <col min="3036" max="3037" width="9.08984375" style="108" customWidth="1"/>
    <col min="3038" max="3040" width="1.81640625" style="108" bestFit="1" customWidth="1"/>
    <col min="3041" max="3041" width="2.7265625" style="108" bestFit="1" customWidth="1"/>
    <col min="3042" max="3042" width="3.6328125" style="108" bestFit="1" customWidth="1"/>
    <col min="3043" max="3043" width="55.6328125" style="108" bestFit="1" customWidth="1"/>
    <col min="3044" max="3044" width="5" style="108" bestFit="1" customWidth="1"/>
    <col min="3045" max="3045" width="11.26953125" style="108" bestFit="1" customWidth="1"/>
    <col min="3046" max="3046" width="13.26953125" style="108" bestFit="1" customWidth="1"/>
    <col min="3047" max="3047" width="7.08984375" style="108" customWidth="1"/>
    <col min="3048" max="3048" width="10.08984375" style="108" bestFit="1" customWidth="1"/>
    <col min="3049" max="3049" width="14.36328125" style="108" bestFit="1" customWidth="1"/>
    <col min="3050" max="3050" width="8.81640625" style="108" bestFit="1" customWidth="1"/>
    <col min="3051" max="3051" width="7.6328125" style="108" bestFit="1" customWidth="1"/>
    <col min="3052" max="3052" width="19" style="108" bestFit="1" customWidth="1"/>
    <col min="3053" max="3291" width="9.08984375" style="108"/>
    <col min="3292" max="3293" width="9.08984375" style="108" customWidth="1"/>
    <col min="3294" max="3296" width="1.81640625" style="108" bestFit="1" customWidth="1"/>
    <col min="3297" max="3297" width="2.7265625" style="108" bestFit="1" customWidth="1"/>
    <col min="3298" max="3298" width="3.6328125" style="108" bestFit="1" customWidth="1"/>
    <col min="3299" max="3299" width="55.6328125" style="108" bestFit="1" customWidth="1"/>
    <col min="3300" max="3300" width="5" style="108" bestFit="1" customWidth="1"/>
    <col min="3301" max="3301" width="11.26953125" style="108" bestFit="1" customWidth="1"/>
    <col min="3302" max="3302" width="13.26953125" style="108" bestFit="1" customWidth="1"/>
    <col min="3303" max="3303" width="7.08984375" style="108" customWidth="1"/>
    <col min="3304" max="3304" width="10.08984375" style="108" bestFit="1" customWidth="1"/>
    <col min="3305" max="3305" width="14.36328125" style="108" bestFit="1" customWidth="1"/>
    <col min="3306" max="3306" width="8.81640625" style="108" bestFit="1" customWidth="1"/>
    <col min="3307" max="3307" width="7.6328125" style="108" bestFit="1" customWidth="1"/>
    <col min="3308" max="3308" width="19" style="108" bestFit="1" customWidth="1"/>
    <col min="3309" max="3547" width="9.08984375" style="108"/>
    <col min="3548" max="3549" width="9.08984375" style="108" customWidth="1"/>
    <col min="3550" max="3552" width="1.81640625" style="108" bestFit="1" customWidth="1"/>
    <col min="3553" max="3553" width="2.7265625" style="108" bestFit="1" customWidth="1"/>
    <col min="3554" max="3554" width="3.6328125" style="108" bestFit="1" customWidth="1"/>
    <col min="3555" max="3555" width="55.6328125" style="108" bestFit="1" customWidth="1"/>
    <col min="3556" max="3556" width="5" style="108" bestFit="1" customWidth="1"/>
    <col min="3557" max="3557" width="11.26953125" style="108" bestFit="1" customWidth="1"/>
    <col min="3558" max="3558" width="13.26953125" style="108" bestFit="1" customWidth="1"/>
    <col min="3559" max="3559" width="7.08984375" style="108" customWidth="1"/>
    <col min="3560" max="3560" width="10.08984375" style="108" bestFit="1" customWidth="1"/>
    <col min="3561" max="3561" width="14.36328125" style="108" bestFit="1" customWidth="1"/>
    <col min="3562" max="3562" width="8.81640625" style="108" bestFit="1" customWidth="1"/>
    <col min="3563" max="3563" width="7.6328125" style="108" bestFit="1" customWidth="1"/>
    <col min="3564" max="3564" width="19" style="108" bestFit="1" customWidth="1"/>
    <col min="3565" max="3803" width="9.08984375" style="108"/>
    <col min="3804" max="3805" width="9.08984375" style="108" customWidth="1"/>
    <col min="3806" max="3808" width="1.81640625" style="108" bestFit="1" customWidth="1"/>
    <col min="3809" max="3809" width="2.7265625" style="108" bestFit="1" customWidth="1"/>
    <col min="3810" max="3810" width="3.6328125" style="108" bestFit="1" customWidth="1"/>
    <col min="3811" max="3811" width="55.6328125" style="108" bestFit="1" customWidth="1"/>
    <col min="3812" max="3812" width="5" style="108" bestFit="1" customWidth="1"/>
    <col min="3813" max="3813" width="11.26953125" style="108" bestFit="1" customWidth="1"/>
    <col min="3814" max="3814" width="13.26953125" style="108" bestFit="1" customWidth="1"/>
    <col min="3815" max="3815" width="7.08984375" style="108" customWidth="1"/>
    <col min="3816" max="3816" width="10.08984375" style="108" bestFit="1" customWidth="1"/>
    <col min="3817" max="3817" width="14.36328125" style="108" bestFit="1" customWidth="1"/>
    <col min="3818" max="3818" width="8.81640625" style="108" bestFit="1" customWidth="1"/>
    <col min="3819" max="3819" width="7.6328125" style="108" bestFit="1" customWidth="1"/>
    <col min="3820" max="3820" width="19" style="108" bestFit="1" customWidth="1"/>
    <col min="3821" max="4059" width="9.08984375" style="108"/>
    <col min="4060" max="4061" width="9.08984375" style="108" customWidth="1"/>
    <col min="4062" max="4064" width="1.81640625" style="108" bestFit="1" customWidth="1"/>
    <col min="4065" max="4065" width="2.7265625" style="108" bestFit="1" customWidth="1"/>
    <col min="4066" max="4066" width="3.6328125" style="108" bestFit="1" customWidth="1"/>
    <col min="4067" max="4067" width="55.6328125" style="108" bestFit="1" customWidth="1"/>
    <col min="4068" max="4068" width="5" style="108" bestFit="1" customWidth="1"/>
    <col min="4069" max="4069" width="11.26953125" style="108" bestFit="1" customWidth="1"/>
    <col min="4070" max="4070" width="13.26953125" style="108" bestFit="1" customWidth="1"/>
    <col min="4071" max="4071" width="7.08984375" style="108" customWidth="1"/>
    <col min="4072" max="4072" width="10.08984375" style="108" bestFit="1" customWidth="1"/>
    <col min="4073" max="4073" width="14.36328125" style="108" bestFit="1" customWidth="1"/>
    <col min="4074" max="4074" width="8.81640625" style="108" bestFit="1" customWidth="1"/>
    <col min="4075" max="4075" width="7.6328125" style="108" bestFit="1" customWidth="1"/>
    <col min="4076" max="4076" width="19" style="108" bestFit="1" customWidth="1"/>
    <col min="4077" max="4315" width="9.08984375" style="108"/>
    <col min="4316" max="4317" width="9.08984375" style="108" customWidth="1"/>
    <col min="4318" max="4320" width="1.81640625" style="108" bestFit="1" customWidth="1"/>
    <col min="4321" max="4321" width="2.7265625" style="108" bestFit="1" customWidth="1"/>
    <col min="4322" max="4322" width="3.6328125" style="108" bestFit="1" customWidth="1"/>
    <col min="4323" max="4323" width="55.6328125" style="108" bestFit="1" customWidth="1"/>
    <col min="4324" max="4324" width="5" style="108" bestFit="1" customWidth="1"/>
    <col min="4325" max="4325" width="11.26953125" style="108" bestFit="1" customWidth="1"/>
    <col min="4326" max="4326" width="13.26953125" style="108" bestFit="1" customWidth="1"/>
    <col min="4327" max="4327" width="7.08984375" style="108" customWidth="1"/>
    <col min="4328" max="4328" width="10.08984375" style="108" bestFit="1" customWidth="1"/>
    <col min="4329" max="4329" width="14.36328125" style="108" bestFit="1" customWidth="1"/>
    <col min="4330" max="4330" width="8.81640625" style="108" bestFit="1" customWidth="1"/>
    <col min="4331" max="4331" width="7.6328125" style="108" bestFit="1" customWidth="1"/>
    <col min="4332" max="4332" width="19" style="108" bestFit="1" customWidth="1"/>
    <col min="4333" max="4571" width="9.08984375" style="108"/>
    <col min="4572" max="4573" width="9.08984375" style="108" customWidth="1"/>
    <col min="4574" max="4576" width="1.81640625" style="108" bestFit="1" customWidth="1"/>
    <col min="4577" max="4577" width="2.7265625" style="108" bestFit="1" customWidth="1"/>
    <col min="4578" max="4578" width="3.6328125" style="108" bestFit="1" customWidth="1"/>
    <col min="4579" max="4579" width="55.6328125" style="108" bestFit="1" customWidth="1"/>
    <col min="4580" max="4580" width="5" style="108" bestFit="1" customWidth="1"/>
    <col min="4581" max="4581" width="11.26953125" style="108" bestFit="1" customWidth="1"/>
    <col min="4582" max="4582" width="13.26953125" style="108" bestFit="1" customWidth="1"/>
    <col min="4583" max="4583" width="7.08984375" style="108" customWidth="1"/>
    <col min="4584" max="4584" width="10.08984375" style="108" bestFit="1" customWidth="1"/>
    <col min="4585" max="4585" width="14.36328125" style="108" bestFit="1" customWidth="1"/>
    <col min="4586" max="4586" width="8.81640625" style="108" bestFit="1" customWidth="1"/>
    <col min="4587" max="4587" width="7.6328125" style="108" bestFit="1" customWidth="1"/>
    <col min="4588" max="4588" width="19" style="108" bestFit="1" customWidth="1"/>
    <col min="4589" max="4827" width="9.08984375" style="108"/>
    <col min="4828" max="4829" width="9.08984375" style="108" customWidth="1"/>
    <col min="4830" max="4832" width="1.81640625" style="108" bestFit="1" customWidth="1"/>
    <col min="4833" max="4833" width="2.7265625" style="108" bestFit="1" customWidth="1"/>
    <col min="4834" max="4834" width="3.6328125" style="108" bestFit="1" customWidth="1"/>
    <col min="4835" max="4835" width="55.6328125" style="108" bestFit="1" customWidth="1"/>
    <col min="4836" max="4836" width="5" style="108" bestFit="1" customWidth="1"/>
    <col min="4837" max="4837" width="11.26953125" style="108" bestFit="1" customWidth="1"/>
    <col min="4838" max="4838" width="13.26953125" style="108" bestFit="1" customWidth="1"/>
    <col min="4839" max="4839" width="7.08984375" style="108" customWidth="1"/>
    <col min="4840" max="4840" width="10.08984375" style="108" bestFit="1" customWidth="1"/>
    <col min="4841" max="4841" width="14.36328125" style="108" bestFit="1" customWidth="1"/>
    <col min="4842" max="4842" width="8.81640625" style="108" bestFit="1" customWidth="1"/>
    <col min="4843" max="4843" width="7.6328125" style="108" bestFit="1" customWidth="1"/>
    <col min="4844" max="4844" width="19" style="108" bestFit="1" customWidth="1"/>
    <col min="4845" max="5083" width="9.08984375" style="108"/>
    <col min="5084" max="5085" width="9.08984375" style="108" customWidth="1"/>
    <col min="5086" max="5088" width="1.81640625" style="108" bestFit="1" customWidth="1"/>
    <col min="5089" max="5089" width="2.7265625" style="108" bestFit="1" customWidth="1"/>
    <col min="5090" max="5090" width="3.6328125" style="108" bestFit="1" customWidth="1"/>
    <col min="5091" max="5091" width="55.6328125" style="108" bestFit="1" customWidth="1"/>
    <col min="5092" max="5092" width="5" style="108" bestFit="1" customWidth="1"/>
    <col min="5093" max="5093" width="11.26953125" style="108" bestFit="1" customWidth="1"/>
    <col min="5094" max="5094" width="13.26953125" style="108" bestFit="1" customWidth="1"/>
    <col min="5095" max="5095" width="7.08984375" style="108" customWidth="1"/>
    <col min="5096" max="5096" width="10.08984375" style="108" bestFit="1" customWidth="1"/>
    <col min="5097" max="5097" width="14.36328125" style="108" bestFit="1" customWidth="1"/>
    <col min="5098" max="5098" width="8.81640625" style="108" bestFit="1" customWidth="1"/>
    <col min="5099" max="5099" width="7.6328125" style="108" bestFit="1" customWidth="1"/>
    <col min="5100" max="5100" width="19" style="108" bestFit="1" customWidth="1"/>
    <col min="5101" max="5339" width="9.08984375" style="108"/>
    <col min="5340" max="5341" width="9.08984375" style="108" customWidth="1"/>
    <col min="5342" max="5344" width="1.81640625" style="108" bestFit="1" customWidth="1"/>
    <col min="5345" max="5345" width="2.7265625" style="108" bestFit="1" customWidth="1"/>
    <col min="5346" max="5346" width="3.6328125" style="108" bestFit="1" customWidth="1"/>
    <col min="5347" max="5347" width="55.6328125" style="108" bestFit="1" customWidth="1"/>
    <col min="5348" max="5348" width="5" style="108" bestFit="1" customWidth="1"/>
    <col min="5349" max="5349" width="11.26953125" style="108" bestFit="1" customWidth="1"/>
    <col min="5350" max="5350" width="13.26953125" style="108" bestFit="1" customWidth="1"/>
    <col min="5351" max="5351" width="7.08984375" style="108" customWidth="1"/>
    <col min="5352" max="5352" width="10.08984375" style="108" bestFit="1" customWidth="1"/>
    <col min="5353" max="5353" width="14.36328125" style="108" bestFit="1" customWidth="1"/>
    <col min="5354" max="5354" width="8.81640625" style="108" bestFit="1" customWidth="1"/>
    <col min="5355" max="5355" width="7.6328125" style="108" bestFit="1" customWidth="1"/>
    <col min="5356" max="5356" width="19" style="108" bestFit="1" customWidth="1"/>
    <col min="5357" max="5595" width="9.08984375" style="108"/>
    <col min="5596" max="5597" width="9.08984375" style="108" customWidth="1"/>
    <col min="5598" max="5600" width="1.81640625" style="108" bestFit="1" customWidth="1"/>
    <col min="5601" max="5601" width="2.7265625" style="108" bestFit="1" customWidth="1"/>
    <col min="5602" max="5602" width="3.6328125" style="108" bestFit="1" customWidth="1"/>
    <col min="5603" max="5603" width="55.6328125" style="108" bestFit="1" customWidth="1"/>
    <col min="5604" max="5604" width="5" style="108" bestFit="1" customWidth="1"/>
    <col min="5605" max="5605" width="11.26953125" style="108" bestFit="1" customWidth="1"/>
    <col min="5606" max="5606" width="13.26953125" style="108" bestFit="1" customWidth="1"/>
    <col min="5607" max="5607" width="7.08984375" style="108" customWidth="1"/>
    <col min="5608" max="5608" width="10.08984375" style="108" bestFit="1" customWidth="1"/>
    <col min="5609" max="5609" width="14.36328125" style="108" bestFit="1" customWidth="1"/>
    <col min="5610" max="5610" width="8.81640625" style="108" bestFit="1" customWidth="1"/>
    <col min="5611" max="5611" width="7.6328125" style="108" bestFit="1" customWidth="1"/>
    <col min="5612" max="5612" width="19" style="108" bestFit="1" customWidth="1"/>
    <col min="5613" max="5851" width="9.08984375" style="108"/>
    <col min="5852" max="5853" width="9.08984375" style="108" customWidth="1"/>
    <col min="5854" max="5856" width="1.81640625" style="108" bestFit="1" customWidth="1"/>
    <col min="5857" max="5857" width="2.7265625" style="108" bestFit="1" customWidth="1"/>
    <col min="5858" max="5858" width="3.6328125" style="108" bestFit="1" customWidth="1"/>
    <col min="5859" max="5859" width="55.6328125" style="108" bestFit="1" customWidth="1"/>
    <col min="5860" max="5860" width="5" style="108" bestFit="1" customWidth="1"/>
    <col min="5861" max="5861" width="11.26953125" style="108" bestFit="1" customWidth="1"/>
    <col min="5862" max="5862" width="13.26953125" style="108" bestFit="1" customWidth="1"/>
    <col min="5863" max="5863" width="7.08984375" style="108" customWidth="1"/>
    <col min="5864" max="5864" width="10.08984375" style="108" bestFit="1" customWidth="1"/>
    <col min="5865" max="5865" width="14.36328125" style="108" bestFit="1" customWidth="1"/>
    <col min="5866" max="5866" width="8.81640625" style="108" bestFit="1" customWidth="1"/>
    <col min="5867" max="5867" width="7.6328125" style="108" bestFit="1" customWidth="1"/>
    <col min="5868" max="5868" width="19" style="108" bestFit="1" customWidth="1"/>
    <col min="5869" max="6107" width="9.08984375" style="108"/>
    <col min="6108" max="6109" width="9.08984375" style="108" customWidth="1"/>
    <col min="6110" max="6112" width="1.81640625" style="108" bestFit="1" customWidth="1"/>
    <col min="6113" max="6113" width="2.7265625" style="108" bestFit="1" customWidth="1"/>
    <col min="6114" max="6114" width="3.6328125" style="108" bestFit="1" customWidth="1"/>
    <col min="6115" max="6115" width="55.6328125" style="108" bestFit="1" customWidth="1"/>
    <col min="6116" max="6116" width="5" style="108" bestFit="1" customWidth="1"/>
    <col min="6117" max="6117" width="11.26953125" style="108" bestFit="1" customWidth="1"/>
    <col min="6118" max="6118" width="13.26953125" style="108" bestFit="1" customWidth="1"/>
    <col min="6119" max="6119" width="7.08984375" style="108" customWidth="1"/>
    <col min="6120" max="6120" width="10.08984375" style="108" bestFit="1" customWidth="1"/>
    <col min="6121" max="6121" width="14.36328125" style="108" bestFit="1" customWidth="1"/>
    <col min="6122" max="6122" width="8.81640625" style="108" bestFit="1" customWidth="1"/>
    <col min="6123" max="6123" width="7.6328125" style="108" bestFit="1" customWidth="1"/>
    <col min="6124" max="6124" width="19" style="108" bestFit="1" customWidth="1"/>
    <col min="6125" max="6363" width="9.08984375" style="108"/>
    <col min="6364" max="6365" width="9.08984375" style="108" customWidth="1"/>
    <col min="6366" max="6368" width="1.81640625" style="108" bestFit="1" customWidth="1"/>
    <col min="6369" max="6369" width="2.7265625" style="108" bestFit="1" customWidth="1"/>
    <col min="6370" max="6370" width="3.6328125" style="108" bestFit="1" customWidth="1"/>
    <col min="6371" max="6371" width="55.6328125" style="108" bestFit="1" customWidth="1"/>
    <col min="6372" max="6372" width="5" style="108" bestFit="1" customWidth="1"/>
    <col min="6373" max="6373" width="11.26953125" style="108" bestFit="1" customWidth="1"/>
    <col min="6374" max="6374" width="13.26953125" style="108" bestFit="1" customWidth="1"/>
    <col min="6375" max="6375" width="7.08984375" style="108" customWidth="1"/>
    <col min="6376" max="6376" width="10.08984375" style="108" bestFit="1" customWidth="1"/>
    <col min="6377" max="6377" width="14.36328125" style="108" bestFit="1" customWidth="1"/>
    <col min="6378" max="6378" width="8.81640625" style="108" bestFit="1" customWidth="1"/>
    <col min="6379" max="6379" width="7.6328125" style="108" bestFit="1" customWidth="1"/>
    <col min="6380" max="6380" width="19" style="108" bestFit="1" customWidth="1"/>
    <col min="6381" max="6619" width="9.08984375" style="108"/>
    <col min="6620" max="6621" width="9.08984375" style="108" customWidth="1"/>
    <col min="6622" max="6624" width="1.81640625" style="108" bestFit="1" customWidth="1"/>
    <col min="6625" max="6625" width="2.7265625" style="108" bestFit="1" customWidth="1"/>
    <col min="6626" max="6626" width="3.6328125" style="108" bestFit="1" customWidth="1"/>
    <col min="6627" max="6627" width="55.6328125" style="108" bestFit="1" customWidth="1"/>
    <col min="6628" max="6628" width="5" style="108" bestFit="1" customWidth="1"/>
    <col min="6629" max="6629" width="11.26953125" style="108" bestFit="1" customWidth="1"/>
    <col min="6630" max="6630" width="13.26953125" style="108" bestFit="1" customWidth="1"/>
    <col min="6631" max="6631" width="7.08984375" style="108" customWidth="1"/>
    <col min="6632" max="6632" width="10.08984375" style="108" bestFit="1" customWidth="1"/>
    <col min="6633" max="6633" width="14.36328125" style="108" bestFit="1" customWidth="1"/>
    <col min="6634" max="6634" width="8.81640625" style="108" bestFit="1" customWidth="1"/>
    <col min="6635" max="6635" width="7.6328125" style="108" bestFit="1" customWidth="1"/>
    <col min="6636" max="6636" width="19" style="108" bestFit="1" customWidth="1"/>
    <col min="6637" max="6875" width="9.08984375" style="108"/>
    <col min="6876" max="6877" width="9.08984375" style="108" customWidth="1"/>
    <col min="6878" max="6880" width="1.81640625" style="108" bestFit="1" customWidth="1"/>
    <col min="6881" max="6881" width="2.7265625" style="108" bestFit="1" customWidth="1"/>
    <col min="6882" max="6882" width="3.6328125" style="108" bestFit="1" customWidth="1"/>
    <col min="6883" max="6883" width="55.6328125" style="108" bestFit="1" customWidth="1"/>
    <col min="6884" max="6884" width="5" style="108" bestFit="1" customWidth="1"/>
    <col min="6885" max="6885" width="11.26953125" style="108" bestFit="1" customWidth="1"/>
    <col min="6886" max="6886" width="13.26953125" style="108" bestFit="1" customWidth="1"/>
    <col min="6887" max="6887" width="7.08984375" style="108" customWidth="1"/>
    <col min="6888" max="6888" width="10.08984375" style="108" bestFit="1" customWidth="1"/>
    <col min="6889" max="6889" width="14.36328125" style="108" bestFit="1" customWidth="1"/>
    <col min="6890" max="6890" width="8.81640625" style="108" bestFit="1" customWidth="1"/>
    <col min="6891" max="6891" width="7.6328125" style="108" bestFit="1" customWidth="1"/>
    <col min="6892" max="6892" width="19" style="108" bestFit="1" customWidth="1"/>
    <col min="6893" max="7131" width="9.08984375" style="108"/>
    <col min="7132" max="7133" width="9.08984375" style="108" customWidth="1"/>
    <col min="7134" max="7136" width="1.81640625" style="108" bestFit="1" customWidth="1"/>
    <col min="7137" max="7137" width="2.7265625" style="108" bestFit="1" customWidth="1"/>
    <col min="7138" max="7138" width="3.6328125" style="108" bestFit="1" customWidth="1"/>
    <col min="7139" max="7139" width="55.6328125" style="108" bestFit="1" customWidth="1"/>
    <col min="7140" max="7140" width="5" style="108" bestFit="1" customWidth="1"/>
    <col min="7141" max="7141" width="11.26953125" style="108" bestFit="1" customWidth="1"/>
    <col min="7142" max="7142" width="13.26953125" style="108" bestFit="1" customWidth="1"/>
    <col min="7143" max="7143" width="7.08984375" style="108" customWidth="1"/>
    <col min="7144" max="7144" width="10.08984375" style="108" bestFit="1" customWidth="1"/>
    <col min="7145" max="7145" width="14.36328125" style="108" bestFit="1" customWidth="1"/>
    <col min="7146" max="7146" width="8.81640625" style="108" bestFit="1" customWidth="1"/>
    <col min="7147" max="7147" width="7.6328125" style="108" bestFit="1" customWidth="1"/>
    <col min="7148" max="7148" width="19" style="108" bestFit="1" customWidth="1"/>
    <col min="7149" max="7387" width="9.08984375" style="108"/>
    <col min="7388" max="7389" width="9.08984375" style="108" customWidth="1"/>
    <col min="7390" max="7392" width="1.81640625" style="108" bestFit="1" customWidth="1"/>
    <col min="7393" max="7393" width="2.7265625" style="108" bestFit="1" customWidth="1"/>
    <col min="7394" max="7394" width="3.6328125" style="108" bestFit="1" customWidth="1"/>
    <col min="7395" max="7395" width="55.6328125" style="108" bestFit="1" customWidth="1"/>
    <col min="7396" max="7396" width="5" style="108" bestFit="1" customWidth="1"/>
    <col min="7397" max="7397" width="11.26953125" style="108" bestFit="1" customWidth="1"/>
    <col min="7398" max="7398" width="13.26953125" style="108" bestFit="1" customWidth="1"/>
    <col min="7399" max="7399" width="7.08984375" style="108" customWidth="1"/>
    <col min="7400" max="7400" width="10.08984375" style="108" bestFit="1" customWidth="1"/>
    <col min="7401" max="7401" width="14.36328125" style="108" bestFit="1" customWidth="1"/>
    <col min="7402" max="7402" width="8.81640625" style="108" bestFit="1" customWidth="1"/>
    <col min="7403" max="7403" width="7.6328125" style="108" bestFit="1" customWidth="1"/>
    <col min="7404" max="7404" width="19" style="108" bestFit="1" customWidth="1"/>
    <col min="7405" max="7643" width="9.08984375" style="108"/>
    <col min="7644" max="7645" width="9.08984375" style="108" customWidth="1"/>
    <col min="7646" max="7648" width="1.81640625" style="108" bestFit="1" customWidth="1"/>
    <col min="7649" max="7649" width="2.7265625" style="108" bestFit="1" customWidth="1"/>
    <col min="7650" max="7650" width="3.6328125" style="108" bestFit="1" customWidth="1"/>
    <col min="7651" max="7651" width="55.6328125" style="108" bestFit="1" customWidth="1"/>
    <col min="7652" max="7652" width="5" style="108" bestFit="1" customWidth="1"/>
    <col min="7653" max="7653" width="11.26953125" style="108" bestFit="1" customWidth="1"/>
    <col min="7654" max="7654" width="13.26953125" style="108" bestFit="1" customWidth="1"/>
    <col min="7655" max="7655" width="7.08984375" style="108" customWidth="1"/>
    <col min="7656" max="7656" width="10.08984375" style="108" bestFit="1" customWidth="1"/>
    <col min="7657" max="7657" width="14.36328125" style="108" bestFit="1" customWidth="1"/>
    <col min="7658" max="7658" width="8.81640625" style="108" bestFit="1" customWidth="1"/>
    <col min="7659" max="7659" width="7.6328125" style="108" bestFit="1" customWidth="1"/>
    <col min="7660" max="7660" width="19" style="108" bestFit="1" customWidth="1"/>
    <col min="7661" max="7899" width="9.08984375" style="108"/>
    <col min="7900" max="7901" width="9.08984375" style="108" customWidth="1"/>
    <col min="7902" max="7904" width="1.81640625" style="108" bestFit="1" customWidth="1"/>
    <col min="7905" max="7905" width="2.7265625" style="108" bestFit="1" customWidth="1"/>
    <col min="7906" max="7906" width="3.6328125" style="108" bestFit="1" customWidth="1"/>
    <col min="7907" max="7907" width="55.6328125" style="108" bestFit="1" customWidth="1"/>
    <col min="7908" max="7908" width="5" style="108" bestFit="1" customWidth="1"/>
    <col min="7909" max="7909" width="11.26953125" style="108" bestFit="1" customWidth="1"/>
    <col min="7910" max="7910" width="13.26953125" style="108" bestFit="1" customWidth="1"/>
    <col min="7911" max="7911" width="7.08984375" style="108" customWidth="1"/>
    <col min="7912" max="7912" width="10.08984375" style="108" bestFit="1" customWidth="1"/>
    <col min="7913" max="7913" width="14.36328125" style="108" bestFit="1" customWidth="1"/>
    <col min="7914" max="7914" width="8.81640625" style="108" bestFit="1" customWidth="1"/>
    <col min="7915" max="7915" width="7.6328125" style="108" bestFit="1" customWidth="1"/>
    <col min="7916" max="7916" width="19" style="108" bestFit="1" customWidth="1"/>
    <col min="7917" max="8155" width="9.08984375" style="108"/>
    <col min="8156" max="8157" width="9.08984375" style="108" customWidth="1"/>
    <col min="8158" max="8160" width="1.81640625" style="108" bestFit="1" customWidth="1"/>
    <col min="8161" max="8161" width="2.7265625" style="108" bestFit="1" customWidth="1"/>
    <col min="8162" max="8162" width="3.6328125" style="108" bestFit="1" customWidth="1"/>
    <col min="8163" max="8163" width="55.6328125" style="108" bestFit="1" customWidth="1"/>
    <col min="8164" max="8164" width="5" style="108" bestFit="1" customWidth="1"/>
    <col min="8165" max="8165" width="11.26953125" style="108" bestFit="1" customWidth="1"/>
    <col min="8166" max="8166" width="13.26953125" style="108" bestFit="1" customWidth="1"/>
    <col min="8167" max="8167" width="7.08984375" style="108" customWidth="1"/>
    <col min="8168" max="8168" width="10.08984375" style="108" bestFit="1" customWidth="1"/>
    <col min="8169" max="8169" width="14.36328125" style="108" bestFit="1" customWidth="1"/>
    <col min="8170" max="8170" width="8.81640625" style="108" bestFit="1" customWidth="1"/>
    <col min="8171" max="8171" width="7.6328125" style="108" bestFit="1" customWidth="1"/>
    <col min="8172" max="8172" width="19" style="108" bestFit="1" customWidth="1"/>
    <col min="8173" max="8411" width="9.08984375" style="108"/>
    <col min="8412" max="8413" width="9.08984375" style="108" customWidth="1"/>
    <col min="8414" max="8416" width="1.81640625" style="108" bestFit="1" customWidth="1"/>
    <col min="8417" max="8417" width="2.7265625" style="108" bestFit="1" customWidth="1"/>
    <col min="8418" max="8418" width="3.6328125" style="108" bestFit="1" customWidth="1"/>
    <col min="8419" max="8419" width="55.6328125" style="108" bestFit="1" customWidth="1"/>
    <col min="8420" max="8420" width="5" style="108" bestFit="1" customWidth="1"/>
    <col min="8421" max="8421" width="11.26953125" style="108" bestFit="1" customWidth="1"/>
    <col min="8422" max="8422" width="13.26953125" style="108" bestFit="1" customWidth="1"/>
    <col min="8423" max="8423" width="7.08984375" style="108" customWidth="1"/>
    <col min="8424" max="8424" width="10.08984375" style="108" bestFit="1" customWidth="1"/>
    <col min="8425" max="8425" width="14.36328125" style="108" bestFit="1" customWidth="1"/>
    <col min="8426" max="8426" width="8.81640625" style="108" bestFit="1" customWidth="1"/>
    <col min="8427" max="8427" width="7.6328125" style="108" bestFit="1" customWidth="1"/>
    <col min="8428" max="8428" width="19" style="108" bestFit="1" customWidth="1"/>
    <col min="8429" max="8667" width="9.08984375" style="108"/>
    <col min="8668" max="8669" width="9.08984375" style="108" customWidth="1"/>
    <col min="8670" max="8672" width="1.81640625" style="108" bestFit="1" customWidth="1"/>
    <col min="8673" max="8673" width="2.7265625" style="108" bestFit="1" customWidth="1"/>
    <col min="8674" max="8674" width="3.6328125" style="108" bestFit="1" customWidth="1"/>
    <col min="8675" max="8675" width="55.6328125" style="108" bestFit="1" customWidth="1"/>
    <col min="8676" max="8676" width="5" style="108" bestFit="1" customWidth="1"/>
    <col min="8677" max="8677" width="11.26953125" style="108" bestFit="1" customWidth="1"/>
    <col min="8678" max="8678" width="13.26953125" style="108" bestFit="1" customWidth="1"/>
    <col min="8679" max="8679" width="7.08984375" style="108" customWidth="1"/>
    <col min="8680" max="8680" width="10.08984375" style="108" bestFit="1" customWidth="1"/>
    <col min="8681" max="8681" width="14.36328125" style="108" bestFit="1" customWidth="1"/>
    <col min="8682" max="8682" width="8.81640625" style="108" bestFit="1" customWidth="1"/>
    <col min="8683" max="8683" width="7.6328125" style="108" bestFit="1" customWidth="1"/>
    <col min="8684" max="8684" width="19" style="108" bestFit="1" customWidth="1"/>
    <col min="8685" max="8923" width="9.08984375" style="108"/>
    <col min="8924" max="8925" width="9.08984375" style="108" customWidth="1"/>
    <col min="8926" max="8928" width="1.81640625" style="108" bestFit="1" customWidth="1"/>
    <col min="8929" max="8929" width="2.7265625" style="108" bestFit="1" customWidth="1"/>
    <col min="8930" max="8930" width="3.6328125" style="108" bestFit="1" customWidth="1"/>
    <col min="8931" max="8931" width="55.6328125" style="108" bestFit="1" customWidth="1"/>
    <col min="8932" max="8932" width="5" style="108" bestFit="1" customWidth="1"/>
    <col min="8933" max="8933" width="11.26953125" style="108" bestFit="1" customWidth="1"/>
    <col min="8934" max="8934" width="13.26953125" style="108" bestFit="1" customWidth="1"/>
    <col min="8935" max="8935" width="7.08984375" style="108" customWidth="1"/>
    <col min="8936" max="8936" width="10.08984375" style="108" bestFit="1" customWidth="1"/>
    <col min="8937" max="8937" width="14.36328125" style="108" bestFit="1" customWidth="1"/>
    <col min="8938" max="8938" width="8.81640625" style="108" bestFit="1" customWidth="1"/>
    <col min="8939" max="8939" width="7.6328125" style="108" bestFit="1" customWidth="1"/>
    <col min="8940" max="8940" width="19" style="108" bestFit="1" customWidth="1"/>
    <col min="8941" max="9179" width="9.08984375" style="108"/>
    <col min="9180" max="9181" width="9.08984375" style="108" customWidth="1"/>
    <col min="9182" max="9184" width="1.81640625" style="108" bestFit="1" customWidth="1"/>
    <col min="9185" max="9185" width="2.7265625" style="108" bestFit="1" customWidth="1"/>
    <col min="9186" max="9186" width="3.6328125" style="108" bestFit="1" customWidth="1"/>
    <col min="9187" max="9187" width="55.6328125" style="108" bestFit="1" customWidth="1"/>
    <col min="9188" max="9188" width="5" style="108" bestFit="1" customWidth="1"/>
    <col min="9189" max="9189" width="11.26953125" style="108" bestFit="1" customWidth="1"/>
    <col min="9190" max="9190" width="13.26953125" style="108" bestFit="1" customWidth="1"/>
    <col min="9191" max="9191" width="7.08984375" style="108" customWidth="1"/>
    <col min="9192" max="9192" width="10.08984375" style="108" bestFit="1" customWidth="1"/>
    <col min="9193" max="9193" width="14.36328125" style="108" bestFit="1" customWidth="1"/>
    <col min="9194" max="9194" width="8.81640625" style="108" bestFit="1" customWidth="1"/>
    <col min="9195" max="9195" width="7.6328125" style="108" bestFit="1" customWidth="1"/>
    <col min="9196" max="9196" width="19" style="108" bestFit="1" customWidth="1"/>
    <col min="9197" max="9435" width="9.08984375" style="108"/>
    <col min="9436" max="9437" width="9.08984375" style="108" customWidth="1"/>
    <col min="9438" max="9440" width="1.81640625" style="108" bestFit="1" customWidth="1"/>
    <col min="9441" max="9441" width="2.7265625" style="108" bestFit="1" customWidth="1"/>
    <col min="9442" max="9442" width="3.6328125" style="108" bestFit="1" customWidth="1"/>
    <col min="9443" max="9443" width="55.6328125" style="108" bestFit="1" customWidth="1"/>
    <col min="9444" max="9444" width="5" style="108" bestFit="1" customWidth="1"/>
    <col min="9445" max="9445" width="11.26953125" style="108" bestFit="1" customWidth="1"/>
    <col min="9446" max="9446" width="13.26953125" style="108" bestFit="1" customWidth="1"/>
    <col min="9447" max="9447" width="7.08984375" style="108" customWidth="1"/>
    <col min="9448" max="9448" width="10.08984375" style="108" bestFit="1" customWidth="1"/>
    <col min="9449" max="9449" width="14.36328125" style="108" bestFit="1" customWidth="1"/>
    <col min="9450" max="9450" width="8.81640625" style="108" bestFit="1" customWidth="1"/>
    <col min="9451" max="9451" width="7.6328125" style="108" bestFit="1" customWidth="1"/>
    <col min="9452" max="9452" width="19" style="108" bestFit="1" customWidth="1"/>
    <col min="9453" max="9691" width="9.08984375" style="108"/>
    <col min="9692" max="9693" width="9.08984375" style="108" customWidth="1"/>
    <col min="9694" max="9696" width="1.81640625" style="108" bestFit="1" customWidth="1"/>
    <col min="9697" max="9697" width="2.7265625" style="108" bestFit="1" customWidth="1"/>
    <col min="9698" max="9698" width="3.6328125" style="108" bestFit="1" customWidth="1"/>
    <col min="9699" max="9699" width="55.6328125" style="108" bestFit="1" customWidth="1"/>
    <col min="9700" max="9700" width="5" style="108" bestFit="1" customWidth="1"/>
    <col min="9701" max="9701" width="11.26953125" style="108" bestFit="1" customWidth="1"/>
    <col min="9702" max="9702" width="13.26953125" style="108" bestFit="1" customWidth="1"/>
    <col min="9703" max="9703" width="7.08984375" style="108" customWidth="1"/>
    <col min="9704" max="9704" width="10.08984375" style="108" bestFit="1" customWidth="1"/>
    <col min="9705" max="9705" width="14.36328125" style="108" bestFit="1" customWidth="1"/>
    <col min="9706" max="9706" width="8.81640625" style="108" bestFit="1" customWidth="1"/>
    <col min="9707" max="9707" width="7.6328125" style="108" bestFit="1" customWidth="1"/>
    <col min="9708" max="9708" width="19" style="108" bestFit="1" customWidth="1"/>
    <col min="9709" max="9947" width="9.08984375" style="108"/>
    <col min="9948" max="9949" width="9.08984375" style="108" customWidth="1"/>
    <col min="9950" max="9952" width="1.81640625" style="108" bestFit="1" customWidth="1"/>
    <col min="9953" max="9953" width="2.7265625" style="108" bestFit="1" customWidth="1"/>
    <col min="9954" max="9954" width="3.6328125" style="108" bestFit="1" customWidth="1"/>
    <col min="9955" max="9955" width="55.6328125" style="108" bestFit="1" customWidth="1"/>
    <col min="9956" max="9956" width="5" style="108" bestFit="1" customWidth="1"/>
    <col min="9957" max="9957" width="11.26953125" style="108" bestFit="1" customWidth="1"/>
    <col min="9958" max="9958" width="13.26953125" style="108" bestFit="1" customWidth="1"/>
    <col min="9959" max="9959" width="7.08984375" style="108" customWidth="1"/>
    <col min="9960" max="9960" width="10.08984375" style="108" bestFit="1" customWidth="1"/>
    <col min="9961" max="9961" width="14.36328125" style="108" bestFit="1" customWidth="1"/>
    <col min="9962" max="9962" width="8.81640625" style="108" bestFit="1" customWidth="1"/>
    <col min="9963" max="9963" width="7.6328125" style="108" bestFit="1" customWidth="1"/>
    <col min="9964" max="9964" width="19" style="108" bestFit="1" customWidth="1"/>
    <col min="9965" max="10203" width="9.08984375" style="108"/>
    <col min="10204" max="10205" width="9.08984375" style="108" customWidth="1"/>
    <col min="10206" max="10208" width="1.81640625" style="108" bestFit="1" customWidth="1"/>
    <col min="10209" max="10209" width="2.7265625" style="108" bestFit="1" customWidth="1"/>
    <col min="10210" max="10210" width="3.6328125" style="108" bestFit="1" customWidth="1"/>
    <col min="10211" max="10211" width="55.6328125" style="108" bestFit="1" customWidth="1"/>
    <col min="10212" max="10212" width="5" style="108" bestFit="1" customWidth="1"/>
    <col min="10213" max="10213" width="11.26953125" style="108" bestFit="1" customWidth="1"/>
    <col min="10214" max="10214" width="13.26953125" style="108" bestFit="1" customWidth="1"/>
    <col min="10215" max="10215" width="7.08984375" style="108" customWidth="1"/>
    <col min="10216" max="10216" width="10.08984375" style="108" bestFit="1" customWidth="1"/>
    <col min="10217" max="10217" width="14.36328125" style="108" bestFit="1" customWidth="1"/>
    <col min="10218" max="10218" width="8.81640625" style="108" bestFit="1" customWidth="1"/>
    <col min="10219" max="10219" width="7.6328125" style="108" bestFit="1" customWidth="1"/>
    <col min="10220" max="10220" width="19" style="108" bestFit="1" customWidth="1"/>
    <col min="10221" max="10459" width="9.08984375" style="108"/>
    <col min="10460" max="10461" width="9.08984375" style="108" customWidth="1"/>
    <col min="10462" max="10464" width="1.81640625" style="108" bestFit="1" customWidth="1"/>
    <col min="10465" max="10465" width="2.7265625" style="108" bestFit="1" customWidth="1"/>
    <col min="10466" max="10466" width="3.6328125" style="108" bestFit="1" customWidth="1"/>
    <col min="10467" max="10467" width="55.6328125" style="108" bestFit="1" customWidth="1"/>
    <col min="10468" max="10468" width="5" style="108" bestFit="1" customWidth="1"/>
    <col min="10469" max="10469" width="11.26953125" style="108" bestFit="1" customWidth="1"/>
    <col min="10470" max="10470" width="13.26953125" style="108" bestFit="1" customWidth="1"/>
    <col min="10471" max="10471" width="7.08984375" style="108" customWidth="1"/>
    <col min="10472" max="10472" width="10.08984375" style="108" bestFit="1" customWidth="1"/>
    <col min="10473" max="10473" width="14.36328125" style="108" bestFit="1" customWidth="1"/>
    <col min="10474" max="10474" width="8.81640625" style="108" bestFit="1" customWidth="1"/>
    <col min="10475" max="10475" width="7.6328125" style="108" bestFit="1" customWidth="1"/>
    <col min="10476" max="10476" width="19" style="108" bestFit="1" customWidth="1"/>
    <col min="10477" max="10715" width="9.08984375" style="108"/>
    <col min="10716" max="10717" width="9.08984375" style="108" customWidth="1"/>
    <col min="10718" max="10720" width="1.81640625" style="108" bestFit="1" customWidth="1"/>
    <col min="10721" max="10721" width="2.7265625" style="108" bestFit="1" customWidth="1"/>
    <col min="10722" max="10722" width="3.6328125" style="108" bestFit="1" customWidth="1"/>
    <col min="10723" max="10723" width="55.6328125" style="108" bestFit="1" customWidth="1"/>
    <col min="10724" max="10724" width="5" style="108" bestFit="1" customWidth="1"/>
    <col min="10725" max="10725" width="11.26953125" style="108" bestFit="1" customWidth="1"/>
    <col min="10726" max="10726" width="13.26953125" style="108" bestFit="1" customWidth="1"/>
    <col min="10727" max="10727" width="7.08984375" style="108" customWidth="1"/>
    <col min="10728" max="10728" width="10.08984375" style="108" bestFit="1" customWidth="1"/>
    <col min="10729" max="10729" width="14.36328125" style="108" bestFit="1" customWidth="1"/>
    <col min="10730" max="10730" width="8.81640625" style="108" bestFit="1" customWidth="1"/>
    <col min="10731" max="10731" width="7.6328125" style="108" bestFit="1" customWidth="1"/>
    <col min="10732" max="10732" width="19" style="108" bestFit="1" customWidth="1"/>
    <col min="10733" max="10971" width="9.08984375" style="108"/>
    <col min="10972" max="10973" width="9.08984375" style="108" customWidth="1"/>
    <col min="10974" max="10976" width="1.81640625" style="108" bestFit="1" customWidth="1"/>
    <col min="10977" max="10977" width="2.7265625" style="108" bestFit="1" customWidth="1"/>
    <col min="10978" max="10978" width="3.6328125" style="108" bestFit="1" customWidth="1"/>
    <col min="10979" max="10979" width="55.6328125" style="108" bestFit="1" customWidth="1"/>
    <col min="10980" max="10980" width="5" style="108" bestFit="1" customWidth="1"/>
    <col min="10981" max="10981" width="11.26953125" style="108" bestFit="1" customWidth="1"/>
    <col min="10982" max="10982" width="13.26953125" style="108" bestFit="1" customWidth="1"/>
    <col min="10983" max="10983" width="7.08984375" style="108" customWidth="1"/>
    <col min="10984" max="10984" width="10.08984375" style="108" bestFit="1" customWidth="1"/>
    <col min="10985" max="10985" width="14.36328125" style="108" bestFit="1" customWidth="1"/>
    <col min="10986" max="10986" width="8.81640625" style="108" bestFit="1" customWidth="1"/>
    <col min="10987" max="10987" width="7.6328125" style="108" bestFit="1" customWidth="1"/>
    <col min="10988" max="10988" width="19" style="108" bestFit="1" customWidth="1"/>
    <col min="10989" max="11227" width="9.08984375" style="108"/>
    <col min="11228" max="11229" width="9.08984375" style="108" customWidth="1"/>
    <col min="11230" max="11232" width="1.81640625" style="108" bestFit="1" customWidth="1"/>
    <col min="11233" max="11233" width="2.7265625" style="108" bestFit="1" customWidth="1"/>
    <col min="11234" max="11234" width="3.6328125" style="108" bestFit="1" customWidth="1"/>
    <col min="11235" max="11235" width="55.6328125" style="108" bestFit="1" customWidth="1"/>
    <col min="11236" max="11236" width="5" style="108" bestFit="1" customWidth="1"/>
    <col min="11237" max="11237" width="11.26953125" style="108" bestFit="1" customWidth="1"/>
    <col min="11238" max="11238" width="13.26953125" style="108" bestFit="1" customWidth="1"/>
    <col min="11239" max="11239" width="7.08984375" style="108" customWidth="1"/>
    <col min="11240" max="11240" width="10.08984375" style="108" bestFit="1" customWidth="1"/>
    <col min="11241" max="11241" width="14.36328125" style="108" bestFit="1" customWidth="1"/>
    <col min="11242" max="11242" width="8.81640625" style="108" bestFit="1" customWidth="1"/>
    <col min="11243" max="11243" width="7.6328125" style="108" bestFit="1" customWidth="1"/>
    <col min="11244" max="11244" width="19" style="108" bestFit="1" customWidth="1"/>
    <col min="11245" max="11483" width="9.08984375" style="108"/>
    <col min="11484" max="11485" width="9.08984375" style="108" customWidth="1"/>
    <col min="11486" max="11488" width="1.81640625" style="108" bestFit="1" customWidth="1"/>
    <col min="11489" max="11489" width="2.7265625" style="108" bestFit="1" customWidth="1"/>
    <col min="11490" max="11490" width="3.6328125" style="108" bestFit="1" customWidth="1"/>
    <col min="11491" max="11491" width="55.6328125" style="108" bestFit="1" customWidth="1"/>
    <col min="11492" max="11492" width="5" style="108" bestFit="1" customWidth="1"/>
    <col min="11493" max="11493" width="11.26953125" style="108" bestFit="1" customWidth="1"/>
    <col min="11494" max="11494" width="13.26953125" style="108" bestFit="1" customWidth="1"/>
    <col min="11495" max="11495" width="7.08984375" style="108" customWidth="1"/>
    <col min="11496" max="11496" width="10.08984375" style="108" bestFit="1" customWidth="1"/>
    <col min="11497" max="11497" width="14.36328125" style="108" bestFit="1" customWidth="1"/>
    <col min="11498" max="11498" width="8.81640625" style="108" bestFit="1" customWidth="1"/>
    <col min="11499" max="11499" width="7.6328125" style="108" bestFit="1" customWidth="1"/>
    <col min="11500" max="11500" width="19" style="108" bestFit="1" customWidth="1"/>
    <col min="11501" max="11739" width="9.08984375" style="108"/>
    <col min="11740" max="11741" width="9.08984375" style="108" customWidth="1"/>
    <col min="11742" max="11744" width="1.81640625" style="108" bestFit="1" customWidth="1"/>
    <col min="11745" max="11745" width="2.7265625" style="108" bestFit="1" customWidth="1"/>
    <col min="11746" max="11746" width="3.6328125" style="108" bestFit="1" customWidth="1"/>
    <col min="11747" max="11747" width="55.6328125" style="108" bestFit="1" customWidth="1"/>
    <col min="11748" max="11748" width="5" style="108" bestFit="1" customWidth="1"/>
    <col min="11749" max="11749" width="11.26953125" style="108" bestFit="1" customWidth="1"/>
    <col min="11750" max="11750" width="13.26953125" style="108" bestFit="1" customWidth="1"/>
    <col min="11751" max="11751" width="7.08984375" style="108" customWidth="1"/>
    <col min="11752" max="11752" width="10.08984375" style="108" bestFit="1" customWidth="1"/>
    <col min="11753" max="11753" width="14.36328125" style="108" bestFit="1" customWidth="1"/>
    <col min="11754" max="11754" width="8.81640625" style="108" bestFit="1" customWidth="1"/>
    <col min="11755" max="11755" width="7.6328125" style="108" bestFit="1" customWidth="1"/>
    <col min="11756" max="11756" width="19" style="108" bestFit="1" customWidth="1"/>
    <col min="11757" max="11995" width="9.08984375" style="108"/>
    <col min="11996" max="11997" width="9.08984375" style="108" customWidth="1"/>
    <col min="11998" max="12000" width="1.81640625" style="108" bestFit="1" customWidth="1"/>
    <col min="12001" max="12001" width="2.7265625" style="108" bestFit="1" customWidth="1"/>
    <col min="12002" max="12002" width="3.6328125" style="108" bestFit="1" customWidth="1"/>
    <col min="12003" max="12003" width="55.6328125" style="108" bestFit="1" customWidth="1"/>
    <col min="12004" max="12004" width="5" style="108" bestFit="1" customWidth="1"/>
    <col min="12005" max="12005" width="11.26953125" style="108" bestFit="1" customWidth="1"/>
    <col min="12006" max="12006" width="13.26953125" style="108" bestFit="1" customWidth="1"/>
    <col min="12007" max="12007" width="7.08984375" style="108" customWidth="1"/>
    <col min="12008" max="12008" width="10.08984375" style="108" bestFit="1" customWidth="1"/>
    <col min="12009" max="12009" width="14.36328125" style="108" bestFit="1" customWidth="1"/>
    <col min="12010" max="12010" width="8.81640625" style="108" bestFit="1" customWidth="1"/>
    <col min="12011" max="12011" width="7.6328125" style="108" bestFit="1" customWidth="1"/>
    <col min="12012" max="12012" width="19" style="108" bestFit="1" customWidth="1"/>
    <col min="12013" max="12251" width="9.08984375" style="108"/>
    <col min="12252" max="12253" width="9.08984375" style="108" customWidth="1"/>
    <col min="12254" max="12256" width="1.81640625" style="108" bestFit="1" customWidth="1"/>
    <col min="12257" max="12257" width="2.7265625" style="108" bestFit="1" customWidth="1"/>
    <col min="12258" max="12258" width="3.6328125" style="108" bestFit="1" customWidth="1"/>
    <col min="12259" max="12259" width="55.6328125" style="108" bestFit="1" customWidth="1"/>
    <col min="12260" max="12260" width="5" style="108" bestFit="1" customWidth="1"/>
    <col min="12261" max="12261" width="11.26953125" style="108" bestFit="1" customWidth="1"/>
    <col min="12262" max="12262" width="13.26953125" style="108" bestFit="1" customWidth="1"/>
    <col min="12263" max="12263" width="7.08984375" style="108" customWidth="1"/>
    <col min="12264" max="12264" width="10.08984375" style="108" bestFit="1" customWidth="1"/>
    <col min="12265" max="12265" width="14.36328125" style="108" bestFit="1" customWidth="1"/>
    <col min="12266" max="12266" width="8.81640625" style="108" bestFit="1" customWidth="1"/>
    <col min="12267" max="12267" width="7.6328125" style="108" bestFit="1" customWidth="1"/>
    <col min="12268" max="12268" width="19" style="108" bestFit="1" customWidth="1"/>
    <col min="12269" max="12507" width="9.08984375" style="108"/>
    <col min="12508" max="12509" width="9.08984375" style="108" customWidth="1"/>
    <col min="12510" max="12512" width="1.81640625" style="108" bestFit="1" customWidth="1"/>
    <col min="12513" max="12513" width="2.7265625" style="108" bestFit="1" customWidth="1"/>
    <col min="12514" max="12514" width="3.6328125" style="108" bestFit="1" customWidth="1"/>
    <col min="12515" max="12515" width="55.6328125" style="108" bestFit="1" customWidth="1"/>
    <col min="12516" max="12516" width="5" style="108" bestFit="1" customWidth="1"/>
    <col min="12517" max="12517" width="11.26953125" style="108" bestFit="1" customWidth="1"/>
    <col min="12518" max="12518" width="13.26953125" style="108" bestFit="1" customWidth="1"/>
    <col min="12519" max="12519" width="7.08984375" style="108" customWidth="1"/>
    <col min="12520" max="12520" width="10.08984375" style="108" bestFit="1" customWidth="1"/>
    <col min="12521" max="12521" width="14.36328125" style="108" bestFit="1" customWidth="1"/>
    <col min="12522" max="12522" width="8.81640625" style="108" bestFit="1" customWidth="1"/>
    <col min="12523" max="12523" width="7.6328125" style="108" bestFit="1" customWidth="1"/>
    <col min="12524" max="12524" width="19" style="108" bestFit="1" customWidth="1"/>
    <col min="12525" max="12763" width="9.08984375" style="108"/>
    <col min="12764" max="12765" width="9.08984375" style="108" customWidth="1"/>
    <col min="12766" max="12768" width="1.81640625" style="108" bestFit="1" customWidth="1"/>
    <col min="12769" max="12769" width="2.7265625" style="108" bestFit="1" customWidth="1"/>
    <col min="12770" max="12770" width="3.6328125" style="108" bestFit="1" customWidth="1"/>
    <col min="12771" max="12771" width="55.6328125" style="108" bestFit="1" customWidth="1"/>
    <col min="12772" max="12772" width="5" style="108" bestFit="1" customWidth="1"/>
    <col min="12773" max="12773" width="11.26953125" style="108" bestFit="1" customWidth="1"/>
    <col min="12774" max="12774" width="13.26953125" style="108" bestFit="1" customWidth="1"/>
    <col min="12775" max="12775" width="7.08984375" style="108" customWidth="1"/>
    <col min="12776" max="12776" width="10.08984375" style="108" bestFit="1" customWidth="1"/>
    <col min="12777" max="12777" width="14.36328125" style="108" bestFit="1" customWidth="1"/>
    <col min="12778" max="12778" width="8.81640625" style="108" bestFit="1" customWidth="1"/>
    <col min="12779" max="12779" width="7.6328125" style="108" bestFit="1" customWidth="1"/>
    <col min="12780" max="12780" width="19" style="108" bestFit="1" customWidth="1"/>
    <col min="12781" max="13019" width="9.08984375" style="108"/>
    <col min="13020" max="13021" width="9.08984375" style="108" customWidth="1"/>
    <col min="13022" max="13024" width="1.81640625" style="108" bestFit="1" customWidth="1"/>
    <col min="13025" max="13025" width="2.7265625" style="108" bestFit="1" customWidth="1"/>
    <col min="13026" max="13026" width="3.6328125" style="108" bestFit="1" customWidth="1"/>
    <col min="13027" max="13027" width="55.6328125" style="108" bestFit="1" customWidth="1"/>
    <col min="13028" max="13028" width="5" style="108" bestFit="1" customWidth="1"/>
    <col min="13029" max="13029" width="11.26953125" style="108" bestFit="1" customWidth="1"/>
    <col min="13030" max="13030" width="13.26953125" style="108" bestFit="1" customWidth="1"/>
    <col min="13031" max="13031" width="7.08984375" style="108" customWidth="1"/>
    <col min="13032" max="13032" width="10.08984375" style="108" bestFit="1" customWidth="1"/>
    <col min="13033" max="13033" width="14.36328125" style="108" bestFit="1" customWidth="1"/>
    <col min="13034" max="13034" width="8.81640625" style="108" bestFit="1" customWidth="1"/>
    <col min="13035" max="13035" width="7.6328125" style="108" bestFit="1" customWidth="1"/>
    <col min="13036" max="13036" width="19" style="108" bestFit="1" customWidth="1"/>
    <col min="13037" max="13275" width="9.08984375" style="108"/>
    <col min="13276" max="13277" width="9.08984375" style="108" customWidth="1"/>
    <col min="13278" max="13280" width="1.81640625" style="108" bestFit="1" customWidth="1"/>
    <col min="13281" max="13281" width="2.7265625" style="108" bestFit="1" customWidth="1"/>
    <col min="13282" max="13282" width="3.6328125" style="108" bestFit="1" customWidth="1"/>
    <col min="13283" max="13283" width="55.6328125" style="108" bestFit="1" customWidth="1"/>
    <col min="13284" max="13284" width="5" style="108" bestFit="1" customWidth="1"/>
    <col min="13285" max="13285" width="11.26953125" style="108" bestFit="1" customWidth="1"/>
    <col min="13286" max="13286" width="13.26953125" style="108" bestFit="1" customWidth="1"/>
    <col min="13287" max="13287" width="7.08984375" style="108" customWidth="1"/>
    <col min="13288" max="13288" width="10.08984375" style="108" bestFit="1" customWidth="1"/>
    <col min="13289" max="13289" width="14.36328125" style="108" bestFit="1" customWidth="1"/>
    <col min="13290" max="13290" width="8.81640625" style="108" bestFit="1" customWidth="1"/>
    <col min="13291" max="13291" width="7.6328125" style="108" bestFit="1" customWidth="1"/>
    <col min="13292" max="13292" width="19" style="108" bestFit="1" customWidth="1"/>
    <col min="13293" max="13531" width="9.08984375" style="108"/>
    <col min="13532" max="13533" width="9.08984375" style="108" customWidth="1"/>
    <col min="13534" max="13536" width="1.81640625" style="108" bestFit="1" customWidth="1"/>
    <col min="13537" max="13537" width="2.7265625" style="108" bestFit="1" customWidth="1"/>
    <col min="13538" max="13538" width="3.6328125" style="108" bestFit="1" customWidth="1"/>
    <col min="13539" max="13539" width="55.6328125" style="108" bestFit="1" customWidth="1"/>
    <col min="13540" max="13540" width="5" style="108" bestFit="1" customWidth="1"/>
    <col min="13541" max="13541" width="11.26953125" style="108" bestFit="1" customWidth="1"/>
    <col min="13542" max="13542" width="13.26953125" style="108" bestFit="1" customWidth="1"/>
    <col min="13543" max="13543" width="7.08984375" style="108" customWidth="1"/>
    <col min="13544" max="13544" width="10.08984375" style="108" bestFit="1" customWidth="1"/>
    <col min="13545" max="13545" width="14.36328125" style="108" bestFit="1" customWidth="1"/>
    <col min="13546" max="13546" width="8.81640625" style="108" bestFit="1" customWidth="1"/>
    <col min="13547" max="13547" width="7.6328125" style="108" bestFit="1" customWidth="1"/>
    <col min="13548" max="13548" width="19" style="108" bestFit="1" customWidth="1"/>
    <col min="13549" max="13787" width="9.08984375" style="108"/>
    <col min="13788" max="13789" width="9.08984375" style="108" customWidth="1"/>
    <col min="13790" max="13792" width="1.81640625" style="108" bestFit="1" customWidth="1"/>
    <col min="13793" max="13793" width="2.7265625" style="108" bestFit="1" customWidth="1"/>
    <col min="13794" max="13794" width="3.6328125" style="108" bestFit="1" customWidth="1"/>
    <col min="13795" max="13795" width="55.6328125" style="108" bestFit="1" customWidth="1"/>
    <col min="13796" max="13796" width="5" style="108" bestFit="1" customWidth="1"/>
    <col min="13797" max="13797" width="11.26953125" style="108" bestFit="1" customWidth="1"/>
    <col min="13798" max="13798" width="13.26953125" style="108" bestFit="1" customWidth="1"/>
    <col min="13799" max="13799" width="7.08984375" style="108" customWidth="1"/>
    <col min="13800" max="13800" width="10.08984375" style="108" bestFit="1" customWidth="1"/>
    <col min="13801" max="13801" width="14.36328125" style="108" bestFit="1" customWidth="1"/>
    <col min="13802" max="13802" width="8.81640625" style="108" bestFit="1" customWidth="1"/>
    <col min="13803" max="13803" width="7.6328125" style="108" bestFit="1" customWidth="1"/>
    <col min="13804" max="13804" width="19" style="108" bestFit="1" customWidth="1"/>
    <col min="13805" max="14043" width="9.08984375" style="108"/>
    <col min="14044" max="14045" width="9.08984375" style="108" customWidth="1"/>
    <col min="14046" max="14048" width="1.81640625" style="108" bestFit="1" customWidth="1"/>
    <col min="14049" max="14049" width="2.7265625" style="108" bestFit="1" customWidth="1"/>
    <col min="14050" max="14050" width="3.6328125" style="108" bestFit="1" customWidth="1"/>
    <col min="14051" max="14051" width="55.6328125" style="108" bestFit="1" customWidth="1"/>
    <col min="14052" max="14052" width="5" style="108" bestFit="1" customWidth="1"/>
    <col min="14053" max="14053" width="11.26953125" style="108" bestFit="1" customWidth="1"/>
    <col min="14054" max="14054" width="13.26953125" style="108" bestFit="1" customWidth="1"/>
    <col min="14055" max="14055" width="7.08984375" style="108" customWidth="1"/>
    <col min="14056" max="14056" width="10.08984375" style="108" bestFit="1" customWidth="1"/>
    <col min="14057" max="14057" width="14.36328125" style="108" bestFit="1" customWidth="1"/>
    <col min="14058" max="14058" width="8.81640625" style="108" bestFit="1" customWidth="1"/>
    <col min="14059" max="14059" width="7.6328125" style="108" bestFit="1" customWidth="1"/>
    <col min="14060" max="14060" width="19" style="108" bestFit="1" customWidth="1"/>
    <col min="14061" max="14299" width="9.08984375" style="108"/>
    <col min="14300" max="14301" width="9.08984375" style="108" customWidth="1"/>
    <col min="14302" max="14304" width="1.81640625" style="108" bestFit="1" customWidth="1"/>
    <col min="14305" max="14305" width="2.7265625" style="108" bestFit="1" customWidth="1"/>
    <col min="14306" max="14306" width="3.6328125" style="108" bestFit="1" customWidth="1"/>
    <col min="14307" max="14307" width="55.6328125" style="108" bestFit="1" customWidth="1"/>
    <col min="14308" max="14308" width="5" style="108" bestFit="1" customWidth="1"/>
    <col min="14309" max="14309" width="11.26953125" style="108" bestFit="1" customWidth="1"/>
    <col min="14310" max="14310" width="13.26953125" style="108" bestFit="1" customWidth="1"/>
    <col min="14311" max="14311" width="7.08984375" style="108" customWidth="1"/>
    <col min="14312" max="14312" width="10.08984375" style="108" bestFit="1" customWidth="1"/>
    <col min="14313" max="14313" width="14.36328125" style="108" bestFit="1" customWidth="1"/>
    <col min="14314" max="14314" width="8.81640625" style="108" bestFit="1" customWidth="1"/>
    <col min="14315" max="14315" width="7.6328125" style="108" bestFit="1" customWidth="1"/>
    <col min="14316" max="14316" width="19" style="108" bestFit="1" customWidth="1"/>
    <col min="14317" max="14555" width="9.08984375" style="108"/>
    <col min="14556" max="14557" width="9.08984375" style="108" customWidth="1"/>
    <col min="14558" max="14560" width="1.81640625" style="108" bestFit="1" customWidth="1"/>
    <col min="14561" max="14561" width="2.7265625" style="108" bestFit="1" customWidth="1"/>
    <col min="14562" max="14562" width="3.6328125" style="108" bestFit="1" customWidth="1"/>
    <col min="14563" max="14563" width="55.6328125" style="108" bestFit="1" customWidth="1"/>
    <col min="14564" max="14564" width="5" style="108" bestFit="1" customWidth="1"/>
    <col min="14565" max="14565" width="11.26953125" style="108" bestFit="1" customWidth="1"/>
    <col min="14566" max="14566" width="13.26953125" style="108" bestFit="1" customWidth="1"/>
    <col min="14567" max="14567" width="7.08984375" style="108" customWidth="1"/>
    <col min="14568" max="14568" width="10.08984375" style="108" bestFit="1" customWidth="1"/>
    <col min="14569" max="14569" width="14.36328125" style="108" bestFit="1" customWidth="1"/>
    <col min="14570" max="14570" width="8.81640625" style="108" bestFit="1" customWidth="1"/>
    <col min="14571" max="14571" width="7.6328125" style="108" bestFit="1" customWidth="1"/>
    <col min="14572" max="14572" width="19" style="108" bestFit="1" customWidth="1"/>
    <col min="14573" max="14811" width="9.08984375" style="108"/>
    <col min="14812" max="14813" width="9.08984375" style="108" customWidth="1"/>
    <col min="14814" max="14816" width="1.81640625" style="108" bestFit="1" customWidth="1"/>
    <col min="14817" max="14817" width="2.7265625" style="108" bestFit="1" customWidth="1"/>
    <col min="14818" max="14818" width="3.6328125" style="108" bestFit="1" customWidth="1"/>
    <col min="14819" max="14819" width="55.6328125" style="108" bestFit="1" customWidth="1"/>
    <col min="14820" max="14820" width="5" style="108" bestFit="1" customWidth="1"/>
    <col min="14821" max="14821" width="11.26953125" style="108" bestFit="1" customWidth="1"/>
    <col min="14822" max="14822" width="13.26953125" style="108" bestFit="1" customWidth="1"/>
    <col min="14823" max="14823" width="7.08984375" style="108" customWidth="1"/>
    <col min="14824" max="14824" width="10.08984375" style="108" bestFit="1" customWidth="1"/>
    <col min="14825" max="14825" width="14.36328125" style="108" bestFit="1" customWidth="1"/>
    <col min="14826" max="14826" width="8.81640625" style="108" bestFit="1" customWidth="1"/>
    <col min="14827" max="14827" width="7.6328125" style="108" bestFit="1" customWidth="1"/>
    <col min="14828" max="14828" width="19" style="108" bestFit="1" customWidth="1"/>
    <col min="14829" max="15067" width="9.08984375" style="108"/>
    <col min="15068" max="15069" width="9.08984375" style="108" customWidth="1"/>
    <col min="15070" max="15072" width="1.81640625" style="108" bestFit="1" customWidth="1"/>
    <col min="15073" max="15073" width="2.7265625" style="108" bestFit="1" customWidth="1"/>
    <col min="15074" max="15074" width="3.6328125" style="108" bestFit="1" customWidth="1"/>
    <col min="15075" max="15075" width="55.6328125" style="108" bestFit="1" customWidth="1"/>
    <col min="15076" max="15076" width="5" style="108" bestFit="1" customWidth="1"/>
    <col min="15077" max="15077" width="11.26953125" style="108" bestFit="1" customWidth="1"/>
    <col min="15078" max="15078" width="13.26953125" style="108" bestFit="1" customWidth="1"/>
    <col min="15079" max="15079" width="7.08984375" style="108" customWidth="1"/>
    <col min="15080" max="15080" width="10.08984375" style="108" bestFit="1" customWidth="1"/>
    <col min="15081" max="15081" width="14.36328125" style="108" bestFit="1" customWidth="1"/>
    <col min="15082" max="15082" width="8.81640625" style="108" bestFit="1" customWidth="1"/>
    <col min="15083" max="15083" width="7.6328125" style="108" bestFit="1" customWidth="1"/>
    <col min="15084" max="15084" width="19" style="108" bestFit="1" customWidth="1"/>
    <col min="15085" max="15323" width="9.08984375" style="108"/>
    <col min="15324" max="15325" width="9.08984375" style="108" customWidth="1"/>
    <col min="15326" max="15328" width="1.81640625" style="108" bestFit="1" customWidth="1"/>
    <col min="15329" max="15329" width="2.7265625" style="108" bestFit="1" customWidth="1"/>
    <col min="15330" max="15330" width="3.6328125" style="108" bestFit="1" customWidth="1"/>
    <col min="15331" max="15331" width="55.6328125" style="108" bestFit="1" customWidth="1"/>
    <col min="15332" max="15332" width="5" style="108" bestFit="1" customWidth="1"/>
    <col min="15333" max="15333" width="11.26953125" style="108" bestFit="1" customWidth="1"/>
    <col min="15334" max="15334" width="13.26953125" style="108" bestFit="1" customWidth="1"/>
    <col min="15335" max="15335" width="7.08984375" style="108" customWidth="1"/>
    <col min="15336" max="15336" width="10.08984375" style="108" bestFit="1" customWidth="1"/>
    <col min="15337" max="15337" width="14.36328125" style="108" bestFit="1" customWidth="1"/>
    <col min="15338" max="15338" width="8.81640625" style="108" bestFit="1" customWidth="1"/>
    <col min="15339" max="15339" width="7.6328125" style="108" bestFit="1" customWidth="1"/>
    <col min="15340" max="15340" width="19" style="108" bestFit="1" customWidth="1"/>
    <col min="15341" max="15579" width="9.08984375" style="108"/>
    <col min="15580" max="15581" width="9.08984375" style="108" customWidth="1"/>
    <col min="15582" max="15584" width="1.81640625" style="108" bestFit="1" customWidth="1"/>
    <col min="15585" max="15585" width="2.7265625" style="108" bestFit="1" customWidth="1"/>
    <col min="15586" max="15586" width="3.6328125" style="108" bestFit="1" customWidth="1"/>
    <col min="15587" max="15587" width="55.6328125" style="108" bestFit="1" customWidth="1"/>
    <col min="15588" max="15588" width="5" style="108" bestFit="1" customWidth="1"/>
    <col min="15589" max="15589" width="11.26953125" style="108" bestFit="1" customWidth="1"/>
    <col min="15590" max="15590" width="13.26953125" style="108" bestFit="1" customWidth="1"/>
    <col min="15591" max="15591" width="7.08984375" style="108" customWidth="1"/>
    <col min="15592" max="15592" width="10.08984375" style="108" bestFit="1" customWidth="1"/>
    <col min="15593" max="15593" width="14.36328125" style="108" bestFit="1" customWidth="1"/>
    <col min="15594" max="15594" width="8.81640625" style="108" bestFit="1" customWidth="1"/>
    <col min="15595" max="15595" width="7.6328125" style="108" bestFit="1" customWidth="1"/>
    <col min="15596" max="15596" width="19" style="108" bestFit="1" customWidth="1"/>
    <col min="15597" max="15835" width="9.08984375" style="108"/>
    <col min="15836" max="15837" width="9.08984375" style="108" customWidth="1"/>
    <col min="15838" max="15840" width="1.81640625" style="108" bestFit="1" customWidth="1"/>
    <col min="15841" max="15841" width="2.7265625" style="108" bestFit="1" customWidth="1"/>
    <col min="15842" max="15842" width="3.6328125" style="108" bestFit="1" customWidth="1"/>
    <col min="15843" max="15843" width="55.6328125" style="108" bestFit="1" customWidth="1"/>
    <col min="15844" max="15844" width="5" style="108" bestFit="1" customWidth="1"/>
    <col min="15845" max="15845" width="11.26953125" style="108" bestFit="1" customWidth="1"/>
    <col min="15846" max="15846" width="13.26953125" style="108" bestFit="1" customWidth="1"/>
    <col min="15847" max="15847" width="7.08984375" style="108" customWidth="1"/>
    <col min="15848" max="15848" width="10.08984375" style="108" bestFit="1" customWidth="1"/>
    <col min="15849" max="15849" width="14.36328125" style="108" bestFit="1" customWidth="1"/>
    <col min="15850" max="15850" width="8.81640625" style="108" bestFit="1" customWidth="1"/>
    <col min="15851" max="15851" width="7.6328125" style="108" bestFit="1" customWidth="1"/>
    <col min="15852" max="15852" width="19" style="108" bestFit="1" customWidth="1"/>
    <col min="15853" max="16091" width="9.08984375" style="108"/>
    <col min="16092" max="16093" width="9.08984375" style="108" customWidth="1"/>
    <col min="16094" max="16096" width="1.81640625" style="108" bestFit="1" customWidth="1"/>
    <col min="16097" max="16097" width="2.7265625" style="108" bestFit="1" customWidth="1"/>
    <col min="16098" max="16098" width="3.6328125" style="108" bestFit="1" customWidth="1"/>
    <col min="16099" max="16099" width="55.6328125" style="108" bestFit="1" customWidth="1"/>
    <col min="16100" max="16100" width="5" style="108" bestFit="1" customWidth="1"/>
    <col min="16101" max="16101" width="11.26953125" style="108" bestFit="1" customWidth="1"/>
    <col min="16102" max="16102" width="13.26953125" style="108" bestFit="1" customWidth="1"/>
    <col min="16103" max="16103" width="7.08984375" style="108" customWidth="1"/>
    <col min="16104" max="16104" width="10.08984375" style="108" bestFit="1" customWidth="1"/>
    <col min="16105" max="16105" width="14.36328125" style="108" bestFit="1" customWidth="1"/>
    <col min="16106" max="16106" width="8.81640625" style="108" bestFit="1" customWidth="1"/>
    <col min="16107" max="16107" width="7.6328125" style="108" bestFit="1" customWidth="1"/>
    <col min="16108" max="16108" width="19" style="108" bestFit="1" customWidth="1"/>
    <col min="16109" max="16384" width="9.08984375" style="108"/>
  </cols>
  <sheetData>
    <row r="1" spans="1:7" x14ac:dyDescent="0.3">
      <c r="A1" s="356" t="s">
        <v>16</v>
      </c>
      <c r="B1" s="356"/>
      <c r="C1" s="356"/>
      <c r="D1" s="356"/>
      <c r="E1" s="356"/>
      <c r="F1" s="356" t="s">
        <v>17</v>
      </c>
    </row>
    <row r="2" spans="1:7" x14ac:dyDescent="0.3">
      <c r="A2" s="357"/>
      <c r="B2" s="357"/>
      <c r="C2" s="357"/>
      <c r="D2" s="357"/>
      <c r="E2" s="357"/>
      <c r="F2" s="357"/>
    </row>
    <row r="3" spans="1:7" s="233" customFormat="1" x14ac:dyDescent="0.35">
      <c r="A3" s="232"/>
      <c r="B3" s="232"/>
      <c r="C3" s="232"/>
      <c r="D3" s="232"/>
      <c r="E3" s="232"/>
      <c r="F3" s="232"/>
      <c r="G3" s="254"/>
    </row>
    <row r="4" spans="1:7" x14ac:dyDescent="0.3">
      <c r="A4" s="234" t="s">
        <v>20</v>
      </c>
      <c r="B4" s="234"/>
      <c r="C4" s="234"/>
      <c r="D4" s="234"/>
      <c r="E4" s="234"/>
      <c r="F4" s="235" t="s">
        <v>21</v>
      </c>
    </row>
    <row r="5" spans="1:7" x14ac:dyDescent="0.3">
      <c r="A5" s="236" t="s">
        <v>20</v>
      </c>
      <c r="B5" s="236" t="s">
        <v>20</v>
      </c>
      <c r="C5" s="236"/>
      <c r="D5" s="236"/>
      <c r="E5" s="236"/>
      <c r="F5" s="237" t="s">
        <v>24</v>
      </c>
    </row>
    <row r="6" spans="1:7" x14ac:dyDescent="0.3">
      <c r="A6" s="238" t="s">
        <v>20</v>
      </c>
      <c r="B6" s="238" t="s">
        <v>20</v>
      </c>
      <c r="C6" s="239" t="s">
        <v>20</v>
      </c>
      <c r="D6" s="238"/>
      <c r="E6" s="238"/>
      <c r="F6" s="240" t="s">
        <v>25</v>
      </c>
    </row>
    <row r="7" spans="1:7" ht="26" x14ac:dyDescent="0.3">
      <c r="A7" s="241" t="s">
        <v>20</v>
      </c>
      <c r="B7" s="241" t="s">
        <v>20</v>
      </c>
      <c r="C7" s="241">
        <v>1</v>
      </c>
      <c r="D7" s="242" t="s">
        <v>0</v>
      </c>
      <c r="E7" s="241"/>
      <c r="F7" s="243" t="s">
        <v>26</v>
      </c>
      <c r="G7" s="255" t="s">
        <v>1350</v>
      </c>
    </row>
    <row r="8" spans="1:7" x14ac:dyDescent="0.3">
      <c r="A8" s="245" t="s">
        <v>20</v>
      </c>
      <c r="B8" s="245" t="s">
        <v>20</v>
      </c>
      <c r="C8" s="245">
        <v>1</v>
      </c>
      <c r="D8" s="245" t="s">
        <v>0</v>
      </c>
      <c r="E8" s="246" t="s">
        <v>1</v>
      </c>
      <c r="F8" s="247" t="s">
        <v>27</v>
      </c>
      <c r="G8" s="255" t="s">
        <v>1351</v>
      </c>
    </row>
    <row r="9" spans="1:7" x14ac:dyDescent="0.3">
      <c r="A9" s="245" t="s">
        <v>20</v>
      </c>
      <c r="B9" s="245" t="s">
        <v>20</v>
      </c>
      <c r="C9" s="245">
        <v>1</v>
      </c>
      <c r="D9" s="245" t="s">
        <v>0</v>
      </c>
      <c r="E9" s="246" t="s">
        <v>3</v>
      </c>
      <c r="F9" s="247" t="s">
        <v>28</v>
      </c>
      <c r="G9" s="255" t="s">
        <v>1352</v>
      </c>
    </row>
    <row r="10" spans="1:7" x14ac:dyDescent="0.3">
      <c r="A10" s="245" t="s">
        <v>20</v>
      </c>
      <c r="B10" s="245" t="s">
        <v>20</v>
      </c>
      <c r="C10" s="245">
        <v>1</v>
      </c>
      <c r="D10" s="245" t="s">
        <v>0</v>
      </c>
      <c r="E10" s="246" t="s">
        <v>5</v>
      </c>
      <c r="F10" s="247" t="s">
        <v>29</v>
      </c>
      <c r="G10" s="255" t="s">
        <v>1353</v>
      </c>
    </row>
    <row r="11" spans="1:7" x14ac:dyDescent="0.3">
      <c r="A11" s="245" t="s">
        <v>20</v>
      </c>
      <c r="B11" s="245" t="s">
        <v>20</v>
      </c>
      <c r="C11" s="245">
        <v>1</v>
      </c>
      <c r="D11" s="245" t="s">
        <v>0</v>
      </c>
      <c r="E11" s="246" t="s">
        <v>7</v>
      </c>
      <c r="F11" s="247" t="s">
        <v>30</v>
      </c>
      <c r="G11" s="255" t="s">
        <v>1354</v>
      </c>
    </row>
    <row r="12" spans="1:7" x14ac:dyDescent="0.3">
      <c r="A12" s="245" t="s">
        <v>20</v>
      </c>
      <c r="B12" s="245" t="s">
        <v>20</v>
      </c>
      <c r="C12" s="245">
        <v>1</v>
      </c>
      <c r="D12" s="245" t="s">
        <v>0</v>
      </c>
      <c r="E12" s="246" t="s">
        <v>9</v>
      </c>
      <c r="F12" s="247" t="s">
        <v>812</v>
      </c>
      <c r="G12" s="261" t="s">
        <v>1355</v>
      </c>
    </row>
    <row r="13" spans="1:7" x14ac:dyDescent="0.3">
      <c r="A13" s="245" t="s">
        <v>20</v>
      </c>
      <c r="B13" s="245" t="s">
        <v>20</v>
      </c>
      <c r="C13" s="245">
        <v>1</v>
      </c>
      <c r="D13" s="245" t="s">
        <v>0</v>
      </c>
      <c r="E13" s="246" t="s">
        <v>10</v>
      </c>
      <c r="F13" s="247" t="s">
        <v>813</v>
      </c>
      <c r="G13" s="261" t="s">
        <v>1356</v>
      </c>
    </row>
    <row r="14" spans="1:7" x14ac:dyDescent="0.3">
      <c r="A14" s="241" t="s">
        <v>20</v>
      </c>
      <c r="B14" s="241" t="s">
        <v>20</v>
      </c>
      <c r="C14" s="241">
        <v>1</v>
      </c>
      <c r="D14" s="241" t="s">
        <v>2</v>
      </c>
      <c r="E14" s="241"/>
      <c r="F14" s="243" t="s">
        <v>31</v>
      </c>
      <c r="G14" s="255"/>
    </row>
    <row r="15" spans="1:7" x14ac:dyDescent="0.3">
      <c r="A15" s="245" t="s">
        <v>20</v>
      </c>
      <c r="B15" s="245" t="s">
        <v>20</v>
      </c>
      <c r="C15" s="245">
        <v>1</v>
      </c>
      <c r="D15" s="245" t="s">
        <v>2</v>
      </c>
      <c r="E15" s="246" t="s">
        <v>1</v>
      </c>
      <c r="F15" s="247" t="s">
        <v>556</v>
      </c>
      <c r="G15" s="255" t="s">
        <v>1357</v>
      </c>
    </row>
    <row r="16" spans="1:7" x14ac:dyDescent="0.3">
      <c r="A16" s="245" t="s">
        <v>20</v>
      </c>
      <c r="B16" s="245" t="s">
        <v>20</v>
      </c>
      <c r="C16" s="245">
        <v>1</v>
      </c>
      <c r="D16" s="245" t="s">
        <v>2</v>
      </c>
      <c r="E16" s="246" t="s">
        <v>3</v>
      </c>
      <c r="F16" s="247" t="s">
        <v>556</v>
      </c>
      <c r="G16" s="255" t="s">
        <v>1357</v>
      </c>
    </row>
    <row r="17" spans="1:7" x14ac:dyDescent="0.3">
      <c r="A17" s="245" t="s">
        <v>20</v>
      </c>
      <c r="B17" s="245" t="s">
        <v>20</v>
      </c>
      <c r="C17" s="245">
        <v>1</v>
      </c>
      <c r="D17" s="245" t="s">
        <v>2</v>
      </c>
      <c r="E17" s="246" t="s">
        <v>5</v>
      </c>
      <c r="F17" s="247" t="s">
        <v>557</v>
      </c>
      <c r="G17" s="255" t="s">
        <v>1357</v>
      </c>
    </row>
    <row r="18" spans="1:7" x14ac:dyDescent="0.3">
      <c r="A18" s="245" t="s">
        <v>20</v>
      </c>
      <c r="B18" s="245" t="s">
        <v>20</v>
      </c>
      <c r="C18" s="245">
        <v>1</v>
      </c>
      <c r="D18" s="245" t="s">
        <v>2</v>
      </c>
      <c r="E18" s="246" t="s">
        <v>7</v>
      </c>
      <c r="F18" s="247" t="s">
        <v>557</v>
      </c>
      <c r="G18" s="255" t="s">
        <v>1357</v>
      </c>
    </row>
    <row r="19" spans="1:7" x14ac:dyDescent="0.3">
      <c r="A19" s="245" t="s">
        <v>20</v>
      </c>
      <c r="B19" s="245" t="s">
        <v>20</v>
      </c>
      <c r="C19" s="245">
        <v>1</v>
      </c>
      <c r="D19" s="245" t="s">
        <v>2</v>
      </c>
      <c r="E19" s="246" t="s">
        <v>9</v>
      </c>
      <c r="F19" s="247" t="s">
        <v>814</v>
      </c>
      <c r="G19" s="255" t="s">
        <v>1516</v>
      </c>
    </row>
    <row r="20" spans="1:7" x14ac:dyDescent="0.3">
      <c r="A20" s="241" t="s">
        <v>20</v>
      </c>
      <c r="B20" s="241" t="s">
        <v>20</v>
      </c>
      <c r="C20" s="241">
        <v>1</v>
      </c>
      <c r="D20" s="241" t="s">
        <v>4</v>
      </c>
      <c r="E20" s="241"/>
      <c r="F20" s="243" t="s">
        <v>815</v>
      </c>
      <c r="G20" s="255"/>
    </row>
    <row r="21" spans="1:7" x14ac:dyDescent="0.3">
      <c r="A21" s="245" t="s">
        <v>20</v>
      </c>
      <c r="B21" s="245" t="s">
        <v>20</v>
      </c>
      <c r="C21" s="245">
        <v>1</v>
      </c>
      <c r="D21" s="245" t="s">
        <v>4</v>
      </c>
      <c r="E21" s="246" t="s">
        <v>1</v>
      </c>
      <c r="F21" s="247" t="s">
        <v>32</v>
      </c>
      <c r="G21" s="255" t="s">
        <v>1358</v>
      </c>
    </row>
    <row r="22" spans="1:7" x14ac:dyDescent="0.3">
      <c r="A22" s="238" t="s">
        <v>20</v>
      </c>
      <c r="B22" s="238" t="s">
        <v>20</v>
      </c>
      <c r="C22" s="239" t="s">
        <v>33</v>
      </c>
      <c r="D22" s="238"/>
      <c r="E22" s="238"/>
      <c r="F22" s="240" t="s">
        <v>34</v>
      </c>
      <c r="G22" s="255"/>
    </row>
    <row r="23" spans="1:7" x14ac:dyDescent="0.3">
      <c r="A23" s="241" t="s">
        <v>20</v>
      </c>
      <c r="B23" s="241" t="s">
        <v>20</v>
      </c>
      <c r="C23" s="241">
        <v>2</v>
      </c>
      <c r="D23" s="241" t="s">
        <v>0</v>
      </c>
      <c r="E23" s="241"/>
      <c r="F23" s="248" t="s">
        <v>816</v>
      </c>
      <c r="G23" s="255"/>
    </row>
    <row r="24" spans="1:7" x14ac:dyDescent="0.3">
      <c r="A24" s="245" t="s">
        <v>20</v>
      </c>
      <c r="B24" s="245" t="s">
        <v>20</v>
      </c>
      <c r="C24" s="245">
        <v>2</v>
      </c>
      <c r="D24" s="245" t="s">
        <v>0</v>
      </c>
      <c r="E24" s="246" t="s">
        <v>1</v>
      </c>
      <c r="F24" s="247" t="s">
        <v>35</v>
      </c>
      <c r="G24" s="256" t="s">
        <v>1512</v>
      </c>
    </row>
    <row r="25" spans="1:7" x14ac:dyDescent="0.3">
      <c r="A25" s="245" t="s">
        <v>20</v>
      </c>
      <c r="B25" s="245" t="s">
        <v>20</v>
      </c>
      <c r="C25" s="245">
        <v>2</v>
      </c>
      <c r="D25" s="245" t="s">
        <v>0</v>
      </c>
      <c r="E25" s="246" t="s">
        <v>3</v>
      </c>
      <c r="F25" s="247" t="s">
        <v>36</v>
      </c>
      <c r="G25" s="255" t="s">
        <v>1359</v>
      </c>
    </row>
    <row r="26" spans="1:7" x14ac:dyDescent="0.3">
      <c r="A26" s="245" t="s">
        <v>20</v>
      </c>
      <c r="B26" s="245" t="s">
        <v>20</v>
      </c>
      <c r="C26" s="245">
        <v>2</v>
      </c>
      <c r="D26" s="245" t="s">
        <v>0</v>
      </c>
      <c r="E26" s="246" t="s">
        <v>5</v>
      </c>
      <c r="F26" s="247" t="s">
        <v>37</v>
      </c>
      <c r="G26" s="255" t="s">
        <v>1360</v>
      </c>
    </row>
    <row r="27" spans="1:7" x14ac:dyDescent="0.3">
      <c r="A27" s="245" t="s">
        <v>20</v>
      </c>
      <c r="B27" s="245" t="s">
        <v>20</v>
      </c>
      <c r="C27" s="245">
        <v>2</v>
      </c>
      <c r="D27" s="245" t="s">
        <v>0</v>
      </c>
      <c r="E27" s="246" t="s">
        <v>7</v>
      </c>
      <c r="F27" s="247" t="s">
        <v>928</v>
      </c>
      <c r="G27" s="255" t="s">
        <v>1517</v>
      </c>
    </row>
    <row r="28" spans="1:7" x14ac:dyDescent="0.3">
      <c r="A28" s="245" t="s">
        <v>20</v>
      </c>
      <c r="B28" s="245" t="s">
        <v>20</v>
      </c>
      <c r="C28" s="245">
        <v>2</v>
      </c>
      <c r="D28" s="245" t="s">
        <v>0</v>
      </c>
      <c r="E28" s="246" t="s">
        <v>9</v>
      </c>
      <c r="F28" s="247" t="s">
        <v>922</v>
      </c>
      <c r="G28" s="255" t="s">
        <v>1361</v>
      </c>
    </row>
    <row r="29" spans="1:7" x14ac:dyDescent="0.3">
      <c r="A29" s="245" t="s">
        <v>20</v>
      </c>
      <c r="B29" s="245" t="s">
        <v>20</v>
      </c>
      <c r="C29" s="245">
        <v>2</v>
      </c>
      <c r="D29" s="245" t="s">
        <v>0</v>
      </c>
      <c r="E29" s="246" t="s">
        <v>10</v>
      </c>
      <c r="F29" s="247" t="s">
        <v>923</v>
      </c>
      <c r="G29" s="255" t="s">
        <v>1361</v>
      </c>
    </row>
    <row r="30" spans="1:7" x14ac:dyDescent="0.3">
      <c r="A30" s="245" t="s">
        <v>20</v>
      </c>
      <c r="B30" s="245" t="s">
        <v>20</v>
      </c>
      <c r="C30" s="245">
        <v>2</v>
      </c>
      <c r="D30" s="245" t="s">
        <v>0</v>
      </c>
      <c r="E30" s="246" t="s">
        <v>11</v>
      </c>
      <c r="F30" s="247" t="s">
        <v>927</v>
      </c>
      <c r="G30" s="255" t="s">
        <v>1518</v>
      </c>
    </row>
    <row r="31" spans="1:7" x14ac:dyDescent="0.3">
      <c r="A31" s="245" t="s">
        <v>20</v>
      </c>
      <c r="B31" s="245" t="s">
        <v>20</v>
      </c>
      <c r="C31" s="245">
        <v>2</v>
      </c>
      <c r="D31" s="245" t="s">
        <v>0</v>
      </c>
      <c r="E31" s="246" t="s">
        <v>13</v>
      </c>
      <c r="F31" s="247" t="s">
        <v>924</v>
      </c>
      <c r="G31" s="255" t="s">
        <v>1361</v>
      </c>
    </row>
    <row r="32" spans="1:7" x14ac:dyDescent="0.3">
      <c r="A32" s="245" t="s">
        <v>20</v>
      </c>
      <c r="B32" s="245" t="s">
        <v>20</v>
      </c>
      <c r="C32" s="245">
        <v>2</v>
      </c>
      <c r="D32" s="245" t="s">
        <v>0</v>
      </c>
      <c r="E32" s="246" t="s">
        <v>15</v>
      </c>
      <c r="F32" s="247" t="s">
        <v>925</v>
      </c>
      <c r="G32" s="255" t="s">
        <v>1361</v>
      </c>
    </row>
    <row r="33" spans="1:7" x14ac:dyDescent="0.3">
      <c r="A33" s="245" t="s">
        <v>20</v>
      </c>
      <c r="B33" s="245" t="s">
        <v>20</v>
      </c>
      <c r="C33" s="245">
        <v>2</v>
      </c>
      <c r="D33" s="245" t="s">
        <v>0</v>
      </c>
      <c r="E33" s="246" t="s">
        <v>238</v>
      </c>
      <c r="F33" s="247" t="s">
        <v>926</v>
      </c>
      <c r="G33" s="255" t="s">
        <v>1361</v>
      </c>
    </row>
    <row r="34" spans="1:7" x14ac:dyDescent="0.3">
      <c r="A34" s="245" t="s">
        <v>20</v>
      </c>
      <c r="B34" s="245" t="s">
        <v>20</v>
      </c>
      <c r="C34" s="245">
        <v>2</v>
      </c>
      <c r="D34" s="245" t="s">
        <v>0</v>
      </c>
      <c r="E34" s="246" t="s">
        <v>240</v>
      </c>
      <c r="F34" s="247" t="s">
        <v>929</v>
      </c>
      <c r="G34" s="255" t="s">
        <v>1361</v>
      </c>
    </row>
    <row r="35" spans="1:7" x14ac:dyDescent="0.3">
      <c r="A35" s="245" t="s">
        <v>20</v>
      </c>
      <c r="B35" s="245" t="s">
        <v>20</v>
      </c>
      <c r="C35" s="245">
        <v>2</v>
      </c>
      <c r="D35" s="245" t="s">
        <v>0</v>
      </c>
      <c r="E35" s="246" t="s">
        <v>331</v>
      </c>
      <c r="F35" s="247" t="s">
        <v>817</v>
      </c>
      <c r="G35" s="261" t="s">
        <v>1362</v>
      </c>
    </row>
    <row r="36" spans="1:7" x14ac:dyDescent="0.3">
      <c r="A36" s="245" t="s">
        <v>20</v>
      </c>
      <c r="B36" s="245" t="s">
        <v>20</v>
      </c>
      <c r="C36" s="245">
        <v>2</v>
      </c>
      <c r="D36" s="245" t="s">
        <v>0</v>
      </c>
      <c r="E36" s="246" t="s">
        <v>333</v>
      </c>
      <c r="F36" s="247" t="s">
        <v>818</v>
      </c>
      <c r="G36" s="261" t="s">
        <v>1362</v>
      </c>
    </row>
    <row r="37" spans="1:7" x14ac:dyDescent="0.3">
      <c r="A37" s="241" t="s">
        <v>20</v>
      </c>
      <c r="B37" s="241" t="s">
        <v>20</v>
      </c>
      <c r="C37" s="241">
        <v>2</v>
      </c>
      <c r="D37" s="241" t="s">
        <v>4</v>
      </c>
      <c r="E37" s="241"/>
      <c r="F37" s="243" t="s">
        <v>819</v>
      </c>
    </row>
    <row r="38" spans="1:7" x14ac:dyDescent="0.3">
      <c r="A38" s="245" t="s">
        <v>20</v>
      </c>
      <c r="B38" s="245" t="s">
        <v>20</v>
      </c>
      <c r="C38" s="245">
        <v>2</v>
      </c>
      <c r="D38" s="245" t="s">
        <v>4</v>
      </c>
      <c r="E38" s="246" t="s">
        <v>1</v>
      </c>
      <c r="F38" s="247" t="s">
        <v>39</v>
      </c>
      <c r="G38" s="255" t="s">
        <v>1513</v>
      </c>
    </row>
    <row r="39" spans="1:7" x14ac:dyDescent="0.3">
      <c r="A39" s="245" t="s">
        <v>20</v>
      </c>
      <c r="B39" s="245" t="s">
        <v>20</v>
      </c>
      <c r="C39" s="245">
        <v>2</v>
      </c>
      <c r="D39" s="245" t="s">
        <v>4</v>
      </c>
      <c r="E39" s="246" t="s">
        <v>3</v>
      </c>
      <c r="F39" s="247" t="s">
        <v>39</v>
      </c>
      <c r="G39" s="255" t="s">
        <v>1363</v>
      </c>
    </row>
    <row r="40" spans="1:7" x14ac:dyDescent="0.3">
      <c r="A40" s="241" t="s">
        <v>20</v>
      </c>
      <c r="B40" s="241" t="s">
        <v>20</v>
      </c>
      <c r="C40" s="241">
        <v>2</v>
      </c>
      <c r="D40" s="241" t="s">
        <v>6</v>
      </c>
      <c r="E40" s="241"/>
      <c r="F40" s="243" t="s">
        <v>40</v>
      </c>
    </row>
    <row r="41" spans="1:7" x14ac:dyDescent="0.3">
      <c r="A41" s="245" t="s">
        <v>20</v>
      </c>
      <c r="B41" s="245" t="s">
        <v>20</v>
      </c>
      <c r="C41" s="245">
        <v>2</v>
      </c>
      <c r="D41" s="245" t="s">
        <v>6</v>
      </c>
      <c r="E41" s="245" t="s">
        <v>1</v>
      </c>
      <c r="F41" s="247" t="s">
        <v>820</v>
      </c>
      <c r="G41" s="255" t="s">
        <v>1364</v>
      </c>
    </row>
    <row r="42" spans="1:7" x14ac:dyDescent="0.3">
      <c r="A42" s="245" t="s">
        <v>20</v>
      </c>
      <c r="B42" s="245" t="s">
        <v>20</v>
      </c>
      <c r="C42" s="245">
        <v>2</v>
      </c>
      <c r="D42" s="245" t="s">
        <v>6</v>
      </c>
      <c r="E42" s="245" t="s">
        <v>3</v>
      </c>
      <c r="F42" s="249" t="s">
        <v>41</v>
      </c>
      <c r="G42" s="255" t="s">
        <v>1365</v>
      </c>
    </row>
    <row r="43" spans="1:7" ht="26" x14ac:dyDescent="0.3">
      <c r="A43" s="245" t="s">
        <v>20</v>
      </c>
      <c r="B43" s="245" t="s">
        <v>20</v>
      </c>
      <c r="C43" s="245">
        <v>2</v>
      </c>
      <c r="D43" s="245" t="s">
        <v>6</v>
      </c>
      <c r="E43" s="245" t="s">
        <v>5</v>
      </c>
      <c r="F43" s="249" t="s">
        <v>42</v>
      </c>
      <c r="G43" s="255" t="s">
        <v>1514</v>
      </c>
    </row>
    <row r="44" spans="1:7" x14ac:dyDescent="0.3">
      <c r="A44" s="245" t="s">
        <v>20</v>
      </c>
      <c r="B44" s="245" t="s">
        <v>20</v>
      </c>
      <c r="C44" s="245" t="s">
        <v>33</v>
      </c>
      <c r="D44" s="246" t="s">
        <v>6</v>
      </c>
      <c r="E44" s="246" t="s">
        <v>7</v>
      </c>
      <c r="F44" s="249" t="s">
        <v>821</v>
      </c>
      <c r="G44" s="255" t="s">
        <v>1366</v>
      </c>
    </row>
    <row r="45" spans="1:7" x14ac:dyDescent="0.3">
      <c r="A45" s="245" t="s">
        <v>20</v>
      </c>
      <c r="B45" s="245" t="s">
        <v>20</v>
      </c>
      <c r="C45" s="245" t="s">
        <v>33</v>
      </c>
      <c r="D45" s="245" t="s">
        <v>6</v>
      </c>
      <c r="E45" s="245" t="s">
        <v>9</v>
      </c>
      <c r="F45" s="249" t="s">
        <v>113</v>
      </c>
      <c r="G45" s="261" t="s">
        <v>1362</v>
      </c>
    </row>
    <row r="46" spans="1:7" x14ac:dyDescent="0.3">
      <c r="A46" s="245" t="s">
        <v>20</v>
      </c>
      <c r="B46" s="245" t="s">
        <v>20</v>
      </c>
      <c r="C46" s="245">
        <v>2</v>
      </c>
      <c r="D46" s="245" t="s">
        <v>6</v>
      </c>
      <c r="E46" s="245" t="s">
        <v>43</v>
      </c>
      <c r="F46" s="247" t="s">
        <v>578</v>
      </c>
      <c r="G46" s="255" t="s">
        <v>1515</v>
      </c>
    </row>
    <row r="47" spans="1:7" x14ac:dyDescent="0.3">
      <c r="A47" s="238" t="s">
        <v>20</v>
      </c>
      <c r="B47" s="238" t="s">
        <v>20</v>
      </c>
      <c r="C47" s="239" t="s">
        <v>44</v>
      </c>
      <c r="D47" s="238"/>
      <c r="E47" s="238"/>
      <c r="F47" s="240" t="s">
        <v>822</v>
      </c>
    </row>
    <row r="48" spans="1:7" x14ac:dyDescent="0.3">
      <c r="A48" s="241" t="s">
        <v>20</v>
      </c>
      <c r="B48" s="241" t="s">
        <v>20</v>
      </c>
      <c r="C48" s="241">
        <v>3</v>
      </c>
      <c r="D48" s="241" t="s">
        <v>0</v>
      </c>
      <c r="E48" s="241"/>
      <c r="F48" s="250" t="s">
        <v>794</v>
      </c>
    </row>
    <row r="49" spans="1:7" ht="26" x14ac:dyDescent="0.3">
      <c r="A49" s="245" t="s">
        <v>20</v>
      </c>
      <c r="B49" s="245" t="s">
        <v>20</v>
      </c>
      <c r="C49" s="245">
        <v>3</v>
      </c>
      <c r="D49" s="245" t="s">
        <v>0</v>
      </c>
      <c r="E49" s="245" t="s">
        <v>1</v>
      </c>
      <c r="F49" s="247" t="s">
        <v>45</v>
      </c>
      <c r="G49" s="255" t="s">
        <v>1519</v>
      </c>
    </row>
    <row r="50" spans="1:7" ht="26" x14ac:dyDescent="0.3">
      <c r="A50" s="245" t="s">
        <v>20</v>
      </c>
      <c r="B50" s="245" t="s">
        <v>20</v>
      </c>
      <c r="C50" s="245">
        <v>3</v>
      </c>
      <c r="D50" s="245" t="s">
        <v>0</v>
      </c>
      <c r="E50" s="245" t="s">
        <v>3</v>
      </c>
      <c r="F50" s="247" t="s">
        <v>46</v>
      </c>
      <c r="G50" s="255" t="s">
        <v>1519</v>
      </c>
    </row>
    <row r="51" spans="1:7" ht="26" x14ac:dyDescent="0.3">
      <c r="A51" s="245" t="s">
        <v>20</v>
      </c>
      <c r="B51" s="245" t="s">
        <v>20</v>
      </c>
      <c r="C51" s="245">
        <v>3</v>
      </c>
      <c r="D51" s="245" t="s">
        <v>0</v>
      </c>
      <c r="E51" s="245" t="s">
        <v>5</v>
      </c>
      <c r="F51" s="249" t="s">
        <v>563</v>
      </c>
      <c r="G51" s="255" t="s">
        <v>1519</v>
      </c>
    </row>
    <row r="52" spans="1:7" ht="26" x14ac:dyDescent="0.3">
      <c r="A52" s="245" t="s">
        <v>20</v>
      </c>
      <c r="B52" s="245" t="s">
        <v>20</v>
      </c>
      <c r="C52" s="245">
        <v>3</v>
      </c>
      <c r="D52" s="245" t="s">
        <v>0</v>
      </c>
      <c r="E52" s="245" t="s">
        <v>7</v>
      </c>
      <c r="F52" s="249" t="s">
        <v>823</v>
      </c>
      <c r="G52" s="255" t="s">
        <v>1519</v>
      </c>
    </row>
    <row r="53" spans="1:7" ht="26" x14ac:dyDescent="0.3">
      <c r="A53" s="245" t="s">
        <v>20</v>
      </c>
      <c r="B53" s="245" t="s">
        <v>20</v>
      </c>
      <c r="C53" s="245">
        <v>3</v>
      </c>
      <c r="D53" s="245" t="s">
        <v>0</v>
      </c>
      <c r="E53" s="245" t="s">
        <v>9</v>
      </c>
      <c r="F53" s="249" t="s">
        <v>824</v>
      </c>
      <c r="G53" s="255" t="s">
        <v>1519</v>
      </c>
    </row>
    <row r="54" spans="1:7" ht="26" x14ac:dyDescent="0.3">
      <c r="A54" s="245" t="s">
        <v>20</v>
      </c>
      <c r="B54" s="245" t="s">
        <v>20</v>
      </c>
      <c r="C54" s="245">
        <v>3</v>
      </c>
      <c r="D54" s="245" t="s">
        <v>0</v>
      </c>
      <c r="E54" s="245" t="s">
        <v>10</v>
      </c>
      <c r="F54" s="247" t="s">
        <v>825</v>
      </c>
      <c r="G54" s="255" t="s">
        <v>1519</v>
      </c>
    </row>
    <row r="55" spans="1:7" ht="26" x14ac:dyDescent="0.3">
      <c r="A55" s="245" t="s">
        <v>20</v>
      </c>
      <c r="B55" s="245" t="s">
        <v>20</v>
      </c>
      <c r="C55" s="245">
        <v>3</v>
      </c>
      <c r="D55" s="245" t="s">
        <v>0</v>
      </c>
      <c r="E55" s="245" t="s">
        <v>11</v>
      </c>
      <c r="F55" s="247" t="s">
        <v>56</v>
      </c>
      <c r="G55" s="255" t="s">
        <v>1519</v>
      </c>
    </row>
    <row r="56" spans="1:7" ht="26" x14ac:dyDescent="0.3">
      <c r="A56" s="245" t="s">
        <v>20</v>
      </c>
      <c r="B56" s="245" t="s">
        <v>20</v>
      </c>
      <c r="C56" s="245">
        <v>3</v>
      </c>
      <c r="D56" s="245" t="s">
        <v>0</v>
      </c>
      <c r="E56" s="245" t="s">
        <v>13</v>
      </c>
      <c r="F56" s="247" t="s">
        <v>57</v>
      </c>
      <c r="G56" s="255" t="s">
        <v>1519</v>
      </c>
    </row>
    <row r="57" spans="1:7" ht="26" x14ac:dyDescent="0.3">
      <c r="A57" s="245" t="s">
        <v>20</v>
      </c>
      <c r="B57" s="245" t="s">
        <v>20</v>
      </c>
      <c r="C57" s="245">
        <v>3</v>
      </c>
      <c r="D57" s="245" t="s">
        <v>0</v>
      </c>
      <c r="E57" s="245" t="s">
        <v>15</v>
      </c>
      <c r="F57" s="247" t="s">
        <v>55</v>
      </c>
      <c r="G57" s="255" t="s">
        <v>1519</v>
      </c>
    </row>
    <row r="58" spans="1:7" ht="26" x14ac:dyDescent="0.3">
      <c r="A58" s="245" t="s">
        <v>20</v>
      </c>
      <c r="B58" s="245" t="s">
        <v>20</v>
      </c>
      <c r="C58" s="245">
        <v>3</v>
      </c>
      <c r="D58" s="245" t="s">
        <v>0</v>
      </c>
      <c r="E58" s="245" t="s">
        <v>238</v>
      </c>
      <c r="F58" s="247" t="s">
        <v>826</v>
      </c>
      <c r="G58" s="255" t="s">
        <v>1519</v>
      </c>
    </row>
    <row r="59" spans="1:7" ht="26" x14ac:dyDescent="0.3">
      <c r="A59" s="245" t="s">
        <v>20</v>
      </c>
      <c r="B59" s="245" t="s">
        <v>20</v>
      </c>
      <c r="C59" s="245">
        <v>3</v>
      </c>
      <c r="D59" s="245" t="s">
        <v>0</v>
      </c>
      <c r="E59" s="245" t="s">
        <v>240</v>
      </c>
      <c r="F59" s="247" t="s">
        <v>827</v>
      </c>
      <c r="G59" s="255" t="s">
        <v>1519</v>
      </c>
    </row>
    <row r="60" spans="1:7" ht="26" x14ac:dyDescent="0.3">
      <c r="A60" s="245" t="s">
        <v>20</v>
      </c>
      <c r="B60" s="245" t="s">
        <v>20</v>
      </c>
      <c r="C60" s="245">
        <v>3</v>
      </c>
      <c r="D60" s="245" t="s">
        <v>0</v>
      </c>
      <c r="E60" s="245" t="s">
        <v>331</v>
      </c>
      <c r="F60" s="247" t="s">
        <v>828</v>
      </c>
      <c r="G60" s="255" t="s">
        <v>1519</v>
      </c>
    </row>
    <row r="61" spans="1:7" ht="26" x14ac:dyDescent="0.3">
      <c r="A61" s="245" t="s">
        <v>20</v>
      </c>
      <c r="B61" s="245" t="s">
        <v>20</v>
      </c>
      <c r="C61" s="245">
        <v>3</v>
      </c>
      <c r="D61" s="245" t="s">
        <v>0</v>
      </c>
      <c r="E61" s="245" t="s">
        <v>43</v>
      </c>
      <c r="F61" s="247" t="s">
        <v>829</v>
      </c>
      <c r="G61" s="255" t="s">
        <v>1519</v>
      </c>
    </row>
    <row r="62" spans="1:7" x14ac:dyDescent="0.3">
      <c r="A62" s="241" t="s">
        <v>20</v>
      </c>
      <c r="B62" s="241" t="s">
        <v>20</v>
      </c>
      <c r="C62" s="241">
        <v>3</v>
      </c>
      <c r="D62" s="241" t="s">
        <v>2</v>
      </c>
      <c r="E62" s="241"/>
      <c r="F62" s="243" t="s">
        <v>550</v>
      </c>
    </row>
    <row r="63" spans="1:7" ht="26" x14ac:dyDescent="0.3">
      <c r="A63" s="245" t="s">
        <v>20</v>
      </c>
      <c r="B63" s="245" t="s">
        <v>20</v>
      </c>
      <c r="C63" s="245">
        <v>3</v>
      </c>
      <c r="D63" s="245" t="s">
        <v>2</v>
      </c>
      <c r="E63" s="245" t="s">
        <v>1</v>
      </c>
      <c r="F63" s="247" t="s">
        <v>47</v>
      </c>
      <c r="G63" s="255" t="s">
        <v>1520</v>
      </c>
    </row>
    <row r="64" spans="1:7" ht="26" x14ac:dyDescent="0.3">
      <c r="A64" s="245" t="s">
        <v>20</v>
      </c>
      <c r="B64" s="245" t="s">
        <v>20</v>
      </c>
      <c r="C64" s="245">
        <v>3</v>
      </c>
      <c r="D64" s="245" t="s">
        <v>2</v>
      </c>
      <c r="E64" s="245" t="s">
        <v>3</v>
      </c>
      <c r="F64" s="247" t="s">
        <v>48</v>
      </c>
      <c r="G64" s="255" t="s">
        <v>1520</v>
      </c>
    </row>
    <row r="65" spans="1:7" ht="26" x14ac:dyDescent="0.3">
      <c r="A65" s="245" t="s">
        <v>20</v>
      </c>
      <c r="B65" s="245" t="s">
        <v>20</v>
      </c>
      <c r="C65" s="245">
        <v>3</v>
      </c>
      <c r="D65" s="245" t="s">
        <v>2</v>
      </c>
      <c r="E65" s="245" t="s">
        <v>5</v>
      </c>
      <c r="F65" s="247" t="s">
        <v>49</v>
      </c>
      <c r="G65" s="255" t="s">
        <v>1520</v>
      </c>
    </row>
    <row r="66" spans="1:7" ht="26" x14ac:dyDescent="0.3">
      <c r="A66" s="245" t="s">
        <v>20</v>
      </c>
      <c r="B66" s="245" t="s">
        <v>20</v>
      </c>
      <c r="C66" s="245">
        <v>3</v>
      </c>
      <c r="D66" s="245" t="s">
        <v>2</v>
      </c>
      <c r="E66" s="245" t="s">
        <v>7</v>
      </c>
      <c r="F66" s="247" t="s">
        <v>50</v>
      </c>
      <c r="G66" s="255" t="s">
        <v>1520</v>
      </c>
    </row>
    <row r="67" spans="1:7" ht="26" x14ac:dyDescent="0.3">
      <c r="A67" s="245" t="s">
        <v>20</v>
      </c>
      <c r="B67" s="245" t="s">
        <v>20</v>
      </c>
      <c r="C67" s="245">
        <v>3</v>
      </c>
      <c r="D67" s="245" t="s">
        <v>2</v>
      </c>
      <c r="E67" s="245" t="s">
        <v>9</v>
      </c>
      <c r="F67" s="247" t="s">
        <v>51</v>
      </c>
      <c r="G67" s="255" t="s">
        <v>1520</v>
      </c>
    </row>
    <row r="68" spans="1:7" ht="26" x14ac:dyDescent="0.3">
      <c r="A68" s="245" t="s">
        <v>20</v>
      </c>
      <c r="B68" s="245" t="s">
        <v>20</v>
      </c>
      <c r="C68" s="245">
        <v>3</v>
      </c>
      <c r="D68" s="245" t="s">
        <v>2</v>
      </c>
      <c r="E68" s="245" t="s">
        <v>10</v>
      </c>
      <c r="F68" s="247" t="s">
        <v>52</v>
      </c>
      <c r="G68" s="255" t="s">
        <v>1520</v>
      </c>
    </row>
    <row r="69" spans="1:7" ht="26" x14ac:dyDescent="0.3">
      <c r="A69" s="245" t="s">
        <v>20</v>
      </c>
      <c r="B69" s="245" t="s">
        <v>20</v>
      </c>
      <c r="C69" s="245">
        <v>3</v>
      </c>
      <c r="D69" s="245" t="s">
        <v>2</v>
      </c>
      <c r="E69" s="245" t="s">
        <v>11</v>
      </c>
      <c r="F69" s="247" t="s">
        <v>830</v>
      </c>
      <c r="G69" s="255" t="s">
        <v>1520</v>
      </c>
    </row>
    <row r="70" spans="1:7" ht="26" x14ac:dyDescent="0.3">
      <c r="A70" s="245" t="s">
        <v>20</v>
      </c>
      <c r="B70" s="245" t="s">
        <v>20</v>
      </c>
      <c r="C70" s="245">
        <v>3</v>
      </c>
      <c r="D70" s="245" t="s">
        <v>2</v>
      </c>
      <c r="E70" s="245" t="s">
        <v>13</v>
      </c>
      <c r="F70" s="247" t="s">
        <v>53</v>
      </c>
      <c r="G70" s="255" t="s">
        <v>1520</v>
      </c>
    </row>
    <row r="71" spans="1:7" ht="26" x14ac:dyDescent="0.3">
      <c r="A71" s="245" t="s">
        <v>20</v>
      </c>
      <c r="B71" s="245" t="s">
        <v>20</v>
      </c>
      <c r="C71" s="245">
        <v>3</v>
      </c>
      <c r="D71" s="245" t="s">
        <v>2</v>
      </c>
      <c r="E71" s="245" t="s">
        <v>43</v>
      </c>
      <c r="F71" s="247" t="s">
        <v>831</v>
      </c>
      <c r="G71" s="255" t="s">
        <v>1520</v>
      </c>
    </row>
    <row r="72" spans="1:7" x14ac:dyDescent="0.3">
      <c r="A72" s="238" t="s">
        <v>20</v>
      </c>
      <c r="B72" s="238" t="s">
        <v>20</v>
      </c>
      <c r="C72" s="239" t="s">
        <v>54</v>
      </c>
      <c r="D72" s="238"/>
      <c r="E72" s="238"/>
      <c r="F72" s="240" t="s">
        <v>59</v>
      </c>
    </row>
    <row r="73" spans="1:7" x14ac:dyDescent="0.3">
      <c r="A73" s="241" t="s">
        <v>20</v>
      </c>
      <c r="B73" s="241" t="s">
        <v>20</v>
      </c>
      <c r="C73" s="241" t="s">
        <v>54</v>
      </c>
      <c r="D73" s="241" t="s">
        <v>0</v>
      </c>
      <c r="E73" s="241"/>
      <c r="F73" s="243" t="s">
        <v>60</v>
      </c>
    </row>
    <row r="74" spans="1:7" x14ac:dyDescent="0.3">
      <c r="A74" s="245" t="s">
        <v>20</v>
      </c>
      <c r="B74" s="245" t="s">
        <v>20</v>
      </c>
      <c r="C74" s="245" t="s">
        <v>54</v>
      </c>
      <c r="D74" s="245" t="s">
        <v>0</v>
      </c>
      <c r="E74" s="245" t="s">
        <v>1</v>
      </c>
      <c r="F74" s="249" t="s">
        <v>832</v>
      </c>
      <c r="G74" s="262" t="s">
        <v>1521</v>
      </c>
    </row>
    <row r="75" spans="1:7" ht="26" x14ac:dyDescent="0.3">
      <c r="A75" s="245" t="s">
        <v>20</v>
      </c>
      <c r="B75" s="245" t="s">
        <v>20</v>
      </c>
      <c r="C75" s="245" t="s">
        <v>54</v>
      </c>
      <c r="D75" s="245" t="s">
        <v>0</v>
      </c>
      <c r="E75" s="245" t="s">
        <v>3</v>
      </c>
      <c r="F75" s="249" t="s">
        <v>62</v>
      </c>
      <c r="G75" s="255" t="s">
        <v>1367</v>
      </c>
    </row>
    <row r="76" spans="1:7" x14ac:dyDescent="0.3">
      <c r="A76" s="245" t="s">
        <v>20</v>
      </c>
      <c r="B76" s="245" t="s">
        <v>20</v>
      </c>
      <c r="C76" s="245" t="s">
        <v>54</v>
      </c>
      <c r="D76" s="245" t="s">
        <v>0</v>
      </c>
      <c r="E76" s="245" t="s">
        <v>5</v>
      </c>
      <c r="F76" s="249" t="s">
        <v>63</v>
      </c>
      <c r="G76" s="255" t="s">
        <v>1368</v>
      </c>
    </row>
    <row r="77" spans="1:7" x14ac:dyDescent="0.3">
      <c r="A77" s="245" t="s">
        <v>20</v>
      </c>
      <c r="B77" s="245" t="s">
        <v>20</v>
      </c>
      <c r="C77" s="245" t="s">
        <v>54</v>
      </c>
      <c r="D77" s="245" t="s">
        <v>0</v>
      </c>
      <c r="E77" s="245" t="s">
        <v>7</v>
      </c>
      <c r="F77" s="249" t="s">
        <v>64</v>
      </c>
      <c r="G77" s="255" t="s">
        <v>1369</v>
      </c>
    </row>
    <row r="78" spans="1:7" x14ac:dyDescent="0.3">
      <c r="A78" s="245" t="s">
        <v>20</v>
      </c>
      <c r="B78" s="245" t="s">
        <v>20</v>
      </c>
      <c r="C78" s="245" t="s">
        <v>54</v>
      </c>
      <c r="D78" s="245" t="s">
        <v>0</v>
      </c>
      <c r="E78" s="245" t="s">
        <v>9</v>
      </c>
      <c r="F78" s="249" t="s">
        <v>65</v>
      </c>
      <c r="G78" s="255" t="s">
        <v>1370</v>
      </c>
    </row>
    <row r="79" spans="1:7" x14ac:dyDescent="0.3">
      <c r="A79" s="245" t="s">
        <v>20</v>
      </c>
      <c r="B79" s="245" t="s">
        <v>20</v>
      </c>
      <c r="C79" s="245" t="s">
        <v>54</v>
      </c>
      <c r="D79" s="245" t="s">
        <v>0</v>
      </c>
      <c r="E79" s="245" t="s">
        <v>10</v>
      </c>
      <c r="F79" s="249" t="s">
        <v>61</v>
      </c>
      <c r="G79" s="255" t="s">
        <v>1371</v>
      </c>
    </row>
    <row r="80" spans="1:7" x14ac:dyDescent="0.3">
      <c r="A80" s="241" t="s">
        <v>20</v>
      </c>
      <c r="B80" s="241" t="s">
        <v>20</v>
      </c>
      <c r="C80" s="241" t="s">
        <v>54</v>
      </c>
      <c r="D80" s="241" t="s">
        <v>2</v>
      </c>
      <c r="E80" s="241"/>
      <c r="F80" s="243" t="s">
        <v>66</v>
      </c>
    </row>
    <row r="81" spans="1:7" x14ac:dyDescent="0.3">
      <c r="A81" s="245" t="s">
        <v>20</v>
      </c>
      <c r="B81" s="245" t="s">
        <v>20</v>
      </c>
      <c r="C81" s="245" t="s">
        <v>54</v>
      </c>
      <c r="D81" s="245" t="s">
        <v>2</v>
      </c>
      <c r="E81" s="245" t="s">
        <v>1</v>
      </c>
      <c r="F81" s="247" t="s">
        <v>67</v>
      </c>
      <c r="G81" s="255" t="s">
        <v>1522</v>
      </c>
    </row>
    <row r="82" spans="1:7" x14ac:dyDescent="0.3">
      <c r="A82" s="245" t="s">
        <v>20</v>
      </c>
      <c r="B82" s="245" t="s">
        <v>20</v>
      </c>
      <c r="C82" s="245" t="s">
        <v>54</v>
      </c>
      <c r="D82" s="245" t="s">
        <v>2</v>
      </c>
      <c r="E82" s="245" t="s">
        <v>3</v>
      </c>
      <c r="F82" s="247" t="s">
        <v>68</v>
      </c>
      <c r="G82" s="255" t="s">
        <v>1372</v>
      </c>
    </row>
    <row r="83" spans="1:7" x14ac:dyDescent="0.3">
      <c r="A83" s="241" t="s">
        <v>20</v>
      </c>
      <c r="B83" s="241" t="s">
        <v>20</v>
      </c>
      <c r="C83" s="241" t="s">
        <v>54</v>
      </c>
      <c r="D83" s="241" t="s">
        <v>4</v>
      </c>
      <c r="E83" s="241"/>
      <c r="F83" s="243" t="s">
        <v>584</v>
      </c>
    </row>
    <row r="84" spans="1:7" ht="26" x14ac:dyDescent="0.3">
      <c r="A84" s="245" t="s">
        <v>20</v>
      </c>
      <c r="B84" s="245" t="s">
        <v>20</v>
      </c>
      <c r="C84" s="245" t="s">
        <v>54</v>
      </c>
      <c r="D84" s="245" t="s">
        <v>4</v>
      </c>
      <c r="E84" s="245" t="s">
        <v>1</v>
      </c>
      <c r="F84" s="247" t="s">
        <v>913</v>
      </c>
      <c r="G84" s="255" t="s">
        <v>1373</v>
      </c>
    </row>
    <row r="85" spans="1:7" x14ac:dyDescent="0.3">
      <c r="A85" s="245" t="s">
        <v>20</v>
      </c>
      <c r="B85" s="245" t="s">
        <v>20</v>
      </c>
      <c r="C85" s="245" t="s">
        <v>54</v>
      </c>
      <c r="D85" s="245" t="s">
        <v>4</v>
      </c>
      <c r="E85" s="245" t="s">
        <v>3</v>
      </c>
      <c r="F85" s="247" t="s">
        <v>645</v>
      </c>
      <c r="G85" s="255" t="s">
        <v>1551</v>
      </c>
    </row>
    <row r="86" spans="1:7" ht="26" x14ac:dyDescent="0.3">
      <c r="A86" s="245" t="s">
        <v>20</v>
      </c>
      <c r="B86" s="245" t="s">
        <v>20</v>
      </c>
      <c r="C86" s="245" t="s">
        <v>54</v>
      </c>
      <c r="D86" s="245" t="s">
        <v>4</v>
      </c>
      <c r="E86" s="245" t="s">
        <v>5</v>
      </c>
      <c r="F86" s="247" t="s">
        <v>69</v>
      </c>
      <c r="G86" s="255" t="s">
        <v>1374</v>
      </c>
    </row>
    <row r="87" spans="1:7" x14ac:dyDescent="0.3">
      <c r="A87" s="245" t="s">
        <v>20</v>
      </c>
      <c r="B87" s="245" t="s">
        <v>20</v>
      </c>
      <c r="C87" s="245" t="s">
        <v>54</v>
      </c>
      <c r="D87" s="245" t="s">
        <v>4</v>
      </c>
      <c r="E87" s="245" t="s">
        <v>7</v>
      </c>
      <c r="F87" s="247" t="s">
        <v>70</v>
      </c>
      <c r="G87" s="255" t="s">
        <v>1375</v>
      </c>
    </row>
    <row r="88" spans="1:7" x14ac:dyDescent="0.3">
      <c r="A88" s="245" t="s">
        <v>20</v>
      </c>
      <c r="B88" s="245" t="s">
        <v>20</v>
      </c>
      <c r="C88" s="245" t="s">
        <v>54</v>
      </c>
      <c r="D88" s="245" t="s">
        <v>4</v>
      </c>
      <c r="E88" s="245" t="s">
        <v>9</v>
      </c>
      <c r="F88" s="247" t="s">
        <v>71</v>
      </c>
      <c r="G88" s="255" t="s">
        <v>1376</v>
      </c>
    </row>
    <row r="89" spans="1:7" x14ac:dyDescent="0.3">
      <c r="A89" s="245" t="s">
        <v>20</v>
      </c>
      <c r="B89" s="245" t="s">
        <v>20</v>
      </c>
      <c r="C89" s="245" t="s">
        <v>54</v>
      </c>
      <c r="D89" s="245" t="s">
        <v>4</v>
      </c>
      <c r="E89" s="245" t="s">
        <v>10</v>
      </c>
      <c r="F89" s="247" t="s">
        <v>72</v>
      </c>
      <c r="G89" s="255" t="s">
        <v>1377</v>
      </c>
    </row>
    <row r="90" spans="1:7" ht="26" x14ac:dyDescent="0.3">
      <c r="A90" s="245" t="s">
        <v>20</v>
      </c>
      <c r="B90" s="245" t="s">
        <v>20</v>
      </c>
      <c r="C90" s="245" t="s">
        <v>54</v>
      </c>
      <c r="D90" s="245" t="s">
        <v>4</v>
      </c>
      <c r="E90" s="245" t="s">
        <v>11</v>
      </c>
      <c r="F90" s="247" t="s">
        <v>73</v>
      </c>
      <c r="G90" s="255" t="s">
        <v>1378</v>
      </c>
    </row>
    <row r="91" spans="1:7" ht="26" x14ac:dyDescent="0.3">
      <c r="A91" s="245" t="s">
        <v>20</v>
      </c>
      <c r="B91" s="245" t="s">
        <v>20</v>
      </c>
      <c r="C91" s="245" t="s">
        <v>54</v>
      </c>
      <c r="D91" s="245" t="s">
        <v>4</v>
      </c>
      <c r="E91" s="245" t="s">
        <v>13</v>
      </c>
      <c r="F91" s="247" t="s">
        <v>74</v>
      </c>
      <c r="G91" s="255" t="s">
        <v>1379</v>
      </c>
    </row>
    <row r="92" spans="1:7" x14ac:dyDescent="0.3">
      <c r="A92" s="245" t="s">
        <v>20</v>
      </c>
      <c r="B92" s="245" t="s">
        <v>20</v>
      </c>
      <c r="C92" s="245" t="s">
        <v>54</v>
      </c>
      <c r="D92" s="245" t="s">
        <v>4</v>
      </c>
      <c r="E92" s="245" t="s">
        <v>43</v>
      </c>
      <c r="F92" s="247" t="s">
        <v>75</v>
      </c>
      <c r="G92" s="255" t="s">
        <v>1380</v>
      </c>
    </row>
    <row r="93" spans="1:7" x14ac:dyDescent="0.3">
      <c r="A93" s="236" t="s">
        <v>20</v>
      </c>
      <c r="B93" s="236" t="s">
        <v>33</v>
      </c>
      <c r="C93" s="236"/>
      <c r="D93" s="236"/>
      <c r="E93" s="236"/>
      <c r="F93" s="237" t="s">
        <v>76</v>
      </c>
    </row>
    <row r="94" spans="1:7" x14ac:dyDescent="0.3">
      <c r="A94" s="238" t="s">
        <v>20</v>
      </c>
      <c r="B94" s="238" t="s">
        <v>33</v>
      </c>
      <c r="C94" s="239" t="s">
        <v>20</v>
      </c>
      <c r="D94" s="238"/>
      <c r="E94" s="238"/>
      <c r="F94" s="240" t="s">
        <v>833</v>
      </c>
    </row>
    <row r="95" spans="1:7" x14ac:dyDescent="0.3">
      <c r="A95" s="241" t="s">
        <v>20</v>
      </c>
      <c r="B95" s="241" t="s">
        <v>33</v>
      </c>
      <c r="C95" s="241">
        <v>1</v>
      </c>
      <c r="D95" s="241" t="s">
        <v>0</v>
      </c>
      <c r="E95" s="241"/>
      <c r="F95" s="243" t="s">
        <v>834</v>
      </c>
    </row>
    <row r="96" spans="1:7" x14ac:dyDescent="0.3">
      <c r="A96" s="245" t="s">
        <v>20</v>
      </c>
      <c r="B96" s="245" t="s">
        <v>33</v>
      </c>
      <c r="C96" s="245">
        <v>1</v>
      </c>
      <c r="D96" s="245" t="s">
        <v>0</v>
      </c>
      <c r="E96" s="246" t="s">
        <v>1</v>
      </c>
      <c r="F96" s="247" t="s">
        <v>835</v>
      </c>
      <c r="G96" s="255" t="s">
        <v>1381</v>
      </c>
    </row>
    <row r="97" spans="1:7" ht="26" x14ac:dyDescent="0.3">
      <c r="A97" s="245" t="s">
        <v>20</v>
      </c>
      <c r="B97" s="245" t="s">
        <v>33</v>
      </c>
      <c r="C97" s="245">
        <v>1</v>
      </c>
      <c r="D97" s="245" t="s">
        <v>0</v>
      </c>
      <c r="E97" s="246" t="s">
        <v>3</v>
      </c>
      <c r="F97" s="247" t="s">
        <v>78</v>
      </c>
      <c r="G97" s="255" t="s">
        <v>1382</v>
      </c>
    </row>
    <row r="98" spans="1:7" ht="26" x14ac:dyDescent="0.3">
      <c r="A98" s="245" t="s">
        <v>20</v>
      </c>
      <c r="B98" s="245" t="s">
        <v>33</v>
      </c>
      <c r="C98" s="245">
        <v>1</v>
      </c>
      <c r="D98" s="245" t="s">
        <v>0</v>
      </c>
      <c r="E98" s="246" t="s">
        <v>5</v>
      </c>
      <c r="F98" s="247" t="s">
        <v>81</v>
      </c>
      <c r="G98" s="255" t="s">
        <v>1384</v>
      </c>
    </row>
    <row r="99" spans="1:7" ht="26" x14ac:dyDescent="0.3">
      <c r="A99" s="245" t="s">
        <v>20</v>
      </c>
      <c r="B99" s="245" t="s">
        <v>33</v>
      </c>
      <c r="C99" s="245">
        <v>1</v>
      </c>
      <c r="D99" s="245" t="s">
        <v>0</v>
      </c>
      <c r="E99" s="246" t="s">
        <v>7</v>
      </c>
      <c r="F99" s="247" t="s">
        <v>524</v>
      </c>
      <c r="G99" s="255" t="s">
        <v>1385</v>
      </c>
    </row>
    <row r="100" spans="1:7" ht="26" x14ac:dyDescent="0.3">
      <c r="A100" s="245" t="s">
        <v>20</v>
      </c>
      <c r="B100" s="245" t="s">
        <v>33</v>
      </c>
      <c r="C100" s="245">
        <v>1</v>
      </c>
      <c r="D100" s="245" t="s">
        <v>0</v>
      </c>
      <c r="E100" s="246" t="s">
        <v>9</v>
      </c>
      <c r="F100" s="247" t="s">
        <v>82</v>
      </c>
      <c r="G100" s="255" t="s">
        <v>1386</v>
      </c>
    </row>
    <row r="101" spans="1:7" ht="26" x14ac:dyDescent="0.3">
      <c r="A101" s="245" t="s">
        <v>20</v>
      </c>
      <c r="B101" s="245" t="s">
        <v>33</v>
      </c>
      <c r="C101" s="245">
        <v>1</v>
      </c>
      <c r="D101" s="245" t="s">
        <v>0</v>
      </c>
      <c r="E101" s="246" t="s">
        <v>10</v>
      </c>
      <c r="F101" s="247" t="s">
        <v>84</v>
      </c>
      <c r="G101" s="255" t="s">
        <v>1523</v>
      </c>
    </row>
    <row r="102" spans="1:7" ht="26" x14ac:dyDescent="0.3">
      <c r="A102" s="245" t="s">
        <v>20</v>
      </c>
      <c r="B102" s="245" t="s">
        <v>33</v>
      </c>
      <c r="C102" s="245">
        <v>1</v>
      </c>
      <c r="D102" s="245" t="s">
        <v>0</v>
      </c>
      <c r="E102" s="246" t="s">
        <v>43</v>
      </c>
      <c r="F102" s="247" t="s">
        <v>83</v>
      </c>
      <c r="G102" s="255" t="s">
        <v>1386</v>
      </c>
    </row>
    <row r="103" spans="1:7" x14ac:dyDescent="0.3">
      <c r="A103" s="241" t="s">
        <v>20</v>
      </c>
      <c r="B103" s="241" t="s">
        <v>33</v>
      </c>
      <c r="C103" s="241" t="s">
        <v>20</v>
      </c>
      <c r="D103" s="242" t="s">
        <v>2</v>
      </c>
      <c r="E103" s="241"/>
      <c r="F103" s="243" t="s">
        <v>85</v>
      </c>
    </row>
    <row r="104" spans="1:7" x14ac:dyDescent="0.3">
      <c r="A104" s="245" t="s">
        <v>20</v>
      </c>
      <c r="B104" s="245" t="s">
        <v>33</v>
      </c>
      <c r="C104" s="245" t="s">
        <v>20</v>
      </c>
      <c r="D104" s="245" t="s">
        <v>2</v>
      </c>
      <c r="E104" s="245" t="s">
        <v>1</v>
      </c>
      <c r="F104" s="247" t="s">
        <v>87</v>
      </c>
      <c r="G104" s="255" t="s">
        <v>1387</v>
      </c>
    </row>
    <row r="105" spans="1:7" x14ac:dyDescent="0.3">
      <c r="A105" s="245" t="s">
        <v>20</v>
      </c>
      <c r="B105" s="245" t="s">
        <v>33</v>
      </c>
      <c r="C105" s="245" t="s">
        <v>20</v>
      </c>
      <c r="D105" s="245" t="s">
        <v>2</v>
      </c>
      <c r="E105" s="245" t="s">
        <v>3</v>
      </c>
      <c r="F105" s="247" t="s">
        <v>88</v>
      </c>
      <c r="G105" s="255" t="s">
        <v>1388</v>
      </c>
    </row>
    <row r="106" spans="1:7" x14ac:dyDescent="0.3">
      <c r="A106" s="245" t="s">
        <v>20</v>
      </c>
      <c r="B106" s="245" t="s">
        <v>33</v>
      </c>
      <c r="C106" s="245" t="s">
        <v>20</v>
      </c>
      <c r="D106" s="245" t="s">
        <v>2</v>
      </c>
      <c r="E106" s="245" t="s">
        <v>5</v>
      </c>
      <c r="F106" s="247" t="s">
        <v>525</v>
      </c>
      <c r="G106" s="255" t="s">
        <v>1389</v>
      </c>
    </row>
    <row r="107" spans="1:7" x14ac:dyDescent="0.3">
      <c r="A107" s="245" t="s">
        <v>20</v>
      </c>
      <c r="B107" s="245" t="s">
        <v>33</v>
      </c>
      <c r="C107" s="245" t="s">
        <v>20</v>
      </c>
      <c r="D107" s="245" t="s">
        <v>2</v>
      </c>
      <c r="E107" s="245" t="s">
        <v>7</v>
      </c>
      <c r="F107" s="247" t="s">
        <v>89</v>
      </c>
      <c r="G107" s="255" t="s">
        <v>1389</v>
      </c>
    </row>
    <row r="108" spans="1:7" x14ac:dyDescent="0.3">
      <c r="A108" s="245" t="s">
        <v>20</v>
      </c>
      <c r="B108" s="245" t="s">
        <v>33</v>
      </c>
      <c r="C108" s="245" t="s">
        <v>20</v>
      </c>
      <c r="D108" s="245" t="s">
        <v>2</v>
      </c>
      <c r="E108" s="245" t="s">
        <v>9</v>
      </c>
      <c r="F108" s="247" t="s">
        <v>91</v>
      </c>
      <c r="G108" s="255" t="s">
        <v>1524</v>
      </c>
    </row>
    <row r="109" spans="1:7" x14ac:dyDescent="0.3">
      <c r="A109" s="245" t="s">
        <v>20</v>
      </c>
      <c r="B109" s="245" t="s">
        <v>33</v>
      </c>
      <c r="C109" s="245" t="s">
        <v>20</v>
      </c>
      <c r="D109" s="245" t="s">
        <v>2</v>
      </c>
      <c r="E109" s="245" t="s">
        <v>43</v>
      </c>
      <c r="F109" s="247" t="s">
        <v>90</v>
      </c>
      <c r="G109" s="255" t="s">
        <v>1389</v>
      </c>
    </row>
    <row r="110" spans="1:7" x14ac:dyDescent="0.3">
      <c r="A110" s="238" t="s">
        <v>20</v>
      </c>
      <c r="B110" s="238" t="s">
        <v>33</v>
      </c>
      <c r="C110" s="238" t="s">
        <v>33</v>
      </c>
      <c r="D110" s="238"/>
      <c r="E110" s="238"/>
      <c r="F110" s="240" t="s">
        <v>836</v>
      </c>
    </row>
    <row r="111" spans="1:7" x14ac:dyDescent="0.3">
      <c r="A111" s="241" t="s">
        <v>20</v>
      </c>
      <c r="B111" s="241" t="s">
        <v>33</v>
      </c>
      <c r="C111" s="241" t="s">
        <v>33</v>
      </c>
      <c r="D111" s="241" t="s">
        <v>0</v>
      </c>
      <c r="E111" s="241"/>
      <c r="F111" s="243" t="s">
        <v>552</v>
      </c>
    </row>
    <row r="112" spans="1:7" ht="26" x14ac:dyDescent="0.3">
      <c r="A112" s="245" t="s">
        <v>20</v>
      </c>
      <c r="B112" s="245" t="s">
        <v>33</v>
      </c>
      <c r="C112" s="245" t="s">
        <v>33</v>
      </c>
      <c r="D112" s="245" t="s">
        <v>0</v>
      </c>
      <c r="E112" s="245" t="s">
        <v>1</v>
      </c>
      <c r="F112" s="247" t="s">
        <v>92</v>
      </c>
      <c r="G112" s="255" t="s">
        <v>1390</v>
      </c>
    </row>
    <row r="113" spans="1:7" ht="26" x14ac:dyDescent="0.3">
      <c r="A113" s="245" t="s">
        <v>20</v>
      </c>
      <c r="B113" s="245" t="s">
        <v>33</v>
      </c>
      <c r="C113" s="245" t="s">
        <v>33</v>
      </c>
      <c r="D113" s="245" t="s">
        <v>0</v>
      </c>
      <c r="E113" s="245" t="s">
        <v>3</v>
      </c>
      <c r="F113" s="247" t="s">
        <v>93</v>
      </c>
      <c r="G113" s="255" t="s">
        <v>1391</v>
      </c>
    </row>
    <row r="114" spans="1:7" ht="26" x14ac:dyDescent="0.3">
      <c r="A114" s="245" t="s">
        <v>20</v>
      </c>
      <c r="B114" s="245" t="s">
        <v>33</v>
      </c>
      <c r="C114" s="245" t="s">
        <v>33</v>
      </c>
      <c r="D114" s="245" t="s">
        <v>0</v>
      </c>
      <c r="E114" s="245" t="s">
        <v>5</v>
      </c>
      <c r="F114" s="247" t="s">
        <v>94</v>
      </c>
      <c r="G114" s="255" t="s">
        <v>1391</v>
      </c>
    </row>
    <row r="115" spans="1:7" ht="26" x14ac:dyDescent="0.3">
      <c r="A115" s="245" t="s">
        <v>20</v>
      </c>
      <c r="B115" s="245" t="s">
        <v>33</v>
      </c>
      <c r="C115" s="245" t="s">
        <v>33</v>
      </c>
      <c r="D115" s="245" t="s">
        <v>0</v>
      </c>
      <c r="E115" s="245" t="s">
        <v>7</v>
      </c>
      <c r="F115" s="247" t="s">
        <v>95</v>
      </c>
      <c r="G115" s="255" t="s">
        <v>1392</v>
      </c>
    </row>
    <row r="116" spans="1:7" ht="26" x14ac:dyDescent="0.3">
      <c r="A116" s="245" t="s">
        <v>20</v>
      </c>
      <c r="B116" s="245" t="s">
        <v>33</v>
      </c>
      <c r="C116" s="245" t="s">
        <v>33</v>
      </c>
      <c r="D116" s="245" t="s">
        <v>0</v>
      </c>
      <c r="E116" s="245" t="s">
        <v>43</v>
      </c>
      <c r="F116" s="247" t="s">
        <v>526</v>
      </c>
      <c r="G116" s="255" t="s">
        <v>1391</v>
      </c>
    </row>
    <row r="117" spans="1:7" x14ac:dyDescent="0.3">
      <c r="A117" s="241" t="s">
        <v>20</v>
      </c>
      <c r="B117" s="241" t="s">
        <v>33</v>
      </c>
      <c r="C117" s="241" t="s">
        <v>33</v>
      </c>
      <c r="D117" s="241" t="s">
        <v>2</v>
      </c>
      <c r="E117" s="241"/>
      <c r="F117" s="243" t="s">
        <v>96</v>
      </c>
    </row>
    <row r="118" spans="1:7" x14ac:dyDescent="0.3">
      <c r="A118" s="245" t="s">
        <v>20</v>
      </c>
      <c r="B118" s="245" t="s">
        <v>33</v>
      </c>
      <c r="C118" s="245" t="s">
        <v>33</v>
      </c>
      <c r="D118" s="245" t="s">
        <v>2</v>
      </c>
      <c r="E118" s="245" t="s">
        <v>1</v>
      </c>
      <c r="F118" s="247" t="s">
        <v>97</v>
      </c>
      <c r="G118" s="255" t="s">
        <v>1393</v>
      </c>
    </row>
    <row r="119" spans="1:7" x14ac:dyDescent="0.3">
      <c r="A119" s="245" t="s">
        <v>20</v>
      </c>
      <c r="B119" s="245" t="s">
        <v>33</v>
      </c>
      <c r="C119" s="245" t="s">
        <v>33</v>
      </c>
      <c r="D119" s="245" t="s">
        <v>2</v>
      </c>
      <c r="E119" s="245" t="s">
        <v>3</v>
      </c>
      <c r="F119" s="247" t="s">
        <v>98</v>
      </c>
      <c r="G119" s="255" t="s">
        <v>1394</v>
      </c>
    </row>
    <row r="120" spans="1:7" x14ac:dyDescent="0.3">
      <c r="A120" s="245" t="s">
        <v>20</v>
      </c>
      <c r="B120" s="245" t="s">
        <v>33</v>
      </c>
      <c r="C120" s="245" t="s">
        <v>33</v>
      </c>
      <c r="D120" s="245" t="s">
        <v>2</v>
      </c>
      <c r="E120" s="245" t="s">
        <v>5</v>
      </c>
      <c r="F120" s="247" t="s">
        <v>99</v>
      </c>
      <c r="G120" s="255" t="s">
        <v>1394</v>
      </c>
    </row>
    <row r="121" spans="1:7" x14ac:dyDescent="0.3">
      <c r="A121" s="245" t="s">
        <v>20</v>
      </c>
      <c r="B121" s="245" t="s">
        <v>33</v>
      </c>
      <c r="C121" s="245" t="s">
        <v>33</v>
      </c>
      <c r="D121" s="245" t="s">
        <v>2</v>
      </c>
      <c r="E121" s="245" t="s">
        <v>7</v>
      </c>
      <c r="F121" s="247" t="s">
        <v>100</v>
      </c>
      <c r="G121" s="255" t="s">
        <v>1395</v>
      </c>
    </row>
    <row r="122" spans="1:7" x14ac:dyDescent="0.3">
      <c r="A122" s="245" t="s">
        <v>20</v>
      </c>
      <c r="B122" s="245" t="s">
        <v>33</v>
      </c>
      <c r="C122" s="245" t="s">
        <v>33</v>
      </c>
      <c r="D122" s="245" t="s">
        <v>2</v>
      </c>
      <c r="E122" s="245" t="s">
        <v>43</v>
      </c>
      <c r="F122" s="247" t="s">
        <v>527</v>
      </c>
      <c r="G122" s="255" t="s">
        <v>1394</v>
      </c>
    </row>
    <row r="123" spans="1:7" x14ac:dyDescent="0.3">
      <c r="A123" s="238" t="s">
        <v>20</v>
      </c>
      <c r="B123" s="238" t="s">
        <v>33</v>
      </c>
      <c r="C123" s="238" t="s">
        <v>44</v>
      </c>
      <c r="D123" s="238"/>
      <c r="E123" s="238"/>
      <c r="F123" s="240" t="s">
        <v>837</v>
      </c>
    </row>
    <row r="124" spans="1:7" x14ac:dyDescent="0.3">
      <c r="A124" s="241" t="s">
        <v>20</v>
      </c>
      <c r="B124" s="241" t="s">
        <v>33</v>
      </c>
      <c r="C124" s="241" t="s">
        <v>44</v>
      </c>
      <c r="D124" s="242" t="s">
        <v>0</v>
      </c>
      <c r="E124" s="241"/>
      <c r="F124" s="243" t="s">
        <v>101</v>
      </c>
    </row>
    <row r="125" spans="1:7" x14ac:dyDescent="0.3">
      <c r="A125" s="108" t="s">
        <v>20</v>
      </c>
      <c r="B125" s="108" t="s">
        <v>33</v>
      </c>
      <c r="C125" s="108" t="s">
        <v>44</v>
      </c>
      <c r="D125" s="108" t="s">
        <v>0</v>
      </c>
      <c r="E125" s="108" t="s">
        <v>1</v>
      </c>
      <c r="F125" s="247" t="s">
        <v>838</v>
      </c>
      <c r="G125" s="255" t="s">
        <v>1526</v>
      </c>
    </row>
    <row r="126" spans="1:7" x14ac:dyDescent="0.3">
      <c r="A126" s="108" t="s">
        <v>20</v>
      </c>
      <c r="B126" s="108" t="s">
        <v>33</v>
      </c>
      <c r="C126" s="108" t="s">
        <v>44</v>
      </c>
      <c r="D126" s="108" t="s">
        <v>0</v>
      </c>
      <c r="E126" s="108" t="s">
        <v>3</v>
      </c>
      <c r="F126" s="247" t="s">
        <v>839</v>
      </c>
      <c r="G126" s="255" t="s">
        <v>1527</v>
      </c>
    </row>
    <row r="127" spans="1:7" x14ac:dyDescent="0.3">
      <c r="A127" s="108" t="s">
        <v>20</v>
      </c>
      <c r="B127" s="108" t="s">
        <v>33</v>
      </c>
      <c r="C127" s="108" t="s">
        <v>44</v>
      </c>
      <c r="D127" s="108" t="s">
        <v>0</v>
      </c>
      <c r="E127" s="108" t="s">
        <v>5</v>
      </c>
      <c r="F127" s="247" t="s">
        <v>102</v>
      </c>
      <c r="G127" s="255" t="s">
        <v>1396</v>
      </c>
    </row>
    <row r="128" spans="1:7" x14ac:dyDescent="0.3">
      <c r="A128" s="108" t="s">
        <v>20</v>
      </c>
      <c r="B128" s="108" t="s">
        <v>33</v>
      </c>
      <c r="C128" s="108" t="s">
        <v>44</v>
      </c>
      <c r="D128" s="108" t="s">
        <v>0</v>
      </c>
      <c r="E128" s="108" t="s">
        <v>7</v>
      </c>
      <c r="F128" s="247" t="s">
        <v>103</v>
      </c>
      <c r="G128" s="261" t="s">
        <v>1397</v>
      </c>
    </row>
    <row r="129" spans="1:7" ht="26" x14ac:dyDescent="0.3">
      <c r="A129" s="108" t="s">
        <v>20</v>
      </c>
      <c r="B129" s="108" t="s">
        <v>33</v>
      </c>
      <c r="C129" s="108" t="s">
        <v>44</v>
      </c>
      <c r="D129" s="108" t="s">
        <v>0</v>
      </c>
      <c r="E129" s="108" t="s">
        <v>9</v>
      </c>
      <c r="F129" s="247" t="s">
        <v>79</v>
      </c>
      <c r="G129" s="255" t="s">
        <v>1383</v>
      </c>
    </row>
    <row r="130" spans="1:7" x14ac:dyDescent="0.3">
      <c r="A130" s="108" t="s">
        <v>20</v>
      </c>
      <c r="B130" s="108" t="s">
        <v>33</v>
      </c>
      <c r="C130" s="108" t="s">
        <v>44</v>
      </c>
      <c r="D130" s="108" t="s">
        <v>0</v>
      </c>
      <c r="E130" s="108" t="s">
        <v>43</v>
      </c>
      <c r="F130" s="108" t="s">
        <v>840</v>
      </c>
      <c r="G130" s="255" t="s">
        <v>1525</v>
      </c>
    </row>
    <row r="131" spans="1:7" x14ac:dyDescent="0.3">
      <c r="A131" s="241" t="s">
        <v>20</v>
      </c>
      <c r="B131" s="241" t="s">
        <v>33</v>
      </c>
      <c r="C131" s="241" t="s">
        <v>44</v>
      </c>
      <c r="D131" s="242" t="s">
        <v>2</v>
      </c>
      <c r="E131" s="241"/>
      <c r="F131" s="243" t="s">
        <v>105</v>
      </c>
    </row>
    <row r="132" spans="1:7" x14ac:dyDescent="0.3">
      <c r="A132" s="245" t="s">
        <v>20</v>
      </c>
      <c r="B132" s="245" t="s">
        <v>33</v>
      </c>
      <c r="C132" s="245" t="s">
        <v>44</v>
      </c>
      <c r="D132" s="245" t="s">
        <v>2</v>
      </c>
      <c r="E132" s="245" t="s">
        <v>1</v>
      </c>
      <c r="F132" s="247" t="s">
        <v>841</v>
      </c>
      <c r="G132" s="255" t="s">
        <v>1528</v>
      </c>
    </row>
    <row r="133" spans="1:7" x14ac:dyDescent="0.3">
      <c r="A133" s="234" t="s">
        <v>33</v>
      </c>
      <c r="B133" s="234"/>
      <c r="C133" s="234"/>
      <c r="D133" s="234"/>
      <c r="E133" s="234"/>
      <c r="F133" s="235" t="s">
        <v>106</v>
      </c>
    </row>
    <row r="134" spans="1:7" x14ac:dyDescent="0.3">
      <c r="A134" s="236" t="s">
        <v>33</v>
      </c>
      <c r="B134" s="236" t="s">
        <v>20</v>
      </c>
      <c r="C134" s="236"/>
      <c r="D134" s="236"/>
      <c r="E134" s="236"/>
      <c r="F134" s="237" t="s">
        <v>107</v>
      </c>
    </row>
    <row r="135" spans="1:7" x14ac:dyDescent="0.3">
      <c r="A135" s="238" t="s">
        <v>33</v>
      </c>
      <c r="B135" s="238" t="s">
        <v>20</v>
      </c>
      <c r="C135" s="238" t="s">
        <v>20</v>
      </c>
      <c r="D135" s="238"/>
      <c r="E135" s="238"/>
      <c r="F135" s="240" t="s">
        <v>108</v>
      </c>
    </row>
    <row r="136" spans="1:7" x14ac:dyDescent="0.3">
      <c r="A136" s="241" t="s">
        <v>33</v>
      </c>
      <c r="B136" s="241" t="s">
        <v>20</v>
      </c>
      <c r="C136" s="241" t="s">
        <v>20</v>
      </c>
      <c r="D136" s="242" t="s">
        <v>0</v>
      </c>
      <c r="E136" s="241"/>
      <c r="F136" s="243" t="s">
        <v>109</v>
      </c>
    </row>
    <row r="137" spans="1:7" x14ac:dyDescent="0.3">
      <c r="A137" s="245" t="s">
        <v>33</v>
      </c>
      <c r="B137" s="245" t="s">
        <v>20</v>
      </c>
      <c r="C137" s="245" t="s">
        <v>20</v>
      </c>
      <c r="D137" s="245" t="s">
        <v>0</v>
      </c>
      <c r="E137" s="245" t="s">
        <v>1</v>
      </c>
      <c r="F137" s="247" t="s">
        <v>110</v>
      </c>
      <c r="G137" s="255" t="s">
        <v>1399</v>
      </c>
    </row>
    <row r="138" spans="1:7" ht="26" x14ac:dyDescent="0.3">
      <c r="A138" s="245" t="s">
        <v>33</v>
      </c>
      <c r="B138" s="245" t="s">
        <v>20</v>
      </c>
      <c r="C138" s="245" t="s">
        <v>20</v>
      </c>
      <c r="D138" s="245" t="s">
        <v>0</v>
      </c>
      <c r="E138" s="245" t="s">
        <v>3</v>
      </c>
      <c r="F138" s="247" t="s">
        <v>111</v>
      </c>
      <c r="G138" s="255" t="s">
        <v>1400</v>
      </c>
    </row>
    <row r="139" spans="1:7" x14ac:dyDescent="0.3">
      <c r="A139" s="245" t="s">
        <v>33</v>
      </c>
      <c r="B139" s="245" t="s">
        <v>20</v>
      </c>
      <c r="C139" s="245" t="s">
        <v>20</v>
      </c>
      <c r="D139" s="245" t="s">
        <v>0</v>
      </c>
      <c r="E139" s="245" t="s">
        <v>43</v>
      </c>
      <c r="F139" s="247" t="s">
        <v>112</v>
      </c>
      <c r="G139" s="255" t="s">
        <v>1399</v>
      </c>
    </row>
    <row r="140" spans="1:7" x14ac:dyDescent="0.3">
      <c r="A140" s="241" t="s">
        <v>33</v>
      </c>
      <c r="B140" s="241" t="s">
        <v>20</v>
      </c>
      <c r="C140" s="241" t="s">
        <v>20</v>
      </c>
      <c r="D140" s="241" t="s">
        <v>2</v>
      </c>
      <c r="E140" s="241"/>
      <c r="F140" s="243" t="s">
        <v>114</v>
      </c>
    </row>
    <row r="141" spans="1:7" x14ac:dyDescent="0.3">
      <c r="A141" s="245" t="s">
        <v>33</v>
      </c>
      <c r="B141" s="245" t="s">
        <v>20</v>
      </c>
      <c r="C141" s="245" t="s">
        <v>20</v>
      </c>
      <c r="D141" s="245" t="s">
        <v>2</v>
      </c>
      <c r="E141" s="246" t="s">
        <v>1</v>
      </c>
      <c r="F141" s="247" t="s">
        <v>115</v>
      </c>
      <c r="G141" s="255" t="s">
        <v>1513</v>
      </c>
    </row>
    <row r="142" spans="1:7" x14ac:dyDescent="0.3">
      <c r="A142" s="245" t="s">
        <v>33</v>
      </c>
      <c r="B142" s="245" t="s">
        <v>20</v>
      </c>
      <c r="C142" s="245" t="s">
        <v>20</v>
      </c>
      <c r="D142" s="245" t="s">
        <v>2</v>
      </c>
      <c r="E142" s="246" t="s">
        <v>3</v>
      </c>
      <c r="F142" s="247" t="s">
        <v>115</v>
      </c>
      <c r="G142" s="255" t="s">
        <v>1363</v>
      </c>
    </row>
    <row r="143" spans="1:7" x14ac:dyDescent="0.3">
      <c r="A143" s="241" t="s">
        <v>33</v>
      </c>
      <c r="B143" s="241" t="s">
        <v>20</v>
      </c>
      <c r="C143" s="241" t="s">
        <v>20</v>
      </c>
      <c r="D143" s="241" t="s">
        <v>4</v>
      </c>
      <c r="E143" s="241"/>
      <c r="F143" s="243" t="s">
        <v>116</v>
      </c>
    </row>
    <row r="144" spans="1:7" x14ac:dyDescent="0.3">
      <c r="A144" s="245" t="s">
        <v>33</v>
      </c>
      <c r="B144" s="245" t="s">
        <v>20</v>
      </c>
      <c r="C144" s="245" t="s">
        <v>20</v>
      </c>
      <c r="D144" s="245" t="s">
        <v>4</v>
      </c>
      <c r="E144" s="246" t="s">
        <v>1</v>
      </c>
      <c r="F144" s="247" t="s">
        <v>117</v>
      </c>
      <c r="G144" s="255" t="s">
        <v>1401</v>
      </c>
    </row>
    <row r="145" spans="1:7" ht="26" x14ac:dyDescent="0.3">
      <c r="A145" s="245" t="s">
        <v>33</v>
      </c>
      <c r="B145" s="245" t="s">
        <v>20</v>
      </c>
      <c r="C145" s="245" t="s">
        <v>20</v>
      </c>
      <c r="D145" s="245" t="s">
        <v>4</v>
      </c>
      <c r="E145" s="246" t="s">
        <v>3</v>
      </c>
      <c r="F145" s="247" t="s">
        <v>118</v>
      </c>
      <c r="G145" s="255" t="s">
        <v>1402</v>
      </c>
    </row>
    <row r="146" spans="1:7" x14ac:dyDescent="0.3">
      <c r="A146" s="245" t="s">
        <v>33</v>
      </c>
      <c r="B146" s="245" t="s">
        <v>20</v>
      </c>
      <c r="C146" s="245" t="s">
        <v>20</v>
      </c>
      <c r="D146" s="245" t="s">
        <v>4</v>
      </c>
      <c r="E146" s="245" t="s">
        <v>5</v>
      </c>
      <c r="F146" s="247" t="s">
        <v>119</v>
      </c>
      <c r="G146" s="255" t="s">
        <v>1403</v>
      </c>
    </row>
    <row r="147" spans="1:7" x14ac:dyDescent="0.3">
      <c r="A147" s="245" t="s">
        <v>33</v>
      </c>
      <c r="B147" s="245" t="s">
        <v>20</v>
      </c>
      <c r="C147" s="245" t="s">
        <v>20</v>
      </c>
      <c r="D147" s="245" t="s">
        <v>4</v>
      </c>
      <c r="E147" s="245" t="s">
        <v>7</v>
      </c>
      <c r="F147" s="247" t="s">
        <v>120</v>
      </c>
      <c r="G147" s="255" t="s">
        <v>1552</v>
      </c>
    </row>
    <row r="148" spans="1:7" x14ac:dyDescent="0.3">
      <c r="A148" s="245" t="s">
        <v>33</v>
      </c>
      <c r="B148" s="245" t="s">
        <v>20</v>
      </c>
      <c r="C148" s="245" t="s">
        <v>20</v>
      </c>
      <c r="D148" s="245" t="s">
        <v>4</v>
      </c>
      <c r="E148" s="246" t="s">
        <v>9</v>
      </c>
      <c r="F148" s="247" t="s">
        <v>121</v>
      </c>
      <c r="G148" s="255" t="s">
        <v>1404</v>
      </c>
    </row>
    <row r="149" spans="1:7" x14ac:dyDescent="0.3">
      <c r="A149" s="245" t="s">
        <v>33</v>
      </c>
      <c r="B149" s="245" t="s">
        <v>20</v>
      </c>
      <c r="C149" s="245" t="s">
        <v>20</v>
      </c>
      <c r="D149" s="245" t="s">
        <v>4</v>
      </c>
      <c r="E149" s="246" t="s">
        <v>10</v>
      </c>
      <c r="F149" s="247" t="s">
        <v>122</v>
      </c>
      <c r="G149" s="255" t="s">
        <v>1405</v>
      </c>
    </row>
    <row r="150" spans="1:7" x14ac:dyDescent="0.3">
      <c r="A150" s="245" t="s">
        <v>33</v>
      </c>
      <c r="B150" s="245" t="s">
        <v>20</v>
      </c>
      <c r="C150" s="245" t="s">
        <v>20</v>
      </c>
      <c r="D150" s="245" t="s">
        <v>4</v>
      </c>
      <c r="E150" s="245" t="s">
        <v>11</v>
      </c>
      <c r="F150" s="247" t="s">
        <v>123</v>
      </c>
      <c r="G150" s="255" t="s">
        <v>1406</v>
      </c>
    </row>
    <row r="151" spans="1:7" x14ac:dyDescent="0.3">
      <c r="A151" s="245" t="s">
        <v>33</v>
      </c>
      <c r="B151" s="245" t="s">
        <v>20</v>
      </c>
      <c r="C151" s="245" t="s">
        <v>20</v>
      </c>
      <c r="D151" s="245" t="s">
        <v>4</v>
      </c>
      <c r="E151" s="246" t="s">
        <v>13</v>
      </c>
      <c r="F151" s="247" t="s">
        <v>587</v>
      </c>
      <c r="G151" s="255" t="s">
        <v>1529</v>
      </c>
    </row>
    <row r="152" spans="1:7" x14ac:dyDescent="0.3">
      <c r="A152" s="241" t="s">
        <v>33</v>
      </c>
      <c r="B152" s="241" t="s">
        <v>20</v>
      </c>
      <c r="C152" s="241" t="s">
        <v>20</v>
      </c>
      <c r="D152" s="241" t="s">
        <v>6</v>
      </c>
      <c r="E152" s="241"/>
      <c r="F152" s="243" t="s">
        <v>124</v>
      </c>
    </row>
    <row r="153" spans="1:7" x14ac:dyDescent="0.3">
      <c r="A153" s="245" t="s">
        <v>33</v>
      </c>
      <c r="B153" s="245" t="s">
        <v>20</v>
      </c>
      <c r="C153" s="245" t="s">
        <v>20</v>
      </c>
      <c r="D153" s="245" t="s">
        <v>6</v>
      </c>
      <c r="E153" s="246" t="s">
        <v>1</v>
      </c>
      <c r="F153" s="247" t="s">
        <v>125</v>
      </c>
      <c r="G153" s="255" t="s">
        <v>1553</v>
      </c>
    </row>
    <row r="154" spans="1:7" x14ac:dyDescent="0.3">
      <c r="A154" s="245" t="s">
        <v>33</v>
      </c>
      <c r="B154" s="245" t="s">
        <v>20</v>
      </c>
      <c r="C154" s="245" t="s">
        <v>20</v>
      </c>
      <c r="D154" s="245" t="s">
        <v>6</v>
      </c>
      <c r="E154" s="246" t="s">
        <v>3</v>
      </c>
      <c r="F154" s="247" t="s">
        <v>126</v>
      </c>
      <c r="G154" s="255" t="s">
        <v>1407</v>
      </c>
    </row>
    <row r="155" spans="1:7" x14ac:dyDescent="0.3">
      <c r="A155" s="245" t="s">
        <v>33</v>
      </c>
      <c r="B155" s="245" t="s">
        <v>20</v>
      </c>
      <c r="C155" s="245" t="s">
        <v>20</v>
      </c>
      <c r="D155" s="245" t="s">
        <v>6</v>
      </c>
      <c r="E155" s="245" t="s">
        <v>5</v>
      </c>
      <c r="F155" s="247" t="s">
        <v>38</v>
      </c>
      <c r="G155" s="261" t="s">
        <v>1362</v>
      </c>
    </row>
    <row r="156" spans="1:7" x14ac:dyDescent="0.3">
      <c r="A156" s="245" t="s">
        <v>33</v>
      </c>
      <c r="B156" s="245" t="s">
        <v>20</v>
      </c>
      <c r="C156" s="245" t="s">
        <v>20</v>
      </c>
      <c r="D156" s="245" t="s">
        <v>6</v>
      </c>
      <c r="E156" s="246" t="s">
        <v>7</v>
      </c>
      <c r="F156" s="249" t="s">
        <v>842</v>
      </c>
      <c r="G156" s="253" t="s">
        <v>1530</v>
      </c>
    </row>
    <row r="157" spans="1:7" x14ac:dyDescent="0.3">
      <c r="A157" s="245" t="s">
        <v>33</v>
      </c>
      <c r="B157" s="245" t="s">
        <v>20</v>
      </c>
      <c r="C157" s="245" t="s">
        <v>20</v>
      </c>
      <c r="D157" s="245" t="s">
        <v>6</v>
      </c>
      <c r="E157" s="245" t="s">
        <v>9</v>
      </c>
      <c r="F157" s="247" t="s">
        <v>843</v>
      </c>
      <c r="G157" s="253" t="s">
        <v>1531</v>
      </c>
    </row>
    <row r="158" spans="1:7" x14ac:dyDescent="0.3">
      <c r="A158" s="245" t="s">
        <v>33</v>
      </c>
      <c r="B158" s="245" t="s">
        <v>20</v>
      </c>
      <c r="C158" s="245" t="s">
        <v>20</v>
      </c>
      <c r="D158" s="245" t="s">
        <v>6</v>
      </c>
      <c r="E158" s="245" t="s">
        <v>43</v>
      </c>
      <c r="F158" s="247" t="s">
        <v>528</v>
      </c>
      <c r="G158" s="255" t="s">
        <v>1408</v>
      </c>
    </row>
    <row r="159" spans="1:7" x14ac:dyDescent="0.3">
      <c r="A159" s="238" t="s">
        <v>33</v>
      </c>
      <c r="B159" s="238" t="s">
        <v>20</v>
      </c>
      <c r="C159" s="238" t="s">
        <v>33</v>
      </c>
      <c r="D159" s="238"/>
      <c r="E159" s="238"/>
      <c r="F159" s="240" t="s">
        <v>127</v>
      </c>
    </row>
    <row r="160" spans="1:7" x14ac:dyDescent="0.3">
      <c r="A160" s="241" t="s">
        <v>33</v>
      </c>
      <c r="B160" s="241" t="s">
        <v>20</v>
      </c>
      <c r="C160" s="241">
        <v>2</v>
      </c>
      <c r="D160" s="242" t="s">
        <v>0</v>
      </c>
      <c r="E160" s="241"/>
      <c r="F160" s="243" t="s">
        <v>128</v>
      </c>
    </row>
    <row r="161" spans="1:7" x14ac:dyDescent="0.3">
      <c r="A161" s="245" t="s">
        <v>33</v>
      </c>
      <c r="B161" s="245" t="s">
        <v>20</v>
      </c>
      <c r="C161" s="245">
        <v>2</v>
      </c>
      <c r="D161" s="245" t="s">
        <v>0</v>
      </c>
      <c r="E161" s="245" t="s">
        <v>1</v>
      </c>
      <c r="F161" s="247" t="s">
        <v>129</v>
      </c>
      <c r="G161" s="255" t="s">
        <v>1409</v>
      </c>
    </row>
    <row r="162" spans="1:7" x14ac:dyDescent="0.3">
      <c r="A162" s="245" t="s">
        <v>33</v>
      </c>
      <c r="B162" s="245" t="s">
        <v>20</v>
      </c>
      <c r="C162" s="245">
        <v>2</v>
      </c>
      <c r="D162" s="245" t="s">
        <v>0</v>
      </c>
      <c r="E162" s="245" t="s">
        <v>3</v>
      </c>
      <c r="F162" s="247" t="s">
        <v>130</v>
      </c>
      <c r="G162" s="255" t="s">
        <v>1409</v>
      </c>
    </row>
    <row r="163" spans="1:7" x14ac:dyDescent="0.3">
      <c r="A163" s="245" t="s">
        <v>33</v>
      </c>
      <c r="B163" s="245" t="s">
        <v>20</v>
      </c>
      <c r="C163" s="245">
        <v>2</v>
      </c>
      <c r="D163" s="245" t="s">
        <v>0</v>
      </c>
      <c r="E163" s="245" t="s">
        <v>5</v>
      </c>
      <c r="F163" s="247" t="s">
        <v>131</v>
      </c>
      <c r="G163" s="255" t="s">
        <v>1409</v>
      </c>
    </row>
    <row r="164" spans="1:7" x14ac:dyDescent="0.3">
      <c r="A164" s="245" t="s">
        <v>33</v>
      </c>
      <c r="B164" s="245" t="s">
        <v>20</v>
      </c>
      <c r="C164" s="245">
        <v>2</v>
      </c>
      <c r="D164" s="245" t="s">
        <v>0</v>
      </c>
      <c r="E164" s="245" t="s">
        <v>7</v>
      </c>
      <c r="F164" s="247" t="s">
        <v>132</v>
      </c>
      <c r="G164" s="255" t="s">
        <v>1409</v>
      </c>
    </row>
    <row r="165" spans="1:7" x14ac:dyDescent="0.3">
      <c r="A165" s="245" t="s">
        <v>33</v>
      </c>
      <c r="B165" s="245" t="s">
        <v>20</v>
      </c>
      <c r="C165" s="245">
        <v>2</v>
      </c>
      <c r="D165" s="245" t="s">
        <v>0</v>
      </c>
      <c r="E165" s="245" t="s">
        <v>9</v>
      </c>
      <c r="F165" s="247" t="s">
        <v>133</v>
      </c>
      <c r="G165" s="255" t="s">
        <v>1409</v>
      </c>
    </row>
    <row r="166" spans="1:7" x14ac:dyDescent="0.3">
      <c r="A166" s="245" t="s">
        <v>33</v>
      </c>
      <c r="B166" s="245" t="s">
        <v>20</v>
      </c>
      <c r="C166" s="245">
        <v>2</v>
      </c>
      <c r="D166" s="245" t="s">
        <v>0</v>
      </c>
      <c r="E166" s="245" t="s">
        <v>10</v>
      </c>
      <c r="F166" s="247" t="s">
        <v>844</v>
      </c>
      <c r="G166" s="255" t="s">
        <v>1409</v>
      </c>
    </row>
    <row r="167" spans="1:7" x14ac:dyDescent="0.3">
      <c r="A167" s="245" t="s">
        <v>33</v>
      </c>
      <c r="B167" s="245" t="s">
        <v>20</v>
      </c>
      <c r="C167" s="245">
        <v>2</v>
      </c>
      <c r="D167" s="245" t="s">
        <v>0</v>
      </c>
      <c r="E167" s="245" t="s">
        <v>43</v>
      </c>
      <c r="F167" s="247" t="s">
        <v>134</v>
      </c>
      <c r="G167" s="255" t="s">
        <v>1409</v>
      </c>
    </row>
    <row r="168" spans="1:7" x14ac:dyDescent="0.3">
      <c r="A168" s="241" t="s">
        <v>33</v>
      </c>
      <c r="B168" s="241" t="s">
        <v>20</v>
      </c>
      <c r="C168" s="241">
        <v>2</v>
      </c>
      <c r="D168" s="242" t="s">
        <v>2</v>
      </c>
      <c r="E168" s="241"/>
      <c r="F168" s="243" t="s">
        <v>135</v>
      </c>
    </row>
    <row r="169" spans="1:7" x14ac:dyDescent="0.3">
      <c r="A169" s="245" t="s">
        <v>33</v>
      </c>
      <c r="B169" s="245" t="s">
        <v>20</v>
      </c>
      <c r="C169" s="245">
        <v>2</v>
      </c>
      <c r="D169" s="245" t="s">
        <v>2</v>
      </c>
      <c r="E169" s="245" t="s">
        <v>1</v>
      </c>
      <c r="F169" s="247" t="s">
        <v>551</v>
      </c>
      <c r="G169" s="255" t="s">
        <v>1409</v>
      </c>
    </row>
    <row r="170" spans="1:7" x14ac:dyDescent="0.3">
      <c r="A170" s="245" t="s">
        <v>33</v>
      </c>
      <c r="B170" s="245" t="s">
        <v>20</v>
      </c>
      <c r="C170" s="245">
        <v>2</v>
      </c>
      <c r="D170" s="245" t="s">
        <v>2</v>
      </c>
      <c r="E170" s="245" t="s">
        <v>3</v>
      </c>
      <c r="F170" s="247" t="s">
        <v>136</v>
      </c>
      <c r="G170" s="255" t="s">
        <v>1409</v>
      </c>
    </row>
    <row r="171" spans="1:7" x14ac:dyDescent="0.3">
      <c r="A171" s="245" t="s">
        <v>33</v>
      </c>
      <c r="B171" s="245" t="s">
        <v>20</v>
      </c>
      <c r="C171" s="245">
        <v>2</v>
      </c>
      <c r="D171" s="245" t="s">
        <v>2</v>
      </c>
      <c r="E171" s="245" t="s">
        <v>5</v>
      </c>
      <c r="F171" s="247" t="s">
        <v>137</v>
      </c>
      <c r="G171" s="255" t="s">
        <v>1409</v>
      </c>
    </row>
    <row r="172" spans="1:7" x14ac:dyDescent="0.3">
      <c r="A172" s="245" t="s">
        <v>33</v>
      </c>
      <c r="B172" s="245" t="s">
        <v>20</v>
      </c>
      <c r="C172" s="245">
        <v>2</v>
      </c>
      <c r="D172" s="245" t="s">
        <v>2</v>
      </c>
      <c r="E172" s="245" t="s">
        <v>7</v>
      </c>
      <c r="F172" s="247" t="s">
        <v>138</v>
      </c>
      <c r="G172" s="255" t="s">
        <v>1409</v>
      </c>
    </row>
    <row r="173" spans="1:7" x14ac:dyDescent="0.3">
      <c r="A173" s="245" t="s">
        <v>33</v>
      </c>
      <c r="B173" s="245" t="s">
        <v>20</v>
      </c>
      <c r="C173" s="245">
        <v>2</v>
      </c>
      <c r="D173" s="245" t="s">
        <v>2</v>
      </c>
      <c r="E173" s="245" t="s">
        <v>9</v>
      </c>
      <c r="F173" s="247" t="s">
        <v>139</v>
      </c>
      <c r="G173" s="255" t="s">
        <v>1410</v>
      </c>
    </row>
    <row r="174" spans="1:7" x14ac:dyDescent="0.3">
      <c r="A174" s="245" t="s">
        <v>33</v>
      </c>
      <c r="B174" s="245" t="s">
        <v>20</v>
      </c>
      <c r="C174" s="245">
        <v>2</v>
      </c>
      <c r="D174" s="245" t="s">
        <v>2</v>
      </c>
      <c r="E174" s="245" t="s">
        <v>10</v>
      </c>
      <c r="F174" s="247" t="s">
        <v>845</v>
      </c>
      <c r="G174" s="255" t="s">
        <v>1409</v>
      </c>
    </row>
    <row r="175" spans="1:7" x14ac:dyDescent="0.3">
      <c r="A175" s="245" t="s">
        <v>33</v>
      </c>
      <c r="B175" s="245" t="s">
        <v>20</v>
      </c>
      <c r="C175" s="245">
        <v>2</v>
      </c>
      <c r="D175" s="245" t="s">
        <v>2</v>
      </c>
      <c r="E175" s="245" t="s">
        <v>11</v>
      </c>
      <c r="F175" s="247" t="s">
        <v>846</v>
      </c>
      <c r="G175" s="255" t="s">
        <v>1409</v>
      </c>
    </row>
    <row r="176" spans="1:7" x14ac:dyDescent="0.3">
      <c r="A176" s="245" t="s">
        <v>33</v>
      </c>
      <c r="B176" s="245" t="s">
        <v>20</v>
      </c>
      <c r="C176" s="245">
        <v>2</v>
      </c>
      <c r="D176" s="245" t="s">
        <v>2</v>
      </c>
      <c r="E176" s="245" t="s">
        <v>43</v>
      </c>
      <c r="F176" s="247" t="s">
        <v>140</v>
      </c>
      <c r="G176" s="255" t="s">
        <v>1409</v>
      </c>
    </row>
    <row r="177" spans="1:7" x14ac:dyDescent="0.3">
      <c r="A177" s="241" t="s">
        <v>33</v>
      </c>
      <c r="B177" s="241" t="s">
        <v>20</v>
      </c>
      <c r="C177" s="241">
        <v>2</v>
      </c>
      <c r="D177" s="242" t="s">
        <v>4</v>
      </c>
      <c r="E177" s="241"/>
      <c r="F177" s="243" t="s">
        <v>141</v>
      </c>
    </row>
    <row r="178" spans="1:7" x14ac:dyDescent="0.3">
      <c r="A178" s="245" t="s">
        <v>33</v>
      </c>
      <c r="B178" s="245" t="s">
        <v>20</v>
      </c>
      <c r="C178" s="245">
        <v>2</v>
      </c>
      <c r="D178" s="245" t="s">
        <v>4</v>
      </c>
      <c r="E178" s="245" t="s">
        <v>1</v>
      </c>
      <c r="F178" s="247" t="s">
        <v>142</v>
      </c>
      <c r="G178" s="255" t="s">
        <v>1409</v>
      </c>
    </row>
    <row r="179" spans="1:7" x14ac:dyDescent="0.3">
      <c r="A179" s="245" t="s">
        <v>33</v>
      </c>
      <c r="B179" s="245" t="s">
        <v>20</v>
      </c>
      <c r="C179" s="245">
        <v>2</v>
      </c>
      <c r="D179" s="245" t="s">
        <v>4</v>
      </c>
      <c r="E179" s="245" t="s">
        <v>3</v>
      </c>
      <c r="F179" s="247" t="s">
        <v>143</v>
      </c>
      <c r="G179" s="255" t="s">
        <v>1409</v>
      </c>
    </row>
    <row r="180" spans="1:7" x14ac:dyDescent="0.3">
      <c r="A180" s="245" t="s">
        <v>33</v>
      </c>
      <c r="B180" s="245" t="s">
        <v>20</v>
      </c>
      <c r="C180" s="245">
        <v>2</v>
      </c>
      <c r="D180" s="245" t="s">
        <v>4</v>
      </c>
      <c r="E180" s="245" t="s">
        <v>5</v>
      </c>
      <c r="F180" s="247" t="s">
        <v>144</v>
      </c>
      <c r="G180" s="255" t="s">
        <v>1409</v>
      </c>
    </row>
    <row r="181" spans="1:7" x14ac:dyDescent="0.3">
      <c r="A181" s="245" t="s">
        <v>33</v>
      </c>
      <c r="B181" s="245" t="s">
        <v>20</v>
      </c>
      <c r="C181" s="245">
        <v>2</v>
      </c>
      <c r="D181" s="245" t="s">
        <v>4</v>
      </c>
      <c r="E181" s="245" t="s">
        <v>7</v>
      </c>
      <c r="F181" s="247" t="s">
        <v>145</v>
      </c>
      <c r="G181" s="255" t="s">
        <v>1409</v>
      </c>
    </row>
    <row r="182" spans="1:7" x14ac:dyDescent="0.3">
      <c r="A182" s="245" t="s">
        <v>33</v>
      </c>
      <c r="B182" s="245" t="s">
        <v>20</v>
      </c>
      <c r="C182" s="245" t="s">
        <v>33</v>
      </c>
      <c r="D182" s="245" t="s">
        <v>4</v>
      </c>
      <c r="E182" s="245" t="s">
        <v>43</v>
      </c>
      <c r="F182" s="247" t="s">
        <v>146</v>
      </c>
      <c r="G182" s="255" t="s">
        <v>1409</v>
      </c>
    </row>
    <row r="183" spans="1:7" x14ac:dyDescent="0.3">
      <c r="A183" s="238" t="s">
        <v>33</v>
      </c>
      <c r="B183" s="238" t="s">
        <v>20</v>
      </c>
      <c r="C183" s="238" t="s">
        <v>44</v>
      </c>
      <c r="D183" s="238"/>
      <c r="E183" s="238"/>
      <c r="F183" s="240" t="s">
        <v>147</v>
      </c>
    </row>
    <row r="184" spans="1:7" x14ac:dyDescent="0.3">
      <c r="A184" s="241" t="s">
        <v>33</v>
      </c>
      <c r="B184" s="241" t="s">
        <v>20</v>
      </c>
      <c r="C184" s="241" t="s">
        <v>44</v>
      </c>
      <c r="D184" s="242" t="s">
        <v>0</v>
      </c>
      <c r="E184" s="241"/>
      <c r="F184" s="243" t="s">
        <v>590</v>
      </c>
    </row>
    <row r="185" spans="1:7" ht="26" x14ac:dyDescent="0.3">
      <c r="A185" s="245" t="s">
        <v>33</v>
      </c>
      <c r="B185" s="245" t="s">
        <v>20</v>
      </c>
      <c r="C185" s="245" t="s">
        <v>44</v>
      </c>
      <c r="D185" s="245" t="s">
        <v>0</v>
      </c>
      <c r="E185" s="245" t="s">
        <v>1</v>
      </c>
      <c r="F185" s="247" t="s">
        <v>149</v>
      </c>
      <c r="G185" s="255" t="s">
        <v>1550</v>
      </c>
    </row>
    <row r="186" spans="1:7" x14ac:dyDescent="0.3">
      <c r="A186" s="245" t="s">
        <v>33</v>
      </c>
      <c r="B186" s="245" t="s">
        <v>20</v>
      </c>
      <c r="C186" s="245" t="s">
        <v>44</v>
      </c>
      <c r="D186" s="245" t="s">
        <v>0</v>
      </c>
      <c r="E186" s="245" t="s">
        <v>3</v>
      </c>
      <c r="F186" s="247" t="s">
        <v>150</v>
      </c>
      <c r="G186" s="255" t="s">
        <v>1411</v>
      </c>
    </row>
    <row r="187" spans="1:7" x14ac:dyDescent="0.3">
      <c r="A187" s="245" t="s">
        <v>33</v>
      </c>
      <c r="B187" s="245" t="s">
        <v>20</v>
      </c>
      <c r="C187" s="245" t="s">
        <v>44</v>
      </c>
      <c r="D187" s="245" t="s">
        <v>0</v>
      </c>
      <c r="E187" s="245" t="s">
        <v>5</v>
      </c>
      <c r="F187" s="247" t="s">
        <v>151</v>
      </c>
      <c r="G187" s="255" t="s">
        <v>1411</v>
      </c>
    </row>
    <row r="188" spans="1:7" x14ac:dyDescent="0.3">
      <c r="A188" s="245" t="s">
        <v>33</v>
      </c>
      <c r="B188" s="245" t="s">
        <v>20</v>
      </c>
      <c r="C188" s="245" t="s">
        <v>44</v>
      </c>
      <c r="D188" s="245" t="s">
        <v>0</v>
      </c>
      <c r="E188" s="245" t="s">
        <v>7</v>
      </c>
      <c r="F188" s="247" t="s">
        <v>153</v>
      </c>
      <c r="G188" s="257" t="s">
        <v>1412</v>
      </c>
    </row>
    <row r="189" spans="1:7" x14ac:dyDescent="0.3">
      <c r="A189" s="245" t="s">
        <v>33</v>
      </c>
      <c r="B189" s="245" t="s">
        <v>20</v>
      </c>
      <c r="C189" s="245" t="s">
        <v>44</v>
      </c>
      <c r="D189" s="245" t="s">
        <v>0</v>
      </c>
      <c r="E189" s="245" t="s">
        <v>9</v>
      </c>
      <c r="F189" s="247" t="s">
        <v>548</v>
      </c>
      <c r="G189" s="257" t="s">
        <v>1413</v>
      </c>
    </row>
    <row r="190" spans="1:7" x14ac:dyDescent="0.3">
      <c r="A190" s="245" t="s">
        <v>33</v>
      </c>
      <c r="B190" s="245" t="s">
        <v>20</v>
      </c>
      <c r="C190" s="245" t="s">
        <v>44</v>
      </c>
      <c r="D190" s="245" t="s">
        <v>0</v>
      </c>
      <c r="E190" s="245" t="s">
        <v>10</v>
      </c>
      <c r="F190" s="247" t="s">
        <v>148</v>
      </c>
      <c r="G190" s="255" t="s">
        <v>1414</v>
      </c>
    </row>
    <row r="191" spans="1:7" x14ac:dyDescent="0.3">
      <c r="A191" s="245" t="s">
        <v>33</v>
      </c>
      <c r="B191" s="245" t="s">
        <v>20</v>
      </c>
      <c r="C191" s="245" t="s">
        <v>44</v>
      </c>
      <c r="D191" s="245" t="s">
        <v>0</v>
      </c>
      <c r="E191" s="245" t="s">
        <v>43</v>
      </c>
      <c r="F191" s="247" t="s">
        <v>591</v>
      </c>
      <c r="G191" s="255" t="s">
        <v>1415</v>
      </c>
    </row>
    <row r="192" spans="1:7" x14ac:dyDescent="0.3">
      <c r="A192" s="241" t="s">
        <v>33</v>
      </c>
      <c r="B192" s="241" t="s">
        <v>20</v>
      </c>
      <c r="C192" s="241" t="s">
        <v>44</v>
      </c>
      <c r="D192" s="242" t="s">
        <v>2</v>
      </c>
      <c r="E192" s="241"/>
      <c r="F192" s="243" t="s">
        <v>152</v>
      </c>
    </row>
    <row r="193" spans="1:7" x14ac:dyDescent="0.3">
      <c r="A193" s="245" t="s">
        <v>33</v>
      </c>
      <c r="B193" s="245" t="s">
        <v>20</v>
      </c>
      <c r="C193" s="245" t="s">
        <v>44</v>
      </c>
      <c r="D193" s="245" t="s">
        <v>2</v>
      </c>
      <c r="E193" s="245" t="s">
        <v>1</v>
      </c>
      <c r="F193" s="247" t="s">
        <v>888</v>
      </c>
      <c r="G193" s="255" t="s">
        <v>1532</v>
      </c>
    </row>
    <row r="194" spans="1:7" x14ac:dyDescent="0.3">
      <c r="A194" s="245" t="s">
        <v>33</v>
      </c>
      <c r="B194" s="245" t="s">
        <v>20</v>
      </c>
      <c r="C194" s="245" t="s">
        <v>44</v>
      </c>
      <c r="D194" s="245" t="s">
        <v>2</v>
      </c>
      <c r="E194" s="245" t="s">
        <v>3</v>
      </c>
      <c r="F194" s="247" t="s">
        <v>889</v>
      </c>
      <c r="G194" s="255" t="s">
        <v>1533</v>
      </c>
    </row>
    <row r="195" spans="1:7" x14ac:dyDescent="0.3">
      <c r="A195" s="245" t="s">
        <v>33</v>
      </c>
      <c r="B195" s="245" t="s">
        <v>20</v>
      </c>
      <c r="C195" s="245" t="s">
        <v>44</v>
      </c>
      <c r="D195" s="245" t="s">
        <v>2</v>
      </c>
      <c r="E195" s="245" t="s">
        <v>5</v>
      </c>
      <c r="F195" s="247" t="s">
        <v>592</v>
      </c>
      <c r="G195" s="255" t="s">
        <v>1416</v>
      </c>
    </row>
    <row r="196" spans="1:7" x14ac:dyDescent="0.3">
      <c r="A196" s="245" t="s">
        <v>33</v>
      </c>
      <c r="B196" s="245" t="s">
        <v>20</v>
      </c>
      <c r="C196" s="245" t="s">
        <v>44</v>
      </c>
      <c r="D196" s="245" t="s">
        <v>2</v>
      </c>
      <c r="E196" s="245" t="s">
        <v>7</v>
      </c>
      <c r="F196" s="247" t="s">
        <v>154</v>
      </c>
      <c r="G196" s="255" t="s">
        <v>1417</v>
      </c>
    </row>
    <row r="197" spans="1:7" x14ac:dyDescent="0.3">
      <c r="A197" s="238" t="s">
        <v>33</v>
      </c>
      <c r="B197" s="238" t="s">
        <v>20</v>
      </c>
      <c r="C197" s="238" t="s">
        <v>54</v>
      </c>
      <c r="D197" s="238"/>
      <c r="E197" s="238"/>
      <c r="F197" s="240" t="s">
        <v>155</v>
      </c>
    </row>
    <row r="198" spans="1:7" x14ac:dyDescent="0.3">
      <c r="A198" s="241" t="s">
        <v>33</v>
      </c>
      <c r="B198" s="241" t="s">
        <v>20</v>
      </c>
      <c r="C198" s="241" t="s">
        <v>54</v>
      </c>
      <c r="D198" s="242" t="s">
        <v>0</v>
      </c>
      <c r="E198" s="241"/>
      <c r="F198" s="243" t="s">
        <v>156</v>
      </c>
    </row>
    <row r="199" spans="1:7" x14ac:dyDescent="0.3">
      <c r="A199" s="245" t="s">
        <v>33</v>
      </c>
      <c r="B199" s="245" t="s">
        <v>20</v>
      </c>
      <c r="C199" s="245" t="s">
        <v>54</v>
      </c>
      <c r="D199" s="245" t="s">
        <v>0</v>
      </c>
      <c r="E199" s="245" t="s">
        <v>1</v>
      </c>
      <c r="F199" s="247" t="s">
        <v>157</v>
      </c>
      <c r="G199" s="255" t="s">
        <v>1418</v>
      </c>
    </row>
    <row r="200" spans="1:7" x14ac:dyDescent="0.3">
      <c r="A200" s="245" t="s">
        <v>33</v>
      </c>
      <c r="B200" s="245" t="s">
        <v>20</v>
      </c>
      <c r="C200" s="245" t="s">
        <v>54</v>
      </c>
      <c r="D200" s="245" t="s">
        <v>0</v>
      </c>
      <c r="E200" s="245" t="s">
        <v>3</v>
      </c>
      <c r="F200" s="247" t="s">
        <v>158</v>
      </c>
      <c r="G200" s="255" t="s">
        <v>1419</v>
      </c>
    </row>
    <row r="201" spans="1:7" x14ac:dyDescent="0.3">
      <c r="A201" s="245" t="s">
        <v>33</v>
      </c>
      <c r="B201" s="245" t="s">
        <v>20</v>
      </c>
      <c r="C201" s="245" t="s">
        <v>54</v>
      </c>
      <c r="D201" s="245" t="s">
        <v>0</v>
      </c>
      <c r="E201" s="245" t="s">
        <v>5</v>
      </c>
      <c r="F201" s="247" t="s">
        <v>847</v>
      </c>
      <c r="G201" s="253" t="s">
        <v>1534</v>
      </c>
    </row>
    <row r="202" spans="1:7" x14ac:dyDescent="0.3">
      <c r="A202" s="245" t="s">
        <v>33</v>
      </c>
      <c r="B202" s="245" t="s">
        <v>20</v>
      </c>
      <c r="C202" s="245" t="s">
        <v>54</v>
      </c>
      <c r="D202" s="245" t="s">
        <v>0</v>
      </c>
      <c r="E202" s="245" t="s">
        <v>43</v>
      </c>
      <c r="F202" s="247" t="s">
        <v>159</v>
      </c>
      <c r="G202" s="255" t="s">
        <v>1415</v>
      </c>
    </row>
    <row r="203" spans="1:7" x14ac:dyDescent="0.3">
      <c r="A203" s="236" t="s">
        <v>33</v>
      </c>
      <c r="B203" s="236" t="s">
        <v>33</v>
      </c>
      <c r="C203" s="236"/>
      <c r="D203" s="236"/>
      <c r="E203" s="236"/>
      <c r="F203" s="237" t="s">
        <v>160</v>
      </c>
    </row>
    <row r="204" spans="1:7" x14ac:dyDescent="0.3">
      <c r="A204" s="238" t="s">
        <v>33</v>
      </c>
      <c r="B204" s="238" t="s">
        <v>33</v>
      </c>
      <c r="C204" s="238" t="s">
        <v>20</v>
      </c>
      <c r="D204" s="239"/>
      <c r="E204" s="238"/>
      <c r="F204" s="240" t="s">
        <v>579</v>
      </c>
    </row>
    <row r="205" spans="1:7" x14ac:dyDescent="0.3">
      <c r="A205" s="241" t="s">
        <v>33</v>
      </c>
      <c r="B205" s="241" t="s">
        <v>33</v>
      </c>
      <c r="C205" s="241" t="s">
        <v>20</v>
      </c>
      <c r="D205" s="241" t="s">
        <v>0</v>
      </c>
      <c r="E205" s="241"/>
      <c r="F205" s="243" t="s">
        <v>161</v>
      </c>
    </row>
    <row r="206" spans="1:7" x14ac:dyDescent="0.3">
      <c r="A206" s="245" t="s">
        <v>33</v>
      </c>
      <c r="B206" s="245" t="s">
        <v>33</v>
      </c>
      <c r="C206" s="245" t="s">
        <v>20</v>
      </c>
      <c r="D206" s="245" t="s">
        <v>0</v>
      </c>
      <c r="E206" s="245" t="s">
        <v>1</v>
      </c>
      <c r="F206" s="247" t="s">
        <v>162</v>
      </c>
      <c r="G206" s="255" t="s">
        <v>1420</v>
      </c>
    </row>
    <row r="207" spans="1:7" x14ac:dyDescent="0.3">
      <c r="A207" s="245" t="s">
        <v>33</v>
      </c>
      <c r="B207" s="245" t="s">
        <v>33</v>
      </c>
      <c r="C207" s="245" t="s">
        <v>20</v>
      </c>
      <c r="D207" s="245" t="s">
        <v>0</v>
      </c>
      <c r="E207" s="245" t="s">
        <v>3</v>
      </c>
      <c r="F207" s="247" t="s">
        <v>162</v>
      </c>
      <c r="G207" s="255" t="s">
        <v>1420</v>
      </c>
    </row>
    <row r="208" spans="1:7" x14ac:dyDescent="0.3">
      <c r="A208" s="241" t="s">
        <v>33</v>
      </c>
      <c r="B208" s="241" t="s">
        <v>33</v>
      </c>
      <c r="C208" s="241" t="s">
        <v>20</v>
      </c>
      <c r="D208" s="241" t="s">
        <v>2</v>
      </c>
      <c r="E208" s="241"/>
      <c r="F208" s="243" t="s">
        <v>529</v>
      </c>
    </row>
    <row r="209" spans="1:7" x14ac:dyDescent="0.3">
      <c r="A209" s="245" t="s">
        <v>33</v>
      </c>
      <c r="B209" s="245" t="s">
        <v>33</v>
      </c>
      <c r="C209" s="245" t="s">
        <v>20</v>
      </c>
      <c r="D209" s="245" t="s">
        <v>2</v>
      </c>
      <c r="E209" s="245" t="s">
        <v>1</v>
      </c>
      <c r="F209" s="247" t="s">
        <v>530</v>
      </c>
      <c r="G209" s="255" t="s">
        <v>1421</v>
      </c>
    </row>
    <row r="210" spans="1:7" x14ac:dyDescent="0.3">
      <c r="A210" s="245" t="s">
        <v>33</v>
      </c>
      <c r="B210" s="245" t="s">
        <v>33</v>
      </c>
      <c r="C210" s="245" t="s">
        <v>20</v>
      </c>
      <c r="D210" s="245" t="s">
        <v>2</v>
      </c>
      <c r="E210" s="245" t="s">
        <v>3</v>
      </c>
      <c r="F210" s="247" t="s">
        <v>530</v>
      </c>
      <c r="G210" s="255" t="s">
        <v>1421</v>
      </c>
    </row>
    <row r="211" spans="1:7" x14ac:dyDescent="0.3">
      <c r="A211" s="238" t="s">
        <v>33</v>
      </c>
      <c r="B211" s="238" t="s">
        <v>33</v>
      </c>
      <c r="C211" s="238" t="s">
        <v>33</v>
      </c>
      <c r="D211" s="239"/>
      <c r="E211" s="238"/>
      <c r="F211" s="240" t="s">
        <v>163</v>
      </c>
    </row>
    <row r="212" spans="1:7" x14ac:dyDescent="0.3">
      <c r="A212" s="241" t="s">
        <v>33</v>
      </c>
      <c r="B212" s="241" t="s">
        <v>33</v>
      </c>
      <c r="C212" s="241" t="s">
        <v>33</v>
      </c>
      <c r="D212" s="241" t="s">
        <v>0</v>
      </c>
      <c r="E212" s="241"/>
      <c r="F212" s="248" t="s">
        <v>580</v>
      </c>
    </row>
    <row r="213" spans="1:7" x14ac:dyDescent="0.3">
      <c r="A213" s="245" t="s">
        <v>33</v>
      </c>
      <c r="B213" s="245" t="s">
        <v>33</v>
      </c>
      <c r="C213" s="245" t="s">
        <v>33</v>
      </c>
      <c r="D213" s="245" t="s">
        <v>0</v>
      </c>
      <c r="E213" s="245" t="s">
        <v>1</v>
      </c>
      <c r="F213" s="247" t="s">
        <v>164</v>
      </c>
      <c r="G213" s="255" t="s">
        <v>1422</v>
      </c>
    </row>
    <row r="214" spans="1:7" x14ac:dyDescent="0.3">
      <c r="A214" s="245" t="s">
        <v>33</v>
      </c>
      <c r="B214" s="245" t="s">
        <v>33</v>
      </c>
      <c r="C214" s="245" t="s">
        <v>33</v>
      </c>
      <c r="D214" s="245" t="s">
        <v>0</v>
      </c>
      <c r="E214" s="245" t="s">
        <v>3</v>
      </c>
      <c r="F214" s="247" t="s">
        <v>165</v>
      </c>
      <c r="G214" s="255" t="s">
        <v>1423</v>
      </c>
    </row>
    <row r="215" spans="1:7" x14ac:dyDescent="0.3">
      <c r="A215" s="234" t="s">
        <v>44</v>
      </c>
      <c r="B215" s="234"/>
      <c r="C215" s="234"/>
      <c r="D215" s="234"/>
      <c r="E215" s="234"/>
      <c r="F215" s="235" t="s">
        <v>166</v>
      </c>
    </row>
    <row r="216" spans="1:7" x14ac:dyDescent="0.3">
      <c r="A216" s="236" t="s">
        <v>44</v>
      </c>
      <c r="B216" s="236" t="s">
        <v>20</v>
      </c>
      <c r="C216" s="236"/>
      <c r="D216" s="236"/>
      <c r="E216" s="236"/>
      <c r="F216" s="237" t="s">
        <v>558</v>
      </c>
    </row>
    <row r="217" spans="1:7" x14ac:dyDescent="0.3">
      <c r="A217" s="238" t="s">
        <v>44</v>
      </c>
      <c r="B217" s="238" t="s">
        <v>20</v>
      </c>
      <c r="C217" s="238" t="s">
        <v>20</v>
      </c>
      <c r="D217" s="238"/>
      <c r="E217" s="238"/>
      <c r="F217" s="240" t="s">
        <v>168</v>
      </c>
    </row>
    <row r="218" spans="1:7" x14ac:dyDescent="0.3">
      <c r="A218" s="241" t="s">
        <v>44</v>
      </c>
      <c r="B218" s="241" t="s">
        <v>20</v>
      </c>
      <c r="C218" s="241" t="s">
        <v>20</v>
      </c>
      <c r="D218" s="242" t="s">
        <v>0</v>
      </c>
      <c r="E218" s="241"/>
      <c r="F218" s="243" t="s">
        <v>167</v>
      </c>
    </row>
    <row r="219" spans="1:7" x14ac:dyDescent="0.3">
      <c r="A219" s="245" t="s">
        <v>44</v>
      </c>
      <c r="B219" s="245" t="s">
        <v>20</v>
      </c>
      <c r="C219" s="245" t="s">
        <v>20</v>
      </c>
      <c r="D219" s="245" t="s">
        <v>0</v>
      </c>
      <c r="E219" s="245" t="s">
        <v>1</v>
      </c>
      <c r="F219" s="247" t="s">
        <v>848</v>
      </c>
      <c r="G219" s="253" t="s">
        <v>1535</v>
      </c>
    </row>
    <row r="220" spans="1:7" x14ac:dyDescent="0.3">
      <c r="A220" s="245" t="s">
        <v>44</v>
      </c>
      <c r="B220" s="245" t="s">
        <v>20</v>
      </c>
      <c r="C220" s="245" t="s">
        <v>20</v>
      </c>
      <c r="D220" s="245" t="s">
        <v>0</v>
      </c>
      <c r="E220" s="245" t="s">
        <v>3</v>
      </c>
      <c r="F220" s="249" t="s">
        <v>169</v>
      </c>
      <c r="G220" s="253" t="s">
        <v>1536</v>
      </c>
    </row>
    <row r="221" spans="1:7" x14ac:dyDescent="0.3">
      <c r="A221" s="245" t="s">
        <v>44</v>
      </c>
      <c r="B221" s="245" t="s">
        <v>20</v>
      </c>
      <c r="C221" s="245" t="s">
        <v>20</v>
      </c>
      <c r="D221" s="245" t="s">
        <v>0</v>
      </c>
      <c r="E221" s="245" t="s">
        <v>5</v>
      </c>
      <c r="F221" s="249" t="s">
        <v>170</v>
      </c>
      <c r="G221" s="255" t="s">
        <v>1424</v>
      </c>
    </row>
    <row r="222" spans="1:7" x14ac:dyDescent="0.3">
      <c r="A222" s="241" t="s">
        <v>44</v>
      </c>
      <c r="B222" s="241" t="s">
        <v>20</v>
      </c>
      <c r="C222" s="241" t="s">
        <v>20</v>
      </c>
      <c r="D222" s="241" t="s">
        <v>2</v>
      </c>
      <c r="E222" s="241"/>
      <c r="F222" s="248" t="s">
        <v>559</v>
      </c>
    </row>
    <row r="223" spans="1:7" x14ac:dyDescent="0.3">
      <c r="A223" s="245" t="s">
        <v>44</v>
      </c>
      <c r="B223" s="245" t="s">
        <v>20</v>
      </c>
      <c r="C223" s="245" t="s">
        <v>20</v>
      </c>
      <c r="D223" s="245" t="s">
        <v>2</v>
      </c>
      <c r="E223" s="245" t="s">
        <v>1</v>
      </c>
      <c r="F223" s="247" t="s">
        <v>171</v>
      </c>
      <c r="G223" s="255" t="s">
        <v>1425</v>
      </c>
    </row>
    <row r="224" spans="1:7" x14ac:dyDescent="0.3">
      <c r="A224" s="245" t="s">
        <v>44</v>
      </c>
      <c r="B224" s="245" t="s">
        <v>20</v>
      </c>
      <c r="C224" s="245" t="s">
        <v>20</v>
      </c>
      <c r="D224" s="245" t="s">
        <v>2</v>
      </c>
      <c r="E224" s="245" t="s">
        <v>3</v>
      </c>
      <c r="F224" s="247" t="s">
        <v>172</v>
      </c>
      <c r="G224" s="255" t="s">
        <v>1426</v>
      </c>
    </row>
    <row r="225" spans="1:7" x14ac:dyDescent="0.3">
      <c r="A225" s="245" t="s">
        <v>44</v>
      </c>
      <c r="B225" s="245" t="s">
        <v>20</v>
      </c>
      <c r="C225" s="245" t="s">
        <v>20</v>
      </c>
      <c r="D225" s="245" t="s">
        <v>2</v>
      </c>
      <c r="E225" s="245" t="s">
        <v>5</v>
      </c>
      <c r="F225" s="247" t="s">
        <v>104</v>
      </c>
      <c r="G225" s="255" t="s">
        <v>1398</v>
      </c>
    </row>
    <row r="226" spans="1:7" x14ac:dyDescent="0.3">
      <c r="A226" s="245" t="s">
        <v>44</v>
      </c>
      <c r="B226" s="245" t="s">
        <v>20</v>
      </c>
      <c r="C226" s="245" t="s">
        <v>20</v>
      </c>
      <c r="D226" s="245" t="s">
        <v>2</v>
      </c>
      <c r="E226" s="245" t="s">
        <v>7</v>
      </c>
      <c r="F226" s="247" t="s">
        <v>849</v>
      </c>
      <c r="G226" s="255" t="s">
        <v>1398</v>
      </c>
    </row>
    <row r="227" spans="1:7" x14ac:dyDescent="0.3">
      <c r="A227" s="234" t="s">
        <v>54</v>
      </c>
      <c r="B227" s="234"/>
      <c r="C227" s="234"/>
      <c r="D227" s="234"/>
      <c r="E227" s="234"/>
      <c r="F227" s="235" t="s">
        <v>173</v>
      </c>
    </row>
    <row r="228" spans="1:7" x14ac:dyDescent="0.3">
      <c r="A228" s="236" t="s">
        <v>54</v>
      </c>
      <c r="B228" s="236" t="s">
        <v>20</v>
      </c>
      <c r="C228" s="236"/>
      <c r="D228" s="236"/>
      <c r="E228" s="236"/>
      <c r="F228" s="237" t="s">
        <v>175</v>
      </c>
    </row>
    <row r="229" spans="1:7" x14ac:dyDescent="0.3">
      <c r="A229" s="238" t="s">
        <v>54</v>
      </c>
      <c r="B229" s="238" t="s">
        <v>20</v>
      </c>
      <c r="C229" s="238" t="s">
        <v>20</v>
      </c>
      <c r="D229" s="238"/>
      <c r="E229" s="238"/>
      <c r="F229" s="240" t="s">
        <v>177</v>
      </c>
    </row>
    <row r="230" spans="1:7" x14ac:dyDescent="0.3">
      <c r="A230" s="241" t="s">
        <v>54</v>
      </c>
      <c r="B230" s="241" t="s">
        <v>20</v>
      </c>
      <c r="C230" s="241" t="s">
        <v>20</v>
      </c>
      <c r="D230" s="242" t="s">
        <v>0</v>
      </c>
      <c r="E230" s="241"/>
      <c r="F230" s="243" t="s">
        <v>176</v>
      </c>
    </row>
    <row r="231" spans="1:7" x14ac:dyDescent="0.3">
      <c r="A231" s="245" t="s">
        <v>54</v>
      </c>
      <c r="B231" s="245" t="s">
        <v>20</v>
      </c>
      <c r="C231" s="245" t="s">
        <v>20</v>
      </c>
      <c r="D231" s="245" t="s">
        <v>0</v>
      </c>
      <c r="E231" s="245" t="s">
        <v>1</v>
      </c>
      <c r="F231" s="247" t="s">
        <v>178</v>
      </c>
      <c r="G231" s="255" t="s">
        <v>1427</v>
      </c>
    </row>
    <row r="232" spans="1:7" x14ac:dyDescent="0.3">
      <c r="A232" s="245" t="s">
        <v>54</v>
      </c>
      <c r="B232" s="245" t="s">
        <v>20</v>
      </c>
      <c r="C232" s="245" t="s">
        <v>20</v>
      </c>
      <c r="D232" s="245" t="s">
        <v>0</v>
      </c>
      <c r="E232" s="245" t="s">
        <v>3</v>
      </c>
      <c r="F232" s="247" t="s">
        <v>179</v>
      </c>
      <c r="G232" s="255" t="s">
        <v>1537</v>
      </c>
    </row>
    <row r="233" spans="1:7" x14ac:dyDescent="0.3">
      <c r="A233" s="245" t="s">
        <v>54</v>
      </c>
      <c r="B233" s="245" t="s">
        <v>20</v>
      </c>
      <c r="C233" s="245" t="s">
        <v>20</v>
      </c>
      <c r="D233" s="245" t="s">
        <v>0</v>
      </c>
      <c r="E233" s="245" t="s">
        <v>5</v>
      </c>
      <c r="F233" s="247" t="s">
        <v>180</v>
      </c>
      <c r="G233" s="255" t="s">
        <v>1427</v>
      </c>
    </row>
    <row r="234" spans="1:7" x14ac:dyDescent="0.3">
      <c r="A234" s="238" t="s">
        <v>54</v>
      </c>
      <c r="B234" s="238" t="s">
        <v>20</v>
      </c>
      <c r="C234" s="238" t="s">
        <v>33</v>
      </c>
      <c r="D234" s="238"/>
      <c r="E234" s="238"/>
      <c r="F234" s="240" t="s">
        <v>181</v>
      </c>
    </row>
    <row r="235" spans="1:7" x14ac:dyDescent="0.3">
      <c r="A235" s="241" t="s">
        <v>54</v>
      </c>
      <c r="B235" s="241" t="s">
        <v>20</v>
      </c>
      <c r="C235" s="241" t="s">
        <v>33</v>
      </c>
      <c r="D235" s="242" t="s">
        <v>0</v>
      </c>
      <c r="E235" s="241"/>
      <c r="F235" s="243" t="s">
        <v>182</v>
      </c>
    </row>
    <row r="236" spans="1:7" x14ac:dyDescent="0.3">
      <c r="A236" s="245" t="s">
        <v>54</v>
      </c>
      <c r="B236" s="245" t="s">
        <v>20</v>
      </c>
      <c r="C236" s="245" t="s">
        <v>33</v>
      </c>
      <c r="D236" s="245" t="s">
        <v>0</v>
      </c>
      <c r="E236" s="245" t="s">
        <v>1</v>
      </c>
      <c r="F236" s="247" t="s">
        <v>183</v>
      </c>
      <c r="G236" s="253" t="s">
        <v>1539</v>
      </c>
    </row>
    <row r="237" spans="1:7" x14ac:dyDescent="0.3">
      <c r="A237" s="245" t="s">
        <v>54</v>
      </c>
      <c r="B237" s="245" t="s">
        <v>20</v>
      </c>
      <c r="C237" s="245" t="s">
        <v>33</v>
      </c>
      <c r="D237" s="245" t="s">
        <v>0</v>
      </c>
      <c r="E237" s="245" t="s">
        <v>3</v>
      </c>
      <c r="F237" s="247" t="s">
        <v>184</v>
      </c>
      <c r="G237" s="253" t="s">
        <v>1539</v>
      </c>
    </row>
    <row r="238" spans="1:7" x14ac:dyDescent="0.3">
      <c r="A238" s="245" t="s">
        <v>54</v>
      </c>
      <c r="B238" s="245" t="s">
        <v>20</v>
      </c>
      <c r="C238" s="245" t="s">
        <v>33</v>
      </c>
      <c r="D238" s="245" t="s">
        <v>0</v>
      </c>
      <c r="E238" s="245" t="s">
        <v>5</v>
      </c>
      <c r="F238" s="247" t="s">
        <v>897</v>
      </c>
      <c r="G238" s="253" t="s">
        <v>1538</v>
      </c>
    </row>
    <row r="239" spans="1:7" x14ac:dyDescent="0.3">
      <c r="A239" s="245" t="s">
        <v>54</v>
      </c>
      <c r="B239" s="245" t="s">
        <v>20</v>
      </c>
      <c r="C239" s="245" t="s">
        <v>33</v>
      </c>
      <c r="D239" s="245" t="s">
        <v>0</v>
      </c>
      <c r="E239" s="245" t="s">
        <v>7</v>
      </c>
      <c r="F239" s="247" t="s">
        <v>185</v>
      </c>
      <c r="G239" s="255" t="s">
        <v>1427</v>
      </c>
    </row>
    <row r="240" spans="1:7" x14ac:dyDescent="0.3">
      <c r="A240" s="245" t="s">
        <v>54</v>
      </c>
      <c r="B240" s="245" t="s">
        <v>20</v>
      </c>
      <c r="C240" s="245" t="s">
        <v>33</v>
      </c>
      <c r="D240" s="245" t="s">
        <v>0</v>
      </c>
      <c r="E240" s="245" t="s">
        <v>9</v>
      </c>
      <c r="F240" s="247" t="s">
        <v>186</v>
      </c>
      <c r="G240" s="255" t="s">
        <v>1427</v>
      </c>
    </row>
    <row r="241" spans="1:7" x14ac:dyDescent="0.3">
      <c r="A241" s="245" t="s">
        <v>54</v>
      </c>
      <c r="B241" s="245" t="s">
        <v>20</v>
      </c>
      <c r="C241" s="245" t="s">
        <v>33</v>
      </c>
      <c r="D241" s="245" t="s">
        <v>0</v>
      </c>
      <c r="E241" s="245" t="s">
        <v>9</v>
      </c>
      <c r="F241" s="247" t="s">
        <v>187</v>
      </c>
      <c r="G241" s="255" t="s">
        <v>1427</v>
      </c>
    </row>
    <row r="242" spans="1:7" x14ac:dyDescent="0.3">
      <c r="A242" s="241" t="s">
        <v>54</v>
      </c>
      <c r="B242" s="241" t="s">
        <v>20</v>
      </c>
      <c r="C242" s="241" t="s">
        <v>33</v>
      </c>
      <c r="D242" s="242" t="s">
        <v>2</v>
      </c>
      <c r="E242" s="241"/>
      <c r="F242" s="243" t="s">
        <v>188</v>
      </c>
    </row>
    <row r="243" spans="1:7" x14ac:dyDescent="0.3">
      <c r="A243" s="245" t="s">
        <v>54</v>
      </c>
      <c r="B243" s="245" t="s">
        <v>20</v>
      </c>
      <c r="C243" s="245" t="s">
        <v>33</v>
      </c>
      <c r="D243" s="245" t="s">
        <v>2</v>
      </c>
      <c r="E243" s="245" t="s">
        <v>1</v>
      </c>
      <c r="F243" s="247" t="s">
        <v>189</v>
      </c>
      <c r="G243" s="255" t="s">
        <v>1427</v>
      </c>
    </row>
    <row r="244" spans="1:7" x14ac:dyDescent="0.3">
      <c r="A244" s="245" t="s">
        <v>54</v>
      </c>
      <c r="B244" s="245" t="s">
        <v>20</v>
      </c>
      <c r="C244" s="245" t="s">
        <v>33</v>
      </c>
      <c r="D244" s="245" t="s">
        <v>2</v>
      </c>
      <c r="E244" s="245" t="s">
        <v>3</v>
      </c>
      <c r="F244" s="247" t="s">
        <v>190</v>
      </c>
      <c r="G244" s="255" t="s">
        <v>1427</v>
      </c>
    </row>
    <row r="245" spans="1:7" x14ac:dyDescent="0.3">
      <c r="A245" s="245" t="s">
        <v>54</v>
      </c>
      <c r="B245" s="245" t="s">
        <v>20</v>
      </c>
      <c r="C245" s="245" t="s">
        <v>33</v>
      </c>
      <c r="D245" s="245" t="s">
        <v>2</v>
      </c>
      <c r="E245" s="245" t="s">
        <v>5</v>
      </c>
      <c r="F245" s="247" t="s">
        <v>191</v>
      </c>
      <c r="G245" s="255" t="s">
        <v>1427</v>
      </c>
    </row>
    <row r="246" spans="1:7" x14ac:dyDescent="0.3">
      <c r="A246" s="245" t="s">
        <v>54</v>
      </c>
      <c r="B246" s="245" t="s">
        <v>20</v>
      </c>
      <c r="C246" s="245" t="s">
        <v>33</v>
      </c>
      <c r="D246" s="245" t="s">
        <v>2</v>
      </c>
      <c r="E246" s="245" t="s">
        <v>7</v>
      </c>
      <c r="F246" s="247" t="s">
        <v>192</v>
      </c>
      <c r="G246" s="255" t="s">
        <v>1427</v>
      </c>
    </row>
    <row r="247" spans="1:7" x14ac:dyDescent="0.3">
      <c r="A247" s="245" t="s">
        <v>54</v>
      </c>
      <c r="B247" s="245" t="s">
        <v>20</v>
      </c>
      <c r="C247" s="245" t="s">
        <v>33</v>
      </c>
      <c r="D247" s="245" t="s">
        <v>2</v>
      </c>
      <c r="E247" s="245" t="s">
        <v>9</v>
      </c>
      <c r="F247" s="247" t="s">
        <v>193</v>
      </c>
      <c r="G247" s="255" t="s">
        <v>1427</v>
      </c>
    </row>
    <row r="248" spans="1:7" x14ac:dyDescent="0.3">
      <c r="A248" s="241" t="s">
        <v>54</v>
      </c>
      <c r="B248" s="241" t="s">
        <v>20</v>
      </c>
      <c r="C248" s="241" t="s">
        <v>33</v>
      </c>
      <c r="D248" s="241" t="s">
        <v>4</v>
      </c>
      <c r="E248" s="241"/>
      <c r="F248" s="243" t="s">
        <v>194</v>
      </c>
    </row>
    <row r="249" spans="1:7" x14ac:dyDescent="0.3">
      <c r="A249" s="245" t="s">
        <v>54</v>
      </c>
      <c r="B249" s="245" t="s">
        <v>20</v>
      </c>
      <c r="C249" s="245" t="s">
        <v>33</v>
      </c>
      <c r="D249" s="245" t="s">
        <v>4</v>
      </c>
      <c r="E249" s="245" t="s">
        <v>1</v>
      </c>
      <c r="F249" s="247" t="s">
        <v>195</v>
      </c>
      <c r="G249" s="255" t="s">
        <v>1427</v>
      </c>
    </row>
    <row r="250" spans="1:7" x14ac:dyDescent="0.3">
      <c r="A250" s="245" t="s">
        <v>54</v>
      </c>
      <c r="B250" s="245" t="s">
        <v>20</v>
      </c>
      <c r="C250" s="245" t="s">
        <v>33</v>
      </c>
      <c r="D250" s="245" t="s">
        <v>4</v>
      </c>
      <c r="E250" s="245" t="s">
        <v>3</v>
      </c>
      <c r="F250" s="247" t="s">
        <v>196</v>
      </c>
      <c r="G250" s="255" t="s">
        <v>1427</v>
      </c>
    </row>
    <row r="251" spans="1:7" x14ac:dyDescent="0.3">
      <c r="A251" s="245" t="s">
        <v>54</v>
      </c>
      <c r="B251" s="245" t="s">
        <v>20</v>
      </c>
      <c r="C251" s="245" t="s">
        <v>33</v>
      </c>
      <c r="D251" s="245" t="s">
        <v>4</v>
      </c>
      <c r="E251" s="245" t="s">
        <v>5</v>
      </c>
      <c r="F251" s="247" t="s">
        <v>197</v>
      </c>
      <c r="G251" s="255" t="s">
        <v>1427</v>
      </c>
    </row>
    <row r="252" spans="1:7" x14ac:dyDescent="0.3">
      <c r="A252" s="245" t="s">
        <v>54</v>
      </c>
      <c r="B252" s="245" t="s">
        <v>20</v>
      </c>
      <c r="C252" s="245" t="s">
        <v>33</v>
      </c>
      <c r="D252" s="245" t="s">
        <v>4</v>
      </c>
      <c r="E252" s="245" t="s">
        <v>7</v>
      </c>
      <c r="F252" s="247" t="s">
        <v>198</v>
      </c>
      <c r="G252" s="255" t="s">
        <v>1427</v>
      </c>
    </row>
    <row r="253" spans="1:7" x14ac:dyDescent="0.3">
      <c r="A253" s="245" t="s">
        <v>54</v>
      </c>
      <c r="B253" s="245" t="s">
        <v>20</v>
      </c>
      <c r="C253" s="245" t="s">
        <v>33</v>
      </c>
      <c r="D253" s="245" t="s">
        <v>4</v>
      </c>
      <c r="E253" s="245" t="s">
        <v>9</v>
      </c>
      <c r="F253" s="247" t="s">
        <v>199</v>
      </c>
      <c r="G253" s="255" t="s">
        <v>1427</v>
      </c>
    </row>
    <row r="254" spans="1:7" x14ac:dyDescent="0.3">
      <c r="A254" s="238" t="s">
        <v>54</v>
      </c>
      <c r="B254" s="238" t="s">
        <v>20</v>
      </c>
      <c r="C254" s="238" t="s">
        <v>44</v>
      </c>
      <c r="D254" s="238"/>
      <c r="E254" s="238"/>
      <c r="F254" s="240" t="s">
        <v>200</v>
      </c>
    </row>
    <row r="255" spans="1:7" x14ac:dyDescent="0.3">
      <c r="A255" s="241" t="s">
        <v>54</v>
      </c>
      <c r="B255" s="241" t="s">
        <v>20</v>
      </c>
      <c r="C255" s="241" t="s">
        <v>44</v>
      </c>
      <c r="D255" s="242" t="s">
        <v>0</v>
      </c>
      <c r="E255" s="241"/>
      <c r="F255" s="243" t="s">
        <v>201</v>
      </c>
    </row>
    <row r="256" spans="1:7" x14ac:dyDescent="0.3">
      <c r="A256" s="245" t="s">
        <v>54</v>
      </c>
      <c r="B256" s="245" t="s">
        <v>20</v>
      </c>
      <c r="C256" s="245" t="s">
        <v>44</v>
      </c>
      <c r="D256" s="245" t="s">
        <v>0</v>
      </c>
      <c r="E256" s="245" t="s">
        <v>1</v>
      </c>
      <c r="F256" s="247" t="s">
        <v>202</v>
      </c>
      <c r="G256" s="255" t="s">
        <v>1427</v>
      </c>
    </row>
    <row r="257" spans="1:7" x14ac:dyDescent="0.3">
      <c r="A257" s="245" t="s">
        <v>54</v>
      </c>
      <c r="B257" s="245" t="s">
        <v>20</v>
      </c>
      <c r="C257" s="245" t="s">
        <v>44</v>
      </c>
      <c r="D257" s="245" t="s">
        <v>0</v>
      </c>
      <c r="E257" s="245" t="s">
        <v>3</v>
      </c>
      <c r="F257" s="247" t="s">
        <v>203</v>
      </c>
      <c r="G257" s="255" t="s">
        <v>1427</v>
      </c>
    </row>
    <row r="258" spans="1:7" x14ac:dyDescent="0.3">
      <c r="A258" s="245" t="s">
        <v>54</v>
      </c>
      <c r="B258" s="245" t="s">
        <v>20</v>
      </c>
      <c r="C258" s="245" t="s">
        <v>44</v>
      </c>
      <c r="D258" s="245" t="s">
        <v>0</v>
      </c>
      <c r="E258" s="245" t="s">
        <v>5</v>
      </c>
      <c r="F258" s="247" t="s">
        <v>204</v>
      </c>
      <c r="G258" s="255" t="s">
        <v>1427</v>
      </c>
    </row>
    <row r="259" spans="1:7" x14ac:dyDescent="0.3">
      <c r="A259" s="245" t="s">
        <v>54</v>
      </c>
      <c r="B259" s="245" t="s">
        <v>20</v>
      </c>
      <c r="C259" s="245" t="s">
        <v>44</v>
      </c>
      <c r="D259" s="245" t="s">
        <v>0</v>
      </c>
      <c r="E259" s="245" t="s">
        <v>7</v>
      </c>
      <c r="F259" s="247" t="s">
        <v>850</v>
      </c>
      <c r="G259" s="255" t="s">
        <v>1427</v>
      </c>
    </row>
    <row r="260" spans="1:7" x14ac:dyDescent="0.3">
      <c r="A260" s="245" t="s">
        <v>54</v>
      </c>
      <c r="B260" s="245" t="s">
        <v>20</v>
      </c>
      <c r="C260" s="245" t="s">
        <v>44</v>
      </c>
      <c r="D260" s="245" t="s">
        <v>0</v>
      </c>
      <c r="E260" s="245" t="s">
        <v>9</v>
      </c>
      <c r="F260" s="247" t="s">
        <v>387</v>
      </c>
      <c r="G260" s="255" t="s">
        <v>1427</v>
      </c>
    </row>
    <row r="261" spans="1:7" x14ac:dyDescent="0.3">
      <c r="A261" s="245" t="s">
        <v>54</v>
      </c>
      <c r="B261" s="245" t="s">
        <v>20</v>
      </c>
      <c r="C261" s="245" t="s">
        <v>44</v>
      </c>
      <c r="D261" s="245" t="s">
        <v>0</v>
      </c>
      <c r="E261" s="245" t="s">
        <v>10</v>
      </c>
      <c r="F261" s="247" t="s">
        <v>902</v>
      </c>
      <c r="G261" s="255" t="s">
        <v>1427</v>
      </c>
    </row>
    <row r="262" spans="1:7" x14ac:dyDescent="0.3">
      <c r="A262" s="245" t="s">
        <v>54</v>
      </c>
      <c r="B262" s="245" t="s">
        <v>20</v>
      </c>
      <c r="C262" s="245" t="s">
        <v>44</v>
      </c>
      <c r="D262" s="245" t="s">
        <v>0</v>
      </c>
      <c r="E262" s="245" t="s">
        <v>11</v>
      </c>
      <c r="F262" s="247" t="s">
        <v>851</v>
      </c>
      <c r="G262" s="253" t="s">
        <v>1540</v>
      </c>
    </row>
    <row r="263" spans="1:7" x14ac:dyDescent="0.3">
      <c r="A263" s="245" t="s">
        <v>54</v>
      </c>
      <c r="B263" s="245" t="s">
        <v>20</v>
      </c>
      <c r="C263" s="245" t="s">
        <v>44</v>
      </c>
      <c r="D263" s="245" t="s">
        <v>0</v>
      </c>
      <c r="E263" s="245" t="s">
        <v>13</v>
      </c>
      <c r="F263" s="247" t="s">
        <v>531</v>
      </c>
      <c r="G263" s="255" t="s">
        <v>1427</v>
      </c>
    </row>
    <row r="264" spans="1:7" x14ac:dyDescent="0.3">
      <c r="A264" s="245" t="s">
        <v>54</v>
      </c>
      <c r="B264" s="245" t="s">
        <v>20</v>
      </c>
      <c r="C264" s="245" t="s">
        <v>44</v>
      </c>
      <c r="D264" s="245" t="s">
        <v>0</v>
      </c>
      <c r="E264" s="245" t="s">
        <v>15</v>
      </c>
      <c r="F264" s="247" t="s">
        <v>532</v>
      </c>
      <c r="G264" s="255" t="s">
        <v>1427</v>
      </c>
    </row>
    <row r="265" spans="1:7" x14ac:dyDescent="0.3">
      <c r="A265" s="245" t="s">
        <v>54</v>
      </c>
      <c r="B265" s="245" t="s">
        <v>20</v>
      </c>
      <c r="C265" s="245" t="s">
        <v>44</v>
      </c>
      <c r="D265" s="245" t="s">
        <v>0</v>
      </c>
      <c r="E265" s="245" t="s">
        <v>238</v>
      </c>
      <c r="F265" s="247" t="s">
        <v>533</v>
      </c>
      <c r="G265" s="255" t="s">
        <v>1427</v>
      </c>
    </row>
    <row r="266" spans="1:7" x14ac:dyDescent="0.3">
      <c r="A266" s="245" t="s">
        <v>54</v>
      </c>
      <c r="B266" s="245" t="s">
        <v>20</v>
      </c>
      <c r="C266" s="245" t="s">
        <v>44</v>
      </c>
      <c r="D266" s="245" t="s">
        <v>0</v>
      </c>
      <c r="E266" s="245" t="s">
        <v>240</v>
      </c>
      <c r="F266" s="247" t="s">
        <v>852</v>
      </c>
      <c r="G266" s="255" t="s">
        <v>1427</v>
      </c>
    </row>
    <row r="267" spans="1:7" x14ac:dyDescent="0.3">
      <c r="A267" s="245" t="s">
        <v>54</v>
      </c>
      <c r="B267" s="245" t="s">
        <v>20</v>
      </c>
      <c r="C267" s="245" t="s">
        <v>44</v>
      </c>
      <c r="D267" s="245" t="s">
        <v>0</v>
      </c>
      <c r="E267" s="245" t="s">
        <v>331</v>
      </c>
      <c r="F267" s="247" t="s">
        <v>853</v>
      </c>
      <c r="G267" s="255" t="s">
        <v>1427</v>
      </c>
    </row>
    <row r="268" spans="1:7" x14ac:dyDescent="0.3">
      <c r="A268" s="245" t="s">
        <v>54</v>
      </c>
      <c r="B268" s="245" t="s">
        <v>20</v>
      </c>
      <c r="C268" s="245" t="s">
        <v>44</v>
      </c>
      <c r="D268" s="245" t="s">
        <v>0</v>
      </c>
      <c r="E268" s="245" t="s">
        <v>333</v>
      </c>
      <c r="F268" s="247" t="s">
        <v>903</v>
      </c>
      <c r="G268" s="255" t="s">
        <v>1427</v>
      </c>
    </row>
    <row r="269" spans="1:7" x14ac:dyDescent="0.3">
      <c r="A269" s="245" t="s">
        <v>54</v>
      </c>
      <c r="B269" s="245" t="s">
        <v>20</v>
      </c>
      <c r="C269" s="245" t="s">
        <v>44</v>
      </c>
      <c r="D269" s="245" t="s">
        <v>0</v>
      </c>
      <c r="E269" s="245" t="s">
        <v>43</v>
      </c>
      <c r="F269" s="247" t="s">
        <v>585</v>
      </c>
      <c r="G269" s="255" t="s">
        <v>1427</v>
      </c>
    </row>
    <row r="270" spans="1:7" x14ac:dyDescent="0.3">
      <c r="A270" s="234" t="s">
        <v>58</v>
      </c>
      <c r="B270" s="234"/>
      <c r="C270" s="234"/>
      <c r="D270" s="234"/>
      <c r="E270" s="234"/>
      <c r="F270" s="235" t="s">
        <v>205</v>
      </c>
    </row>
    <row r="271" spans="1:7" x14ac:dyDescent="0.3">
      <c r="A271" s="236" t="s">
        <v>58</v>
      </c>
      <c r="B271" s="236" t="s">
        <v>20</v>
      </c>
      <c r="C271" s="236"/>
      <c r="D271" s="236"/>
      <c r="E271" s="236"/>
      <c r="F271" s="237" t="s">
        <v>206</v>
      </c>
    </row>
    <row r="272" spans="1:7" x14ac:dyDescent="0.3">
      <c r="A272" s="238" t="s">
        <v>58</v>
      </c>
      <c r="B272" s="238" t="s">
        <v>20</v>
      </c>
      <c r="C272" s="238" t="s">
        <v>20</v>
      </c>
      <c r="D272" s="238"/>
      <c r="E272" s="238"/>
      <c r="F272" s="240" t="s">
        <v>207</v>
      </c>
    </row>
    <row r="273" spans="1:7" x14ac:dyDescent="0.3">
      <c r="A273" s="241" t="s">
        <v>58</v>
      </c>
      <c r="B273" s="241" t="s">
        <v>20</v>
      </c>
      <c r="C273" s="241" t="s">
        <v>20</v>
      </c>
      <c r="D273" s="242" t="s">
        <v>0</v>
      </c>
      <c r="E273" s="241"/>
      <c r="F273" s="243" t="s">
        <v>208</v>
      </c>
    </row>
    <row r="274" spans="1:7" x14ac:dyDescent="0.3">
      <c r="A274" s="245" t="s">
        <v>58</v>
      </c>
      <c r="B274" s="245" t="s">
        <v>20</v>
      </c>
      <c r="C274" s="245" t="s">
        <v>20</v>
      </c>
      <c r="D274" s="245" t="s">
        <v>0</v>
      </c>
      <c r="E274" s="245" t="s">
        <v>1</v>
      </c>
      <c r="F274" s="247" t="s">
        <v>209</v>
      </c>
      <c r="G274" s="253" t="s">
        <v>1541</v>
      </c>
    </row>
    <row r="275" spans="1:7" x14ac:dyDescent="0.3">
      <c r="A275" s="245" t="s">
        <v>58</v>
      </c>
      <c r="B275" s="245" t="s">
        <v>20</v>
      </c>
      <c r="C275" s="245" t="s">
        <v>20</v>
      </c>
      <c r="D275" s="245" t="s">
        <v>0</v>
      </c>
      <c r="E275" s="245" t="s">
        <v>3</v>
      </c>
      <c r="F275" s="247" t="s">
        <v>210</v>
      </c>
      <c r="G275" s="253" t="s">
        <v>1541</v>
      </c>
    </row>
    <row r="276" spans="1:7" x14ac:dyDescent="0.3">
      <c r="A276" s="245" t="s">
        <v>58</v>
      </c>
      <c r="B276" s="245" t="s">
        <v>20</v>
      </c>
      <c r="C276" s="245" t="s">
        <v>20</v>
      </c>
      <c r="D276" s="245" t="s">
        <v>0</v>
      </c>
      <c r="E276" s="245" t="s">
        <v>5</v>
      </c>
      <c r="F276" s="247" t="s">
        <v>898</v>
      </c>
      <c r="G276" s="253" t="s">
        <v>1542</v>
      </c>
    </row>
    <row r="277" spans="1:7" x14ac:dyDescent="0.3">
      <c r="A277" s="245" t="s">
        <v>58</v>
      </c>
      <c r="B277" s="245" t="s">
        <v>20</v>
      </c>
      <c r="C277" s="245" t="s">
        <v>20</v>
      </c>
      <c r="D277" s="245" t="s">
        <v>0</v>
      </c>
      <c r="E277" s="245" t="s">
        <v>7</v>
      </c>
      <c r="F277" s="247" t="s">
        <v>211</v>
      </c>
      <c r="G277" s="253" t="s">
        <v>1543</v>
      </c>
    </row>
    <row r="278" spans="1:7" x14ac:dyDescent="0.3">
      <c r="A278" s="241" t="s">
        <v>58</v>
      </c>
      <c r="B278" s="241" t="s">
        <v>20</v>
      </c>
      <c r="C278" s="241" t="s">
        <v>20</v>
      </c>
      <c r="D278" s="242" t="s">
        <v>2</v>
      </c>
      <c r="E278" s="241"/>
      <c r="F278" s="243" t="s">
        <v>212</v>
      </c>
    </row>
    <row r="279" spans="1:7" x14ac:dyDescent="0.3">
      <c r="A279" s="245" t="s">
        <v>58</v>
      </c>
      <c r="B279" s="245" t="s">
        <v>20</v>
      </c>
      <c r="C279" s="245" t="s">
        <v>20</v>
      </c>
      <c r="D279" s="245" t="s">
        <v>2</v>
      </c>
      <c r="E279" s="245" t="s">
        <v>1</v>
      </c>
      <c r="F279" s="247" t="s">
        <v>213</v>
      </c>
      <c r="G279" s="253" t="s">
        <v>1543</v>
      </c>
    </row>
    <row r="280" spans="1:7" x14ac:dyDescent="0.3">
      <c r="A280" s="245" t="s">
        <v>58</v>
      </c>
      <c r="B280" s="245" t="s">
        <v>20</v>
      </c>
      <c r="C280" s="245" t="s">
        <v>20</v>
      </c>
      <c r="D280" s="245" t="s">
        <v>2</v>
      </c>
      <c r="E280" s="245" t="s">
        <v>3</v>
      </c>
      <c r="F280" s="247" t="s">
        <v>214</v>
      </c>
      <c r="G280" s="253" t="s">
        <v>1543</v>
      </c>
    </row>
    <row r="281" spans="1:7" x14ac:dyDescent="0.3">
      <c r="A281" s="245" t="s">
        <v>58</v>
      </c>
      <c r="B281" s="245" t="s">
        <v>20</v>
      </c>
      <c r="C281" s="245" t="s">
        <v>20</v>
      </c>
      <c r="D281" s="245" t="s">
        <v>2</v>
      </c>
      <c r="E281" s="245" t="s">
        <v>5</v>
      </c>
      <c r="F281" s="247" t="s">
        <v>215</v>
      </c>
      <c r="G281" s="253" t="s">
        <v>1543</v>
      </c>
    </row>
    <row r="282" spans="1:7" x14ac:dyDescent="0.3">
      <c r="A282" s="241" t="s">
        <v>58</v>
      </c>
      <c r="B282" s="241" t="s">
        <v>20</v>
      </c>
      <c r="C282" s="241" t="s">
        <v>20</v>
      </c>
      <c r="D282" s="242" t="s">
        <v>4</v>
      </c>
      <c r="E282" s="241"/>
      <c r="F282" s="243" t="s">
        <v>216</v>
      </c>
    </row>
    <row r="283" spans="1:7" x14ac:dyDescent="0.3">
      <c r="A283" s="245" t="s">
        <v>58</v>
      </c>
      <c r="B283" s="245" t="s">
        <v>20</v>
      </c>
      <c r="C283" s="245" t="s">
        <v>20</v>
      </c>
      <c r="D283" s="245" t="s">
        <v>4</v>
      </c>
      <c r="E283" s="245" t="s">
        <v>1</v>
      </c>
      <c r="F283" s="247" t="s">
        <v>217</v>
      </c>
      <c r="G283" s="253" t="s">
        <v>1543</v>
      </c>
    </row>
    <row r="284" spans="1:7" x14ac:dyDescent="0.3">
      <c r="A284" s="245" t="s">
        <v>58</v>
      </c>
      <c r="B284" s="245" t="s">
        <v>20</v>
      </c>
      <c r="C284" s="245" t="s">
        <v>20</v>
      </c>
      <c r="D284" s="245" t="s">
        <v>4</v>
      </c>
      <c r="E284" s="245" t="s">
        <v>3</v>
      </c>
      <c r="F284" s="247" t="s">
        <v>218</v>
      </c>
      <c r="G284" s="253" t="s">
        <v>1543</v>
      </c>
    </row>
    <row r="285" spans="1:7" x14ac:dyDescent="0.3">
      <c r="A285" s="245" t="s">
        <v>58</v>
      </c>
      <c r="B285" s="245" t="s">
        <v>20</v>
      </c>
      <c r="C285" s="245" t="s">
        <v>20</v>
      </c>
      <c r="D285" s="245" t="s">
        <v>4</v>
      </c>
      <c r="E285" s="245" t="s">
        <v>5</v>
      </c>
      <c r="F285" s="247" t="s">
        <v>219</v>
      </c>
      <c r="G285" s="253" t="s">
        <v>1543</v>
      </c>
    </row>
    <row r="286" spans="1:7" x14ac:dyDescent="0.3">
      <c r="A286" s="238" t="s">
        <v>58</v>
      </c>
      <c r="B286" s="238" t="s">
        <v>20</v>
      </c>
      <c r="C286" s="238" t="s">
        <v>33</v>
      </c>
      <c r="D286" s="238"/>
      <c r="E286" s="238"/>
      <c r="F286" s="251" t="s">
        <v>854</v>
      </c>
    </row>
    <row r="287" spans="1:7" x14ac:dyDescent="0.3">
      <c r="A287" s="241" t="s">
        <v>58</v>
      </c>
      <c r="B287" s="241" t="s">
        <v>20</v>
      </c>
      <c r="C287" s="241" t="s">
        <v>33</v>
      </c>
      <c r="D287" s="242" t="s">
        <v>0</v>
      </c>
      <c r="E287" s="241"/>
      <c r="F287" s="243" t="s">
        <v>220</v>
      </c>
    </row>
    <row r="288" spans="1:7" x14ac:dyDescent="0.3">
      <c r="A288" s="245" t="s">
        <v>58</v>
      </c>
      <c r="B288" s="245" t="s">
        <v>20</v>
      </c>
      <c r="C288" s="245" t="s">
        <v>33</v>
      </c>
      <c r="D288" s="245" t="s">
        <v>0</v>
      </c>
      <c r="E288" s="245" t="s">
        <v>1</v>
      </c>
      <c r="F288" s="247" t="s">
        <v>221</v>
      </c>
      <c r="G288" s="253" t="s">
        <v>1543</v>
      </c>
    </row>
    <row r="289" spans="1:7" x14ac:dyDescent="0.3">
      <c r="A289" s="245" t="s">
        <v>58</v>
      </c>
      <c r="B289" s="245" t="s">
        <v>20</v>
      </c>
      <c r="C289" s="245" t="s">
        <v>33</v>
      </c>
      <c r="D289" s="245" t="s">
        <v>0</v>
      </c>
      <c r="E289" s="245" t="s">
        <v>3</v>
      </c>
      <c r="F289" s="247" t="s">
        <v>222</v>
      </c>
      <c r="G289" s="253" t="s">
        <v>1543</v>
      </c>
    </row>
    <row r="290" spans="1:7" x14ac:dyDescent="0.3">
      <c r="A290" s="245" t="s">
        <v>58</v>
      </c>
      <c r="B290" s="245" t="s">
        <v>20</v>
      </c>
      <c r="C290" s="245" t="s">
        <v>33</v>
      </c>
      <c r="D290" s="245" t="s">
        <v>0</v>
      </c>
      <c r="E290" s="245" t="s">
        <v>5</v>
      </c>
      <c r="F290" s="247" t="s">
        <v>223</v>
      </c>
      <c r="G290" s="253" t="s">
        <v>1543</v>
      </c>
    </row>
    <row r="291" spans="1:7" x14ac:dyDescent="0.3">
      <c r="A291" s="245" t="s">
        <v>58</v>
      </c>
      <c r="B291" s="245" t="s">
        <v>20</v>
      </c>
      <c r="C291" s="245" t="s">
        <v>33</v>
      </c>
      <c r="D291" s="245" t="s">
        <v>0</v>
      </c>
      <c r="E291" s="245" t="s">
        <v>7</v>
      </c>
      <c r="F291" s="247" t="s">
        <v>855</v>
      </c>
      <c r="G291" s="253" t="s">
        <v>1543</v>
      </c>
    </row>
    <row r="292" spans="1:7" x14ac:dyDescent="0.3">
      <c r="A292" s="245" t="s">
        <v>58</v>
      </c>
      <c r="B292" s="245" t="s">
        <v>20</v>
      </c>
      <c r="C292" s="245" t="s">
        <v>33</v>
      </c>
      <c r="D292" s="245" t="s">
        <v>0</v>
      </c>
      <c r="E292" s="245" t="s">
        <v>9</v>
      </c>
      <c r="F292" s="247" t="s">
        <v>856</v>
      </c>
      <c r="G292" s="253" t="s">
        <v>1543</v>
      </c>
    </row>
    <row r="293" spans="1:7" x14ac:dyDescent="0.3">
      <c r="A293" s="245" t="s">
        <v>58</v>
      </c>
      <c r="B293" s="245" t="s">
        <v>20</v>
      </c>
      <c r="C293" s="245" t="s">
        <v>33</v>
      </c>
      <c r="D293" s="245" t="s">
        <v>0</v>
      </c>
      <c r="E293" s="245" t="s">
        <v>10</v>
      </c>
      <c r="F293" s="247" t="s">
        <v>901</v>
      </c>
      <c r="G293" s="253" t="s">
        <v>1543</v>
      </c>
    </row>
    <row r="294" spans="1:7" x14ac:dyDescent="0.3">
      <c r="A294" s="245" t="s">
        <v>58</v>
      </c>
      <c r="B294" s="245" t="s">
        <v>20</v>
      </c>
      <c r="C294" s="245" t="s">
        <v>33</v>
      </c>
      <c r="D294" s="245" t="s">
        <v>2</v>
      </c>
      <c r="E294" s="233">
        <v>999</v>
      </c>
      <c r="F294" s="247" t="s">
        <v>586</v>
      </c>
      <c r="G294" s="253" t="s">
        <v>1543</v>
      </c>
    </row>
    <row r="295" spans="1:7" x14ac:dyDescent="0.3">
      <c r="A295" s="234" t="s">
        <v>224</v>
      </c>
      <c r="B295" s="234"/>
      <c r="C295" s="234"/>
      <c r="D295" s="234"/>
      <c r="E295" s="234"/>
      <c r="F295" s="235" t="s">
        <v>225</v>
      </c>
    </row>
    <row r="296" spans="1:7" x14ac:dyDescent="0.3">
      <c r="A296" s="236" t="s">
        <v>224</v>
      </c>
      <c r="B296" s="236" t="s">
        <v>20</v>
      </c>
      <c r="C296" s="236"/>
      <c r="D296" s="236"/>
      <c r="E296" s="236"/>
      <c r="F296" s="237" t="s">
        <v>226</v>
      </c>
    </row>
    <row r="297" spans="1:7" x14ac:dyDescent="0.3">
      <c r="A297" s="238" t="s">
        <v>224</v>
      </c>
      <c r="B297" s="238" t="s">
        <v>20</v>
      </c>
      <c r="C297" s="238" t="s">
        <v>20</v>
      </c>
      <c r="D297" s="238"/>
      <c r="E297" s="238"/>
      <c r="F297" s="240" t="s">
        <v>227</v>
      </c>
    </row>
    <row r="298" spans="1:7" x14ac:dyDescent="0.3">
      <c r="A298" s="241" t="s">
        <v>224</v>
      </c>
      <c r="B298" s="241" t="s">
        <v>20</v>
      </c>
      <c r="C298" s="241" t="s">
        <v>20</v>
      </c>
      <c r="D298" s="242" t="s">
        <v>0</v>
      </c>
      <c r="E298" s="241"/>
      <c r="F298" s="243" t="s">
        <v>228</v>
      </c>
    </row>
    <row r="299" spans="1:7" x14ac:dyDescent="0.3">
      <c r="A299" s="245" t="s">
        <v>224</v>
      </c>
      <c r="B299" s="245" t="s">
        <v>20</v>
      </c>
      <c r="C299" s="245" t="s">
        <v>20</v>
      </c>
      <c r="D299" s="245" t="s">
        <v>0</v>
      </c>
      <c r="E299" s="246" t="s">
        <v>1</v>
      </c>
      <c r="F299" s="247" t="s">
        <v>229</v>
      </c>
      <c r="G299" s="253" t="s">
        <v>1428</v>
      </c>
    </row>
    <row r="300" spans="1:7" x14ac:dyDescent="0.3">
      <c r="A300" s="245" t="s">
        <v>224</v>
      </c>
      <c r="B300" s="245" t="s">
        <v>20</v>
      </c>
      <c r="C300" s="245" t="s">
        <v>20</v>
      </c>
      <c r="D300" s="245" t="s">
        <v>0</v>
      </c>
      <c r="E300" s="246" t="s">
        <v>3</v>
      </c>
      <c r="F300" s="247" t="s">
        <v>230</v>
      </c>
      <c r="G300" s="253" t="s">
        <v>1429</v>
      </c>
    </row>
    <row r="301" spans="1:7" x14ac:dyDescent="0.3">
      <c r="A301" s="245" t="s">
        <v>224</v>
      </c>
      <c r="B301" s="245" t="s">
        <v>20</v>
      </c>
      <c r="C301" s="245" t="s">
        <v>20</v>
      </c>
      <c r="D301" s="245" t="s">
        <v>0</v>
      </c>
      <c r="E301" s="246" t="s">
        <v>5</v>
      </c>
      <c r="F301" s="247" t="s">
        <v>231</v>
      </c>
      <c r="G301" s="253" t="s">
        <v>1430</v>
      </c>
    </row>
    <row r="302" spans="1:7" x14ac:dyDescent="0.3">
      <c r="A302" s="245" t="s">
        <v>224</v>
      </c>
      <c r="B302" s="245" t="s">
        <v>20</v>
      </c>
      <c r="C302" s="245" t="s">
        <v>20</v>
      </c>
      <c r="D302" s="245" t="s">
        <v>0</v>
      </c>
      <c r="E302" s="246" t="s">
        <v>7</v>
      </c>
      <c r="F302" s="247" t="s">
        <v>232</v>
      </c>
      <c r="G302" s="253" t="s">
        <v>1431</v>
      </c>
    </row>
    <row r="303" spans="1:7" x14ac:dyDescent="0.3">
      <c r="A303" s="245" t="s">
        <v>224</v>
      </c>
      <c r="B303" s="245" t="s">
        <v>20</v>
      </c>
      <c r="C303" s="245" t="s">
        <v>20</v>
      </c>
      <c r="D303" s="245" t="s">
        <v>0</v>
      </c>
      <c r="E303" s="246" t="s">
        <v>9</v>
      </c>
      <c r="F303" s="247" t="s">
        <v>233</v>
      </c>
      <c r="G303" s="253" t="s">
        <v>1432</v>
      </c>
    </row>
    <row r="304" spans="1:7" x14ac:dyDescent="0.3">
      <c r="A304" s="245" t="s">
        <v>224</v>
      </c>
      <c r="B304" s="245" t="s">
        <v>20</v>
      </c>
      <c r="C304" s="245" t="s">
        <v>20</v>
      </c>
      <c r="D304" s="245" t="s">
        <v>0</v>
      </c>
      <c r="E304" s="246" t="s">
        <v>10</v>
      </c>
      <c r="F304" s="247" t="s">
        <v>234</v>
      </c>
      <c r="G304" s="253" t="s">
        <v>1433</v>
      </c>
    </row>
    <row r="305" spans="1:7" x14ac:dyDescent="0.3">
      <c r="A305" s="245" t="s">
        <v>224</v>
      </c>
      <c r="B305" s="245" t="s">
        <v>20</v>
      </c>
      <c r="C305" s="245" t="s">
        <v>20</v>
      </c>
      <c r="D305" s="245" t="s">
        <v>0</v>
      </c>
      <c r="E305" s="246" t="s">
        <v>11</v>
      </c>
      <c r="F305" s="247" t="s">
        <v>235</v>
      </c>
      <c r="G305" s="253" t="s">
        <v>1434</v>
      </c>
    </row>
    <row r="306" spans="1:7" x14ac:dyDescent="0.3">
      <c r="A306" s="245" t="s">
        <v>224</v>
      </c>
      <c r="B306" s="245" t="s">
        <v>20</v>
      </c>
      <c r="C306" s="245" t="s">
        <v>20</v>
      </c>
      <c r="D306" s="245" t="s">
        <v>0</v>
      </c>
      <c r="E306" s="246" t="s">
        <v>13</v>
      </c>
      <c r="F306" s="247" t="s">
        <v>236</v>
      </c>
      <c r="G306" s="253" t="s">
        <v>1435</v>
      </c>
    </row>
    <row r="307" spans="1:7" x14ac:dyDescent="0.3">
      <c r="A307" s="245" t="s">
        <v>224</v>
      </c>
      <c r="B307" s="245" t="s">
        <v>20</v>
      </c>
      <c r="C307" s="245" t="s">
        <v>20</v>
      </c>
      <c r="D307" s="245" t="s">
        <v>0</v>
      </c>
      <c r="E307" s="246" t="s">
        <v>15</v>
      </c>
      <c r="F307" s="247" t="s">
        <v>237</v>
      </c>
      <c r="G307" s="253" t="s">
        <v>1436</v>
      </c>
    </row>
    <row r="308" spans="1:7" x14ac:dyDescent="0.3">
      <c r="A308" s="245" t="s">
        <v>224</v>
      </c>
      <c r="B308" s="245" t="s">
        <v>20</v>
      </c>
      <c r="C308" s="245" t="s">
        <v>20</v>
      </c>
      <c r="D308" s="245" t="s">
        <v>0</v>
      </c>
      <c r="E308" s="246" t="s">
        <v>238</v>
      </c>
      <c r="F308" s="247" t="s">
        <v>239</v>
      </c>
      <c r="G308" s="253" t="s">
        <v>1437</v>
      </c>
    </row>
    <row r="309" spans="1:7" x14ac:dyDescent="0.3">
      <c r="A309" s="245" t="s">
        <v>224</v>
      </c>
      <c r="B309" s="245" t="s">
        <v>20</v>
      </c>
      <c r="C309" s="245" t="s">
        <v>20</v>
      </c>
      <c r="D309" s="245" t="s">
        <v>0</v>
      </c>
      <c r="E309" s="246" t="s">
        <v>240</v>
      </c>
      <c r="F309" s="247" t="s">
        <v>241</v>
      </c>
      <c r="G309" s="253" t="s">
        <v>1438</v>
      </c>
    </row>
    <row r="310" spans="1:7" x14ac:dyDescent="0.3">
      <c r="A310" s="245" t="s">
        <v>224</v>
      </c>
      <c r="B310" s="245" t="s">
        <v>20</v>
      </c>
      <c r="C310" s="245" t="s">
        <v>20</v>
      </c>
      <c r="D310" s="245" t="s">
        <v>0</v>
      </c>
      <c r="E310" s="246" t="s">
        <v>43</v>
      </c>
      <c r="F310" s="247" t="s">
        <v>242</v>
      </c>
      <c r="G310" s="253" t="s">
        <v>1415</v>
      </c>
    </row>
    <row r="311" spans="1:7" x14ac:dyDescent="0.3">
      <c r="A311" s="241" t="s">
        <v>224</v>
      </c>
      <c r="B311" s="241" t="s">
        <v>20</v>
      </c>
      <c r="C311" s="241" t="s">
        <v>20</v>
      </c>
      <c r="D311" s="242" t="s">
        <v>2</v>
      </c>
      <c r="E311" s="241"/>
      <c r="F311" s="243" t="s">
        <v>243</v>
      </c>
    </row>
    <row r="312" spans="1:7" x14ac:dyDescent="0.3">
      <c r="A312" s="245" t="s">
        <v>224</v>
      </c>
      <c r="B312" s="245" t="s">
        <v>20</v>
      </c>
      <c r="C312" s="245" t="s">
        <v>20</v>
      </c>
      <c r="D312" s="245" t="s">
        <v>2</v>
      </c>
      <c r="E312" s="246" t="s">
        <v>1</v>
      </c>
      <c r="F312" s="247" t="s">
        <v>244</v>
      </c>
      <c r="G312" s="253" t="s">
        <v>1428</v>
      </c>
    </row>
    <row r="313" spans="1:7" x14ac:dyDescent="0.3">
      <c r="A313" s="245" t="s">
        <v>224</v>
      </c>
      <c r="B313" s="245" t="s">
        <v>20</v>
      </c>
      <c r="C313" s="245" t="s">
        <v>20</v>
      </c>
      <c r="D313" s="245" t="s">
        <v>2</v>
      </c>
      <c r="E313" s="246" t="s">
        <v>3</v>
      </c>
      <c r="F313" s="247" t="s">
        <v>245</v>
      </c>
      <c r="G313" s="253" t="s">
        <v>1429</v>
      </c>
    </row>
    <row r="314" spans="1:7" x14ac:dyDescent="0.3">
      <c r="A314" s="245" t="s">
        <v>224</v>
      </c>
      <c r="B314" s="245" t="s">
        <v>20</v>
      </c>
      <c r="C314" s="245" t="s">
        <v>20</v>
      </c>
      <c r="D314" s="245" t="s">
        <v>2</v>
      </c>
      <c r="E314" s="246" t="s">
        <v>5</v>
      </c>
      <c r="F314" s="247" t="s">
        <v>246</v>
      </c>
      <c r="G314" s="253" t="s">
        <v>1430</v>
      </c>
    </row>
    <row r="315" spans="1:7" x14ac:dyDescent="0.3">
      <c r="A315" s="245" t="s">
        <v>224</v>
      </c>
      <c r="B315" s="245" t="s">
        <v>20</v>
      </c>
      <c r="C315" s="245" t="s">
        <v>20</v>
      </c>
      <c r="D315" s="245" t="s">
        <v>2</v>
      </c>
      <c r="E315" s="246" t="s">
        <v>7</v>
      </c>
      <c r="F315" s="247" t="s">
        <v>247</v>
      </c>
      <c r="G315" s="253" t="s">
        <v>1431</v>
      </c>
    </row>
    <row r="316" spans="1:7" x14ac:dyDescent="0.3">
      <c r="A316" s="245" t="s">
        <v>224</v>
      </c>
      <c r="B316" s="245" t="s">
        <v>20</v>
      </c>
      <c r="C316" s="245" t="s">
        <v>20</v>
      </c>
      <c r="D316" s="245" t="s">
        <v>2</v>
      </c>
      <c r="E316" s="246" t="s">
        <v>9</v>
      </c>
      <c r="F316" s="247" t="s">
        <v>248</v>
      </c>
      <c r="G316" s="253" t="s">
        <v>1432</v>
      </c>
    </row>
    <row r="317" spans="1:7" x14ac:dyDescent="0.3">
      <c r="A317" s="245" t="s">
        <v>224</v>
      </c>
      <c r="B317" s="245" t="s">
        <v>20</v>
      </c>
      <c r="C317" s="245" t="s">
        <v>20</v>
      </c>
      <c r="D317" s="245" t="s">
        <v>2</v>
      </c>
      <c r="E317" s="246" t="s">
        <v>10</v>
      </c>
      <c r="F317" s="247" t="s">
        <v>249</v>
      </c>
      <c r="G317" s="253" t="s">
        <v>1433</v>
      </c>
    </row>
    <row r="318" spans="1:7" x14ac:dyDescent="0.3">
      <c r="A318" s="245" t="s">
        <v>224</v>
      </c>
      <c r="B318" s="245" t="s">
        <v>20</v>
      </c>
      <c r="C318" s="245" t="s">
        <v>20</v>
      </c>
      <c r="D318" s="245" t="s">
        <v>2</v>
      </c>
      <c r="E318" s="246" t="s">
        <v>11</v>
      </c>
      <c r="F318" s="247" t="s">
        <v>250</v>
      </c>
      <c r="G318" s="253" t="s">
        <v>1434</v>
      </c>
    </row>
    <row r="319" spans="1:7" x14ac:dyDescent="0.3">
      <c r="A319" s="245" t="s">
        <v>224</v>
      </c>
      <c r="B319" s="245" t="s">
        <v>20</v>
      </c>
      <c r="C319" s="245" t="s">
        <v>20</v>
      </c>
      <c r="D319" s="245" t="s">
        <v>2</v>
      </c>
      <c r="E319" s="246" t="s">
        <v>13</v>
      </c>
      <c r="F319" s="247" t="s">
        <v>251</v>
      </c>
      <c r="G319" s="253" t="s">
        <v>1435</v>
      </c>
    </row>
    <row r="320" spans="1:7" x14ac:dyDescent="0.3">
      <c r="A320" s="245" t="s">
        <v>224</v>
      </c>
      <c r="B320" s="245" t="s">
        <v>20</v>
      </c>
      <c r="C320" s="245" t="s">
        <v>20</v>
      </c>
      <c r="D320" s="245" t="s">
        <v>2</v>
      </c>
      <c r="E320" s="246" t="s">
        <v>15</v>
      </c>
      <c r="F320" s="247" t="s">
        <v>252</v>
      </c>
      <c r="G320" s="253" t="s">
        <v>1436</v>
      </c>
    </row>
    <row r="321" spans="1:7" x14ac:dyDescent="0.3">
      <c r="A321" s="245" t="s">
        <v>224</v>
      </c>
      <c r="B321" s="245" t="s">
        <v>20</v>
      </c>
      <c r="C321" s="245" t="s">
        <v>20</v>
      </c>
      <c r="D321" s="245" t="s">
        <v>2</v>
      </c>
      <c r="E321" s="246" t="s">
        <v>238</v>
      </c>
      <c r="F321" s="247" t="s">
        <v>915</v>
      </c>
      <c r="G321" s="253" t="s">
        <v>1437</v>
      </c>
    </row>
    <row r="322" spans="1:7" x14ac:dyDescent="0.3">
      <c r="A322" s="245" t="s">
        <v>224</v>
      </c>
      <c r="B322" s="245" t="s">
        <v>20</v>
      </c>
      <c r="C322" s="245" t="s">
        <v>20</v>
      </c>
      <c r="D322" s="245" t="s">
        <v>2</v>
      </c>
      <c r="E322" s="246" t="s">
        <v>240</v>
      </c>
      <c r="F322" s="247" t="s">
        <v>253</v>
      </c>
      <c r="G322" s="253" t="s">
        <v>1438</v>
      </c>
    </row>
    <row r="323" spans="1:7" x14ac:dyDescent="0.3">
      <c r="A323" s="245" t="s">
        <v>224</v>
      </c>
      <c r="B323" s="245" t="s">
        <v>20</v>
      </c>
      <c r="C323" s="245" t="s">
        <v>20</v>
      </c>
      <c r="D323" s="245" t="s">
        <v>2</v>
      </c>
      <c r="E323" s="246" t="s">
        <v>43</v>
      </c>
      <c r="F323" s="247" t="s">
        <v>254</v>
      </c>
      <c r="G323" s="253" t="s">
        <v>1415</v>
      </c>
    </row>
    <row r="324" spans="1:7" x14ac:dyDescent="0.3">
      <c r="A324" s="238" t="s">
        <v>224</v>
      </c>
      <c r="B324" s="238" t="s">
        <v>20</v>
      </c>
      <c r="C324" s="238" t="s">
        <v>33</v>
      </c>
      <c r="D324" s="238"/>
      <c r="E324" s="238"/>
      <c r="F324" s="240" t="s">
        <v>255</v>
      </c>
    </row>
    <row r="325" spans="1:7" x14ac:dyDescent="0.3">
      <c r="A325" s="241" t="s">
        <v>224</v>
      </c>
      <c r="B325" s="241" t="s">
        <v>20</v>
      </c>
      <c r="C325" s="241" t="s">
        <v>33</v>
      </c>
      <c r="D325" s="242" t="s">
        <v>0</v>
      </c>
      <c r="E325" s="241"/>
      <c r="F325" s="243" t="s">
        <v>534</v>
      </c>
    </row>
    <row r="326" spans="1:7" x14ac:dyDescent="0.3">
      <c r="A326" s="245" t="s">
        <v>224</v>
      </c>
      <c r="B326" s="245" t="s">
        <v>20</v>
      </c>
      <c r="C326" s="245" t="s">
        <v>33</v>
      </c>
      <c r="D326" s="245" t="s">
        <v>0</v>
      </c>
      <c r="E326" s="246" t="s">
        <v>1</v>
      </c>
      <c r="F326" s="247" t="s">
        <v>535</v>
      </c>
      <c r="G326" s="253" t="s">
        <v>1428</v>
      </c>
    </row>
    <row r="327" spans="1:7" x14ac:dyDescent="0.3">
      <c r="A327" s="245" t="s">
        <v>224</v>
      </c>
      <c r="B327" s="245" t="s">
        <v>20</v>
      </c>
      <c r="C327" s="245" t="s">
        <v>33</v>
      </c>
      <c r="D327" s="245" t="s">
        <v>0</v>
      </c>
      <c r="E327" s="246" t="s">
        <v>3</v>
      </c>
      <c r="F327" s="247" t="s">
        <v>536</v>
      </c>
      <c r="G327" s="253" t="s">
        <v>1429</v>
      </c>
    </row>
    <row r="328" spans="1:7" x14ac:dyDescent="0.3">
      <c r="A328" s="245" t="s">
        <v>224</v>
      </c>
      <c r="B328" s="245" t="s">
        <v>20</v>
      </c>
      <c r="C328" s="245" t="s">
        <v>33</v>
      </c>
      <c r="D328" s="245" t="s">
        <v>0</v>
      </c>
      <c r="E328" s="246" t="s">
        <v>5</v>
      </c>
      <c r="F328" s="247" t="s">
        <v>537</v>
      </c>
      <c r="G328" s="253" t="s">
        <v>1430</v>
      </c>
    </row>
    <row r="329" spans="1:7" x14ac:dyDescent="0.3">
      <c r="A329" s="245" t="s">
        <v>224</v>
      </c>
      <c r="B329" s="245" t="s">
        <v>20</v>
      </c>
      <c r="C329" s="245" t="s">
        <v>33</v>
      </c>
      <c r="D329" s="245" t="s">
        <v>0</v>
      </c>
      <c r="E329" s="246" t="s">
        <v>7</v>
      </c>
      <c r="F329" s="247" t="s">
        <v>538</v>
      </c>
      <c r="G329" s="253" t="s">
        <v>1431</v>
      </c>
    </row>
    <row r="330" spans="1:7" x14ac:dyDescent="0.3">
      <c r="A330" s="245" t="s">
        <v>224</v>
      </c>
      <c r="B330" s="245" t="s">
        <v>20</v>
      </c>
      <c r="C330" s="245" t="s">
        <v>33</v>
      </c>
      <c r="D330" s="245" t="s">
        <v>0</v>
      </c>
      <c r="E330" s="246" t="s">
        <v>9</v>
      </c>
      <c r="F330" s="247" t="s">
        <v>539</v>
      </c>
      <c r="G330" s="253" t="s">
        <v>1432</v>
      </c>
    </row>
    <row r="331" spans="1:7" x14ac:dyDescent="0.3">
      <c r="A331" s="245" t="s">
        <v>224</v>
      </c>
      <c r="B331" s="245" t="s">
        <v>20</v>
      </c>
      <c r="C331" s="245" t="s">
        <v>33</v>
      </c>
      <c r="D331" s="245" t="s">
        <v>0</v>
      </c>
      <c r="E331" s="246" t="s">
        <v>10</v>
      </c>
      <c r="F331" s="247" t="s">
        <v>540</v>
      </c>
      <c r="G331" s="253" t="s">
        <v>1433</v>
      </c>
    </row>
    <row r="332" spans="1:7" x14ac:dyDescent="0.3">
      <c r="A332" s="245" t="s">
        <v>224</v>
      </c>
      <c r="B332" s="245" t="s">
        <v>20</v>
      </c>
      <c r="C332" s="245" t="s">
        <v>33</v>
      </c>
      <c r="D332" s="245" t="s">
        <v>0</v>
      </c>
      <c r="E332" s="246" t="s">
        <v>11</v>
      </c>
      <c r="F332" s="247" t="s">
        <v>541</v>
      </c>
      <c r="G332" s="253" t="s">
        <v>1434</v>
      </c>
    </row>
    <row r="333" spans="1:7" x14ac:dyDescent="0.3">
      <c r="A333" s="245" t="s">
        <v>224</v>
      </c>
      <c r="B333" s="245" t="s">
        <v>20</v>
      </c>
      <c r="C333" s="245" t="s">
        <v>33</v>
      </c>
      <c r="D333" s="245" t="s">
        <v>0</v>
      </c>
      <c r="E333" s="246" t="s">
        <v>13</v>
      </c>
      <c r="F333" s="247" t="s">
        <v>542</v>
      </c>
      <c r="G333" s="253" t="s">
        <v>1435</v>
      </c>
    </row>
    <row r="334" spans="1:7" x14ac:dyDescent="0.3">
      <c r="A334" s="245" t="s">
        <v>224</v>
      </c>
      <c r="B334" s="245" t="s">
        <v>20</v>
      </c>
      <c r="C334" s="245" t="s">
        <v>33</v>
      </c>
      <c r="D334" s="245" t="s">
        <v>0</v>
      </c>
      <c r="E334" s="246" t="s">
        <v>15</v>
      </c>
      <c r="F334" s="247" t="s">
        <v>543</v>
      </c>
      <c r="G334" s="253" t="s">
        <v>1436</v>
      </c>
    </row>
    <row r="335" spans="1:7" x14ac:dyDescent="0.3">
      <c r="A335" s="245" t="s">
        <v>224</v>
      </c>
      <c r="B335" s="245" t="s">
        <v>20</v>
      </c>
      <c r="C335" s="245" t="s">
        <v>33</v>
      </c>
      <c r="D335" s="245" t="s">
        <v>0</v>
      </c>
      <c r="E335" s="246" t="s">
        <v>238</v>
      </c>
      <c r="F335" s="247" t="s">
        <v>916</v>
      </c>
      <c r="G335" s="253" t="s">
        <v>1437</v>
      </c>
    </row>
    <row r="336" spans="1:7" x14ac:dyDescent="0.3">
      <c r="A336" s="245" t="s">
        <v>224</v>
      </c>
      <c r="B336" s="245" t="s">
        <v>20</v>
      </c>
      <c r="C336" s="245" t="s">
        <v>33</v>
      </c>
      <c r="D336" s="245" t="s">
        <v>0</v>
      </c>
      <c r="E336" s="246" t="s">
        <v>240</v>
      </c>
      <c r="F336" s="247" t="s">
        <v>544</v>
      </c>
      <c r="G336" s="253" t="s">
        <v>1438</v>
      </c>
    </row>
    <row r="337" spans="1:7" x14ac:dyDescent="0.3">
      <c r="A337" s="245" t="s">
        <v>224</v>
      </c>
      <c r="B337" s="245" t="s">
        <v>20</v>
      </c>
      <c r="C337" s="245" t="s">
        <v>33</v>
      </c>
      <c r="D337" s="245" t="s">
        <v>0</v>
      </c>
      <c r="E337" s="246" t="s">
        <v>43</v>
      </c>
      <c r="F337" s="247" t="s">
        <v>545</v>
      </c>
      <c r="G337" s="253" t="s">
        <v>1415</v>
      </c>
    </row>
    <row r="338" spans="1:7" x14ac:dyDescent="0.3">
      <c r="A338" s="241" t="s">
        <v>224</v>
      </c>
      <c r="B338" s="241" t="s">
        <v>20</v>
      </c>
      <c r="C338" s="241" t="s">
        <v>33</v>
      </c>
      <c r="D338" s="242" t="s">
        <v>2</v>
      </c>
      <c r="E338" s="241"/>
      <c r="F338" s="243" t="s">
        <v>256</v>
      </c>
    </row>
    <row r="339" spans="1:7" x14ac:dyDescent="0.3">
      <c r="A339" s="245" t="s">
        <v>224</v>
      </c>
      <c r="B339" s="245" t="s">
        <v>20</v>
      </c>
      <c r="C339" s="245" t="s">
        <v>33</v>
      </c>
      <c r="D339" s="245" t="s">
        <v>2</v>
      </c>
      <c r="E339" s="246" t="s">
        <v>1</v>
      </c>
      <c r="F339" s="247" t="s">
        <v>257</v>
      </c>
      <c r="G339" s="253" t="s">
        <v>1428</v>
      </c>
    </row>
    <row r="340" spans="1:7" x14ac:dyDescent="0.3">
      <c r="A340" s="245" t="s">
        <v>224</v>
      </c>
      <c r="B340" s="245" t="s">
        <v>20</v>
      </c>
      <c r="C340" s="245" t="s">
        <v>33</v>
      </c>
      <c r="D340" s="245" t="s">
        <v>2</v>
      </c>
      <c r="E340" s="246" t="s">
        <v>3</v>
      </c>
      <c r="F340" s="247" t="s">
        <v>258</v>
      </c>
      <c r="G340" s="253" t="s">
        <v>1429</v>
      </c>
    </row>
    <row r="341" spans="1:7" x14ac:dyDescent="0.3">
      <c r="A341" s="245" t="s">
        <v>224</v>
      </c>
      <c r="B341" s="245" t="s">
        <v>20</v>
      </c>
      <c r="C341" s="245" t="s">
        <v>33</v>
      </c>
      <c r="D341" s="245" t="s">
        <v>2</v>
      </c>
      <c r="E341" s="246" t="s">
        <v>5</v>
      </c>
      <c r="F341" s="247" t="s">
        <v>259</v>
      </c>
      <c r="G341" s="253" t="s">
        <v>1430</v>
      </c>
    </row>
    <row r="342" spans="1:7" x14ac:dyDescent="0.3">
      <c r="A342" s="245" t="s">
        <v>224</v>
      </c>
      <c r="B342" s="245" t="s">
        <v>20</v>
      </c>
      <c r="C342" s="245" t="s">
        <v>33</v>
      </c>
      <c r="D342" s="245" t="s">
        <v>2</v>
      </c>
      <c r="E342" s="246" t="s">
        <v>7</v>
      </c>
      <c r="F342" s="247" t="s">
        <v>260</v>
      </c>
      <c r="G342" s="253" t="s">
        <v>1431</v>
      </c>
    </row>
    <row r="343" spans="1:7" x14ac:dyDescent="0.3">
      <c r="A343" s="245" t="s">
        <v>224</v>
      </c>
      <c r="B343" s="245" t="s">
        <v>20</v>
      </c>
      <c r="C343" s="245" t="s">
        <v>33</v>
      </c>
      <c r="D343" s="245" t="s">
        <v>2</v>
      </c>
      <c r="E343" s="246" t="s">
        <v>9</v>
      </c>
      <c r="F343" s="247" t="s">
        <v>261</v>
      </c>
      <c r="G343" s="253" t="s">
        <v>1432</v>
      </c>
    </row>
    <row r="344" spans="1:7" x14ac:dyDescent="0.3">
      <c r="A344" s="245" t="s">
        <v>224</v>
      </c>
      <c r="B344" s="245" t="s">
        <v>20</v>
      </c>
      <c r="C344" s="245" t="s">
        <v>33</v>
      </c>
      <c r="D344" s="245" t="s">
        <v>2</v>
      </c>
      <c r="E344" s="246" t="s">
        <v>10</v>
      </c>
      <c r="F344" s="247" t="s">
        <v>262</v>
      </c>
      <c r="G344" s="253" t="s">
        <v>1433</v>
      </c>
    </row>
    <row r="345" spans="1:7" x14ac:dyDescent="0.3">
      <c r="A345" s="245" t="s">
        <v>224</v>
      </c>
      <c r="B345" s="245" t="s">
        <v>20</v>
      </c>
      <c r="C345" s="245" t="s">
        <v>33</v>
      </c>
      <c r="D345" s="245" t="s">
        <v>2</v>
      </c>
      <c r="E345" s="246" t="s">
        <v>11</v>
      </c>
      <c r="F345" s="247" t="s">
        <v>263</v>
      </c>
      <c r="G345" s="253" t="s">
        <v>1434</v>
      </c>
    </row>
    <row r="346" spans="1:7" x14ac:dyDescent="0.3">
      <c r="A346" s="245" t="s">
        <v>224</v>
      </c>
      <c r="B346" s="245" t="s">
        <v>20</v>
      </c>
      <c r="C346" s="245" t="s">
        <v>33</v>
      </c>
      <c r="D346" s="245" t="s">
        <v>2</v>
      </c>
      <c r="E346" s="246" t="s">
        <v>13</v>
      </c>
      <c r="F346" s="247" t="s">
        <v>264</v>
      </c>
      <c r="G346" s="253" t="s">
        <v>1435</v>
      </c>
    </row>
    <row r="347" spans="1:7" x14ac:dyDescent="0.3">
      <c r="A347" s="245" t="s">
        <v>224</v>
      </c>
      <c r="B347" s="245" t="s">
        <v>20</v>
      </c>
      <c r="C347" s="245" t="s">
        <v>33</v>
      </c>
      <c r="D347" s="245" t="s">
        <v>2</v>
      </c>
      <c r="E347" s="246" t="s">
        <v>15</v>
      </c>
      <c r="F347" s="247" t="s">
        <v>265</v>
      </c>
      <c r="G347" s="253" t="s">
        <v>1436</v>
      </c>
    </row>
    <row r="348" spans="1:7" x14ac:dyDescent="0.3">
      <c r="A348" s="245" t="s">
        <v>224</v>
      </c>
      <c r="B348" s="245" t="s">
        <v>20</v>
      </c>
      <c r="C348" s="245" t="s">
        <v>33</v>
      </c>
      <c r="D348" s="245" t="s">
        <v>2</v>
      </c>
      <c r="E348" s="246" t="s">
        <v>238</v>
      </c>
      <c r="F348" s="247" t="s">
        <v>917</v>
      </c>
      <c r="G348" s="253" t="s">
        <v>1437</v>
      </c>
    </row>
    <row r="349" spans="1:7" x14ac:dyDescent="0.3">
      <c r="A349" s="245" t="s">
        <v>224</v>
      </c>
      <c r="B349" s="245" t="s">
        <v>20</v>
      </c>
      <c r="C349" s="245" t="s">
        <v>33</v>
      </c>
      <c r="D349" s="245" t="s">
        <v>2</v>
      </c>
      <c r="E349" s="246" t="s">
        <v>240</v>
      </c>
      <c r="F349" s="247" t="s">
        <v>266</v>
      </c>
      <c r="G349" s="253" t="s">
        <v>1438</v>
      </c>
    </row>
    <row r="350" spans="1:7" x14ac:dyDescent="0.3">
      <c r="A350" s="245" t="s">
        <v>224</v>
      </c>
      <c r="B350" s="245" t="s">
        <v>20</v>
      </c>
      <c r="C350" s="245" t="s">
        <v>33</v>
      </c>
      <c r="D350" s="245" t="s">
        <v>2</v>
      </c>
      <c r="E350" s="246" t="s">
        <v>43</v>
      </c>
      <c r="F350" s="247" t="s">
        <v>267</v>
      </c>
      <c r="G350" s="253" t="s">
        <v>1415</v>
      </c>
    </row>
    <row r="351" spans="1:7" x14ac:dyDescent="0.3">
      <c r="A351" s="238" t="s">
        <v>224</v>
      </c>
      <c r="B351" s="238" t="s">
        <v>20</v>
      </c>
      <c r="C351" s="238" t="s">
        <v>44</v>
      </c>
      <c r="D351" s="238"/>
      <c r="E351" s="238"/>
      <c r="F351" s="240" t="s">
        <v>268</v>
      </c>
    </row>
    <row r="352" spans="1:7" x14ac:dyDescent="0.3">
      <c r="A352" s="241" t="s">
        <v>224</v>
      </c>
      <c r="B352" s="241" t="s">
        <v>20</v>
      </c>
      <c r="C352" s="241" t="s">
        <v>44</v>
      </c>
      <c r="D352" s="242" t="s">
        <v>0</v>
      </c>
      <c r="E352" s="241"/>
      <c r="F352" s="243" t="s">
        <v>269</v>
      </c>
    </row>
    <row r="353" spans="1:7" x14ac:dyDescent="0.3">
      <c r="A353" s="245" t="s">
        <v>224</v>
      </c>
      <c r="B353" s="245" t="s">
        <v>20</v>
      </c>
      <c r="C353" s="245" t="s">
        <v>44</v>
      </c>
      <c r="D353" s="245" t="s">
        <v>0</v>
      </c>
      <c r="E353" s="246" t="s">
        <v>1</v>
      </c>
      <c r="F353" s="247" t="s">
        <v>270</v>
      </c>
      <c r="G353" s="253" t="s">
        <v>1428</v>
      </c>
    </row>
    <row r="354" spans="1:7" x14ac:dyDescent="0.3">
      <c r="A354" s="245" t="s">
        <v>224</v>
      </c>
      <c r="B354" s="245" t="s">
        <v>20</v>
      </c>
      <c r="C354" s="245" t="s">
        <v>44</v>
      </c>
      <c r="D354" s="245" t="s">
        <v>0</v>
      </c>
      <c r="E354" s="246" t="s">
        <v>3</v>
      </c>
      <c r="F354" s="247" t="s">
        <v>271</v>
      </c>
      <c r="G354" s="253" t="s">
        <v>1429</v>
      </c>
    </row>
    <row r="355" spans="1:7" x14ac:dyDescent="0.3">
      <c r="A355" s="245" t="s">
        <v>224</v>
      </c>
      <c r="B355" s="245" t="s">
        <v>20</v>
      </c>
      <c r="C355" s="245" t="s">
        <v>44</v>
      </c>
      <c r="D355" s="245" t="s">
        <v>0</v>
      </c>
      <c r="E355" s="246" t="s">
        <v>5</v>
      </c>
      <c r="F355" s="247" t="s">
        <v>272</v>
      </c>
      <c r="G355" s="253" t="s">
        <v>1430</v>
      </c>
    </row>
    <row r="356" spans="1:7" x14ac:dyDescent="0.3">
      <c r="A356" s="245" t="s">
        <v>224</v>
      </c>
      <c r="B356" s="245" t="s">
        <v>20</v>
      </c>
      <c r="C356" s="245" t="s">
        <v>44</v>
      </c>
      <c r="D356" s="245" t="s">
        <v>0</v>
      </c>
      <c r="E356" s="246" t="s">
        <v>7</v>
      </c>
      <c r="F356" s="247" t="s">
        <v>273</v>
      </c>
      <c r="G356" s="253" t="s">
        <v>1431</v>
      </c>
    </row>
    <row r="357" spans="1:7" x14ac:dyDescent="0.3">
      <c r="A357" s="245" t="s">
        <v>224</v>
      </c>
      <c r="B357" s="245" t="s">
        <v>20</v>
      </c>
      <c r="C357" s="245" t="s">
        <v>44</v>
      </c>
      <c r="D357" s="245" t="s">
        <v>0</v>
      </c>
      <c r="E357" s="246" t="s">
        <v>9</v>
      </c>
      <c r="F357" s="247" t="s">
        <v>274</v>
      </c>
      <c r="G357" s="253" t="s">
        <v>1432</v>
      </c>
    </row>
    <row r="358" spans="1:7" x14ac:dyDescent="0.3">
      <c r="A358" s="245" t="s">
        <v>224</v>
      </c>
      <c r="B358" s="245" t="s">
        <v>20</v>
      </c>
      <c r="C358" s="245" t="s">
        <v>44</v>
      </c>
      <c r="D358" s="245" t="s">
        <v>0</v>
      </c>
      <c r="E358" s="246" t="s">
        <v>10</v>
      </c>
      <c r="F358" s="247" t="s">
        <v>275</v>
      </c>
      <c r="G358" s="253" t="s">
        <v>1433</v>
      </c>
    </row>
    <row r="359" spans="1:7" x14ac:dyDescent="0.3">
      <c r="A359" s="245" t="s">
        <v>224</v>
      </c>
      <c r="B359" s="245" t="s">
        <v>20</v>
      </c>
      <c r="C359" s="245" t="s">
        <v>44</v>
      </c>
      <c r="D359" s="245" t="s">
        <v>0</v>
      </c>
      <c r="E359" s="246" t="s">
        <v>11</v>
      </c>
      <c r="F359" s="247" t="s">
        <v>276</v>
      </c>
      <c r="G359" s="253" t="s">
        <v>1434</v>
      </c>
    </row>
    <row r="360" spans="1:7" x14ac:dyDescent="0.3">
      <c r="A360" s="245" t="s">
        <v>224</v>
      </c>
      <c r="B360" s="245" t="s">
        <v>20</v>
      </c>
      <c r="C360" s="245" t="s">
        <v>44</v>
      </c>
      <c r="D360" s="245" t="s">
        <v>0</v>
      </c>
      <c r="E360" s="246" t="s">
        <v>13</v>
      </c>
      <c r="F360" s="247" t="s">
        <v>277</v>
      </c>
      <c r="G360" s="253" t="s">
        <v>1435</v>
      </c>
    </row>
    <row r="361" spans="1:7" x14ac:dyDescent="0.3">
      <c r="A361" s="245" t="s">
        <v>224</v>
      </c>
      <c r="B361" s="245" t="s">
        <v>20</v>
      </c>
      <c r="C361" s="245" t="s">
        <v>44</v>
      </c>
      <c r="D361" s="245" t="s">
        <v>0</v>
      </c>
      <c r="E361" s="246" t="s">
        <v>15</v>
      </c>
      <c r="F361" s="247" t="s">
        <v>278</v>
      </c>
      <c r="G361" s="253" t="s">
        <v>1436</v>
      </c>
    </row>
    <row r="362" spans="1:7" x14ac:dyDescent="0.3">
      <c r="A362" s="245" t="s">
        <v>224</v>
      </c>
      <c r="B362" s="245" t="s">
        <v>20</v>
      </c>
      <c r="C362" s="245" t="s">
        <v>44</v>
      </c>
      <c r="D362" s="245" t="s">
        <v>0</v>
      </c>
      <c r="E362" s="246" t="s">
        <v>238</v>
      </c>
      <c r="F362" s="247" t="s">
        <v>918</v>
      </c>
      <c r="G362" s="253" t="s">
        <v>1437</v>
      </c>
    </row>
    <row r="363" spans="1:7" x14ac:dyDescent="0.3">
      <c r="A363" s="245" t="s">
        <v>224</v>
      </c>
      <c r="B363" s="245" t="s">
        <v>20</v>
      </c>
      <c r="C363" s="245" t="s">
        <v>44</v>
      </c>
      <c r="D363" s="245" t="s">
        <v>0</v>
      </c>
      <c r="E363" s="246" t="s">
        <v>240</v>
      </c>
      <c r="F363" s="247" t="s">
        <v>279</v>
      </c>
      <c r="G363" s="253" t="s">
        <v>1438</v>
      </c>
    </row>
    <row r="364" spans="1:7" x14ac:dyDescent="0.3">
      <c r="A364" s="245" t="s">
        <v>224</v>
      </c>
      <c r="B364" s="245" t="s">
        <v>20</v>
      </c>
      <c r="C364" s="245" t="s">
        <v>44</v>
      </c>
      <c r="D364" s="245" t="s">
        <v>0</v>
      </c>
      <c r="E364" s="246" t="s">
        <v>43</v>
      </c>
      <c r="F364" s="247" t="s">
        <v>280</v>
      </c>
      <c r="G364" s="253" t="s">
        <v>1415</v>
      </c>
    </row>
    <row r="365" spans="1:7" x14ac:dyDescent="0.3">
      <c r="A365" s="238" t="s">
        <v>224</v>
      </c>
      <c r="B365" s="238" t="s">
        <v>20</v>
      </c>
      <c r="C365" s="238" t="s">
        <v>54</v>
      </c>
      <c r="D365" s="238"/>
      <c r="E365" s="238"/>
      <c r="F365" s="240" t="s">
        <v>281</v>
      </c>
    </row>
    <row r="366" spans="1:7" x14ac:dyDescent="0.3">
      <c r="A366" s="241" t="s">
        <v>224</v>
      </c>
      <c r="B366" s="241" t="s">
        <v>20</v>
      </c>
      <c r="C366" s="241" t="s">
        <v>54</v>
      </c>
      <c r="D366" s="242" t="s">
        <v>0</v>
      </c>
      <c r="E366" s="241"/>
      <c r="F366" s="243" t="s">
        <v>638</v>
      </c>
    </row>
    <row r="367" spans="1:7" x14ac:dyDescent="0.3">
      <c r="A367" s="245" t="s">
        <v>224</v>
      </c>
      <c r="B367" s="245" t="s">
        <v>20</v>
      </c>
      <c r="C367" s="245" t="s">
        <v>54</v>
      </c>
      <c r="D367" s="246" t="s">
        <v>0</v>
      </c>
      <c r="E367" s="246" t="s">
        <v>1</v>
      </c>
      <c r="F367" s="247" t="s">
        <v>282</v>
      </c>
      <c r="G367" s="253" t="s">
        <v>1428</v>
      </c>
    </row>
    <row r="368" spans="1:7" x14ac:dyDescent="0.3">
      <c r="A368" s="245" t="s">
        <v>224</v>
      </c>
      <c r="B368" s="245" t="s">
        <v>20</v>
      </c>
      <c r="C368" s="245" t="s">
        <v>54</v>
      </c>
      <c r="D368" s="246" t="s">
        <v>0</v>
      </c>
      <c r="E368" s="246" t="s">
        <v>3</v>
      </c>
      <c r="F368" s="247" t="s">
        <v>283</v>
      </c>
      <c r="G368" s="253" t="s">
        <v>1429</v>
      </c>
    </row>
    <row r="369" spans="1:7" x14ac:dyDescent="0.3">
      <c r="A369" s="245" t="s">
        <v>224</v>
      </c>
      <c r="B369" s="245" t="s">
        <v>20</v>
      </c>
      <c r="C369" s="245" t="s">
        <v>54</v>
      </c>
      <c r="D369" s="246" t="s">
        <v>0</v>
      </c>
      <c r="E369" s="246" t="s">
        <v>5</v>
      </c>
      <c r="F369" s="247" t="s">
        <v>284</v>
      </c>
      <c r="G369" s="253" t="s">
        <v>1430</v>
      </c>
    </row>
    <row r="370" spans="1:7" x14ac:dyDescent="0.3">
      <c r="A370" s="245" t="s">
        <v>224</v>
      </c>
      <c r="B370" s="245" t="s">
        <v>20</v>
      </c>
      <c r="C370" s="245" t="s">
        <v>54</v>
      </c>
      <c r="D370" s="246" t="s">
        <v>0</v>
      </c>
      <c r="E370" s="246" t="s">
        <v>7</v>
      </c>
      <c r="F370" s="247" t="s">
        <v>285</v>
      </c>
      <c r="G370" s="253" t="s">
        <v>1431</v>
      </c>
    </row>
    <row r="371" spans="1:7" x14ac:dyDescent="0.3">
      <c r="A371" s="245" t="s">
        <v>224</v>
      </c>
      <c r="B371" s="245" t="s">
        <v>20</v>
      </c>
      <c r="C371" s="245" t="s">
        <v>54</v>
      </c>
      <c r="D371" s="246" t="s">
        <v>0</v>
      </c>
      <c r="E371" s="246" t="s">
        <v>9</v>
      </c>
      <c r="F371" s="247" t="s">
        <v>286</v>
      </c>
      <c r="G371" s="253" t="s">
        <v>1432</v>
      </c>
    </row>
    <row r="372" spans="1:7" x14ac:dyDescent="0.3">
      <c r="A372" s="245" t="s">
        <v>224</v>
      </c>
      <c r="B372" s="245" t="s">
        <v>20</v>
      </c>
      <c r="C372" s="245" t="s">
        <v>54</v>
      </c>
      <c r="D372" s="246" t="s">
        <v>0</v>
      </c>
      <c r="E372" s="246" t="s">
        <v>10</v>
      </c>
      <c r="F372" s="247" t="s">
        <v>287</v>
      </c>
      <c r="G372" s="253" t="s">
        <v>1433</v>
      </c>
    </row>
    <row r="373" spans="1:7" x14ac:dyDescent="0.3">
      <c r="A373" s="245" t="s">
        <v>224</v>
      </c>
      <c r="B373" s="245" t="s">
        <v>20</v>
      </c>
      <c r="C373" s="245" t="s">
        <v>54</v>
      </c>
      <c r="D373" s="246" t="s">
        <v>0</v>
      </c>
      <c r="E373" s="246" t="s">
        <v>11</v>
      </c>
      <c r="F373" s="247" t="s">
        <v>288</v>
      </c>
      <c r="G373" s="253" t="s">
        <v>1434</v>
      </c>
    </row>
    <row r="374" spans="1:7" x14ac:dyDescent="0.3">
      <c r="A374" s="245" t="s">
        <v>224</v>
      </c>
      <c r="B374" s="245" t="s">
        <v>20</v>
      </c>
      <c r="C374" s="245" t="s">
        <v>54</v>
      </c>
      <c r="D374" s="246" t="s">
        <v>0</v>
      </c>
      <c r="E374" s="246" t="s">
        <v>13</v>
      </c>
      <c r="F374" s="247" t="s">
        <v>289</v>
      </c>
      <c r="G374" s="253" t="s">
        <v>1435</v>
      </c>
    </row>
    <row r="375" spans="1:7" x14ac:dyDescent="0.3">
      <c r="A375" s="245" t="s">
        <v>224</v>
      </c>
      <c r="B375" s="245" t="s">
        <v>20</v>
      </c>
      <c r="C375" s="245" t="s">
        <v>54</v>
      </c>
      <c r="D375" s="246" t="s">
        <v>0</v>
      </c>
      <c r="E375" s="246" t="s">
        <v>15</v>
      </c>
      <c r="F375" s="247" t="s">
        <v>290</v>
      </c>
      <c r="G375" s="253" t="s">
        <v>1436</v>
      </c>
    </row>
    <row r="376" spans="1:7" x14ac:dyDescent="0.3">
      <c r="A376" s="245" t="s">
        <v>224</v>
      </c>
      <c r="B376" s="245" t="s">
        <v>20</v>
      </c>
      <c r="C376" s="245" t="s">
        <v>54</v>
      </c>
      <c r="D376" s="246" t="s">
        <v>0</v>
      </c>
      <c r="E376" s="246" t="s">
        <v>238</v>
      </c>
      <c r="F376" s="247" t="s">
        <v>919</v>
      </c>
      <c r="G376" s="253" t="s">
        <v>1437</v>
      </c>
    </row>
    <row r="377" spans="1:7" x14ac:dyDescent="0.3">
      <c r="A377" s="245" t="s">
        <v>224</v>
      </c>
      <c r="B377" s="245" t="s">
        <v>20</v>
      </c>
      <c r="C377" s="245" t="s">
        <v>54</v>
      </c>
      <c r="D377" s="246" t="s">
        <v>0</v>
      </c>
      <c r="E377" s="246" t="s">
        <v>240</v>
      </c>
      <c r="F377" s="247" t="s">
        <v>291</v>
      </c>
      <c r="G377" s="253" t="s">
        <v>1438</v>
      </c>
    </row>
    <row r="378" spans="1:7" x14ac:dyDescent="0.3">
      <c r="A378" s="245" t="s">
        <v>224</v>
      </c>
      <c r="B378" s="245" t="s">
        <v>20</v>
      </c>
      <c r="C378" s="245" t="s">
        <v>54</v>
      </c>
      <c r="D378" s="246" t="s">
        <v>0</v>
      </c>
      <c r="E378" s="246" t="s">
        <v>43</v>
      </c>
      <c r="F378" s="247" t="s">
        <v>292</v>
      </c>
      <c r="G378" s="253" t="s">
        <v>1415</v>
      </c>
    </row>
    <row r="379" spans="1:7" x14ac:dyDescent="0.3">
      <c r="A379" s="241" t="s">
        <v>224</v>
      </c>
      <c r="B379" s="241" t="s">
        <v>20</v>
      </c>
      <c r="C379" s="241" t="s">
        <v>54</v>
      </c>
      <c r="D379" s="242" t="s">
        <v>2</v>
      </c>
      <c r="E379" s="241"/>
      <c r="F379" s="243" t="s">
        <v>293</v>
      </c>
    </row>
    <row r="380" spans="1:7" x14ac:dyDescent="0.3">
      <c r="A380" s="245" t="s">
        <v>224</v>
      </c>
      <c r="B380" s="245" t="s">
        <v>20</v>
      </c>
      <c r="C380" s="245" t="s">
        <v>54</v>
      </c>
      <c r="D380" s="246" t="s">
        <v>2</v>
      </c>
      <c r="E380" s="246" t="s">
        <v>1</v>
      </c>
      <c r="F380" s="247" t="s">
        <v>294</v>
      </c>
      <c r="G380" s="253" t="s">
        <v>1428</v>
      </c>
    </row>
    <row r="381" spans="1:7" x14ac:dyDescent="0.3">
      <c r="A381" s="245" t="s">
        <v>224</v>
      </c>
      <c r="B381" s="245" t="s">
        <v>20</v>
      </c>
      <c r="C381" s="245" t="s">
        <v>54</v>
      </c>
      <c r="D381" s="246" t="s">
        <v>2</v>
      </c>
      <c r="E381" s="246" t="s">
        <v>3</v>
      </c>
      <c r="F381" s="247" t="s">
        <v>295</v>
      </c>
      <c r="G381" s="253" t="s">
        <v>1429</v>
      </c>
    </row>
    <row r="382" spans="1:7" x14ac:dyDescent="0.3">
      <c r="A382" s="245" t="s">
        <v>224</v>
      </c>
      <c r="B382" s="245" t="s">
        <v>20</v>
      </c>
      <c r="C382" s="245" t="s">
        <v>54</v>
      </c>
      <c r="D382" s="246" t="s">
        <v>2</v>
      </c>
      <c r="E382" s="246" t="s">
        <v>5</v>
      </c>
      <c r="F382" s="247" t="s">
        <v>296</v>
      </c>
      <c r="G382" s="253" t="s">
        <v>1430</v>
      </c>
    </row>
    <row r="383" spans="1:7" x14ac:dyDescent="0.3">
      <c r="A383" s="245" t="s">
        <v>224</v>
      </c>
      <c r="B383" s="245" t="s">
        <v>20</v>
      </c>
      <c r="C383" s="245" t="s">
        <v>54</v>
      </c>
      <c r="D383" s="246" t="s">
        <v>2</v>
      </c>
      <c r="E383" s="246" t="s">
        <v>7</v>
      </c>
      <c r="F383" s="247" t="s">
        <v>297</v>
      </c>
      <c r="G383" s="253" t="s">
        <v>1431</v>
      </c>
    </row>
    <row r="384" spans="1:7" x14ac:dyDescent="0.3">
      <c r="A384" s="245" t="s">
        <v>224</v>
      </c>
      <c r="B384" s="245" t="s">
        <v>20</v>
      </c>
      <c r="C384" s="245" t="s">
        <v>54</v>
      </c>
      <c r="D384" s="246" t="s">
        <v>2</v>
      </c>
      <c r="E384" s="246" t="s">
        <v>9</v>
      </c>
      <c r="F384" s="247" t="s">
        <v>298</v>
      </c>
      <c r="G384" s="253" t="s">
        <v>1432</v>
      </c>
    </row>
    <row r="385" spans="1:7" x14ac:dyDescent="0.3">
      <c r="A385" s="245" t="s">
        <v>224</v>
      </c>
      <c r="B385" s="245" t="s">
        <v>20</v>
      </c>
      <c r="C385" s="245" t="s">
        <v>54</v>
      </c>
      <c r="D385" s="246" t="s">
        <v>2</v>
      </c>
      <c r="E385" s="246" t="s">
        <v>10</v>
      </c>
      <c r="F385" s="247" t="s">
        <v>299</v>
      </c>
      <c r="G385" s="253" t="s">
        <v>1433</v>
      </c>
    </row>
    <row r="386" spans="1:7" x14ac:dyDescent="0.3">
      <c r="A386" s="245" t="s">
        <v>224</v>
      </c>
      <c r="B386" s="245" t="s">
        <v>20</v>
      </c>
      <c r="C386" s="245" t="s">
        <v>54</v>
      </c>
      <c r="D386" s="246" t="s">
        <v>2</v>
      </c>
      <c r="E386" s="246" t="s">
        <v>11</v>
      </c>
      <c r="F386" s="247" t="s">
        <v>300</v>
      </c>
      <c r="G386" s="253" t="s">
        <v>1434</v>
      </c>
    </row>
    <row r="387" spans="1:7" x14ac:dyDescent="0.3">
      <c r="A387" s="245" t="s">
        <v>224</v>
      </c>
      <c r="B387" s="245" t="s">
        <v>20</v>
      </c>
      <c r="C387" s="245" t="s">
        <v>54</v>
      </c>
      <c r="D387" s="246" t="s">
        <v>2</v>
      </c>
      <c r="E387" s="246" t="s">
        <v>13</v>
      </c>
      <c r="F387" s="247" t="s">
        <v>301</v>
      </c>
      <c r="G387" s="253" t="s">
        <v>1435</v>
      </c>
    </row>
    <row r="388" spans="1:7" x14ac:dyDescent="0.3">
      <c r="A388" s="245" t="s">
        <v>224</v>
      </c>
      <c r="B388" s="245" t="s">
        <v>20</v>
      </c>
      <c r="C388" s="245" t="s">
        <v>54</v>
      </c>
      <c r="D388" s="246" t="s">
        <v>2</v>
      </c>
      <c r="E388" s="246" t="s">
        <v>15</v>
      </c>
      <c r="F388" s="247" t="s">
        <v>302</v>
      </c>
      <c r="G388" s="253" t="s">
        <v>1436</v>
      </c>
    </row>
    <row r="389" spans="1:7" x14ac:dyDescent="0.3">
      <c r="A389" s="245" t="s">
        <v>224</v>
      </c>
      <c r="B389" s="245" t="s">
        <v>20</v>
      </c>
      <c r="C389" s="245" t="s">
        <v>54</v>
      </c>
      <c r="D389" s="246" t="s">
        <v>2</v>
      </c>
      <c r="E389" s="246" t="s">
        <v>238</v>
      </c>
      <c r="F389" s="247" t="s">
        <v>920</v>
      </c>
      <c r="G389" s="253" t="s">
        <v>1437</v>
      </c>
    </row>
    <row r="390" spans="1:7" x14ac:dyDescent="0.3">
      <c r="A390" s="245" t="s">
        <v>224</v>
      </c>
      <c r="B390" s="245" t="s">
        <v>20</v>
      </c>
      <c r="C390" s="245" t="s">
        <v>54</v>
      </c>
      <c r="D390" s="246" t="s">
        <v>2</v>
      </c>
      <c r="E390" s="246" t="s">
        <v>240</v>
      </c>
      <c r="F390" s="247" t="s">
        <v>303</v>
      </c>
      <c r="G390" s="253" t="s">
        <v>1438</v>
      </c>
    </row>
    <row r="391" spans="1:7" x14ac:dyDescent="0.3">
      <c r="A391" s="245" t="s">
        <v>224</v>
      </c>
      <c r="B391" s="245" t="s">
        <v>20</v>
      </c>
      <c r="C391" s="245" t="s">
        <v>54</v>
      </c>
      <c r="D391" s="246" t="s">
        <v>2</v>
      </c>
      <c r="E391" s="246" t="s">
        <v>43</v>
      </c>
      <c r="F391" s="247" t="s">
        <v>304</v>
      </c>
      <c r="G391" s="253" t="s">
        <v>1415</v>
      </c>
    </row>
    <row r="392" spans="1:7" x14ac:dyDescent="0.3">
      <c r="A392" s="241" t="s">
        <v>224</v>
      </c>
      <c r="B392" s="241" t="s">
        <v>20</v>
      </c>
      <c r="C392" s="241" t="s">
        <v>54</v>
      </c>
      <c r="D392" s="242" t="s">
        <v>4</v>
      </c>
      <c r="E392" s="241"/>
      <c r="F392" s="243" t="s">
        <v>305</v>
      </c>
    </row>
    <row r="393" spans="1:7" x14ac:dyDescent="0.3">
      <c r="A393" s="245" t="s">
        <v>224</v>
      </c>
      <c r="B393" s="245" t="s">
        <v>20</v>
      </c>
      <c r="C393" s="245" t="s">
        <v>54</v>
      </c>
      <c r="D393" s="246" t="s">
        <v>4</v>
      </c>
      <c r="E393" s="246" t="s">
        <v>1</v>
      </c>
      <c r="F393" s="247" t="s">
        <v>306</v>
      </c>
      <c r="G393" s="253" t="s">
        <v>1428</v>
      </c>
    </row>
    <row r="394" spans="1:7" x14ac:dyDescent="0.3">
      <c r="A394" s="245" t="s">
        <v>224</v>
      </c>
      <c r="B394" s="245" t="s">
        <v>20</v>
      </c>
      <c r="C394" s="245" t="s">
        <v>54</v>
      </c>
      <c r="D394" s="246" t="s">
        <v>4</v>
      </c>
      <c r="E394" s="246" t="s">
        <v>3</v>
      </c>
      <c r="F394" s="247" t="s">
        <v>307</v>
      </c>
      <c r="G394" s="253" t="s">
        <v>1429</v>
      </c>
    </row>
    <row r="395" spans="1:7" x14ac:dyDescent="0.3">
      <c r="A395" s="245" t="s">
        <v>224</v>
      </c>
      <c r="B395" s="245" t="s">
        <v>20</v>
      </c>
      <c r="C395" s="245" t="s">
        <v>54</v>
      </c>
      <c r="D395" s="246" t="s">
        <v>4</v>
      </c>
      <c r="E395" s="246" t="s">
        <v>5</v>
      </c>
      <c r="F395" s="247" t="s">
        <v>308</v>
      </c>
      <c r="G395" s="253" t="s">
        <v>1430</v>
      </c>
    </row>
    <row r="396" spans="1:7" x14ac:dyDescent="0.3">
      <c r="A396" s="245" t="s">
        <v>224</v>
      </c>
      <c r="B396" s="245" t="s">
        <v>20</v>
      </c>
      <c r="C396" s="245" t="s">
        <v>54</v>
      </c>
      <c r="D396" s="246" t="s">
        <v>4</v>
      </c>
      <c r="E396" s="246" t="s">
        <v>7</v>
      </c>
      <c r="F396" s="247" t="s">
        <v>309</v>
      </c>
      <c r="G396" s="253" t="s">
        <v>1431</v>
      </c>
    </row>
    <row r="397" spans="1:7" x14ac:dyDescent="0.3">
      <c r="A397" s="245" t="s">
        <v>224</v>
      </c>
      <c r="B397" s="245" t="s">
        <v>20</v>
      </c>
      <c r="C397" s="245" t="s">
        <v>54</v>
      </c>
      <c r="D397" s="246" t="s">
        <v>4</v>
      </c>
      <c r="E397" s="246" t="s">
        <v>9</v>
      </c>
      <c r="F397" s="247" t="s">
        <v>310</v>
      </c>
      <c r="G397" s="253" t="s">
        <v>1432</v>
      </c>
    </row>
    <row r="398" spans="1:7" x14ac:dyDescent="0.3">
      <c r="A398" s="245" t="s">
        <v>224</v>
      </c>
      <c r="B398" s="245" t="s">
        <v>20</v>
      </c>
      <c r="C398" s="245" t="s">
        <v>54</v>
      </c>
      <c r="D398" s="246" t="s">
        <v>4</v>
      </c>
      <c r="E398" s="246" t="s">
        <v>10</v>
      </c>
      <c r="F398" s="247" t="s">
        <v>311</v>
      </c>
      <c r="G398" s="253" t="s">
        <v>1433</v>
      </c>
    </row>
    <row r="399" spans="1:7" x14ac:dyDescent="0.3">
      <c r="A399" s="245" t="s">
        <v>224</v>
      </c>
      <c r="B399" s="245" t="s">
        <v>20</v>
      </c>
      <c r="C399" s="245" t="s">
        <v>54</v>
      </c>
      <c r="D399" s="246" t="s">
        <v>4</v>
      </c>
      <c r="E399" s="246" t="s">
        <v>11</v>
      </c>
      <c r="F399" s="247" t="s">
        <v>312</v>
      </c>
      <c r="G399" s="253" t="s">
        <v>1434</v>
      </c>
    </row>
    <row r="400" spans="1:7" x14ac:dyDescent="0.3">
      <c r="A400" s="245" t="s">
        <v>224</v>
      </c>
      <c r="B400" s="245" t="s">
        <v>20</v>
      </c>
      <c r="C400" s="245" t="s">
        <v>54</v>
      </c>
      <c r="D400" s="246" t="s">
        <v>4</v>
      </c>
      <c r="E400" s="246" t="s">
        <v>13</v>
      </c>
      <c r="F400" s="247" t="s">
        <v>313</v>
      </c>
      <c r="G400" s="253" t="s">
        <v>1435</v>
      </c>
    </row>
    <row r="401" spans="1:7" x14ac:dyDescent="0.3">
      <c r="A401" s="245" t="s">
        <v>224</v>
      </c>
      <c r="B401" s="245" t="s">
        <v>20</v>
      </c>
      <c r="C401" s="245" t="s">
        <v>54</v>
      </c>
      <c r="D401" s="246" t="s">
        <v>4</v>
      </c>
      <c r="E401" s="246" t="s">
        <v>15</v>
      </c>
      <c r="F401" s="247" t="s">
        <v>314</v>
      </c>
      <c r="G401" s="253" t="s">
        <v>1436</v>
      </c>
    </row>
    <row r="402" spans="1:7" x14ac:dyDescent="0.3">
      <c r="A402" s="245" t="s">
        <v>224</v>
      </c>
      <c r="B402" s="245" t="s">
        <v>20</v>
      </c>
      <c r="C402" s="245" t="s">
        <v>54</v>
      </c>
      <c r="D402" s="246" t="s">
        <v>4</v>
      </c>
      <c r="E402" s="246" t="s">
        <v>238</v>
      </c>
      <c r="F402" s="247" t="s">
        <v>921</v>
      </c>
      <c r="G402" s="253" t="s">
        <v>1437</v>
      </c>
    </row>
    <row r="403" spans="1:7" x14ac:dyDescent="0.3">
      <c r="A403" s="245" t="s">
        <v>224</v>
      </c>
      <c r="B403" s="245" t="s">
        <v>20</v>
      </c>
      <c r="C403" s="245" t="s">
        <v>54</v>
      </c>
      <c r="D403" s="246" t="s">
        <v>4</v>
      </c>
      <c r="E403" s="246" t="s">
        <v>240</v>
      </c>
      <c r="F403" s="247" t="s">
        <v>315</v>
      </c>
      <c r="G403" s="253" t="s">
        <v>1438</v>
      </c>
    </row>
    <row r="404" spans="1:7" x14ac:dyDescent="0.3">
      <c r="A404" s="245" t="s">
        <v>224</v>
      </c>
      <c r="B404" s="245" t="s">
        <v>20</v>
      </c>
      <c r="C404" s="245" t="s">
        <v>54</v>
      </c>
      <c r="D404" s="246" t="s">
        <v>4</v>
      </c>
      <c r="E404" s="246" t="s">
        <v>43</v>
      </c>
      <c r="F404" s="247" t="s">
        <v>316</v>
      </c>
      <c r="G404" s="253" t="s">
        <v>1415</v>
      </c>
    </row>
    <row r="405" spans="1:7" x14ac:dyDescent="0.3">
      <c r="A405" s="234" t="s">
        <v>317</v>
      </c>
      <c r="B405" s="234"/>
      <c r="C405" s="234"/>
      <c r="D405" s="234"/>
      <c r="E405" s="234"/>
      <c r="F405" s="235" t="s">
        <v>684</v>
      </c>
    </row>
    <row r="406" spans="1:7" x14ac:dyDescent="0.3">
      <c r="A406" s="236" t="s">
        <v>317</v>
      </c>
      <c r="B406" s="236" t="s">
        <v>20</v>
      </c>
      <c r="C406" s="236"/>
      <c r="D406" s="236"/>
      <c r="E406" s="236"/>
      <c r="F406" s="237" t="s">
        <v>318</v>
      </c>
    </row>
    <row r="407" spans="1:7" x14ac:dyDescent="0.3">
      <c r="A407" s="238" t="s">
        <v>317</v>
      </c>
      <c r="B407" s="238" t="s">
        <v>20</v>
      </c>
      <c r="C407" s="238" t="s">
        <v>20</v>
      </c>
      <c r="D407" s="238"/>
      <c r="E407" s="238"/>
      <c r="F407" s="240" t="s">
        <v>319</v>
      </c>
    </row>
    <row r="408" spans="1:7" x14ac:dyDescent="0.3">
      <c r="A408" s="241" t="s">
        <v>317</v>
      </c>
      <c r="B408" s="241" t="s">
        <v>20</v>
      </c>
      <c r="C408" s="241" t="s">
        <v>20</v>
      </c>
      <c r="D408" s="242" t="s">
        <v>0</v>
      </c>
      <c r="E408" s="241"/>
      <c r="F408" s="243" t="s">
        <v>565</v>
      </c>
    </row>
    <row r="409" spans="1:7" x14ac:dyDescent="0.3">
      <c r="A409" s="245" t="s">
        <v>317</v>
      </c>
      <c r="B409" s="245" t="s">
        <v>20</v>
      </c>
      <c r="C409" s="245" t="s">
        <v>20</v>
      </c>
      <c r="D409" s="245" t="s">
        <v>0</v>
      </c>
      <c r="E409" s="245" t="s">
        <v>1</v>
      </c>
      <c r="F409" s="247" t="s">
        <v>320</v>
      </c>
      <c r="G409" s="255" t="s">
        <v>1439</v>
      </c>
    </row>
    <row r="410" spans="1:7" x14ac:dyDescent="0.3">
      <c r="A410" s="245" t="s">
        <v>317</v>
      </c>
      <c r="B410" s="245" t="s">
        <v>20</v>
      </c>
      <c r="C410" s="245" t="s">
        <v>20</v>
      </c>
      <c r="D410" s="245" t="s">
        <v>0</v>
      </c>
      <c r="E410" s="245" t="s">
        <v>3</v>
      </c>
      <c r="F410" s="247" t="s">
        <v>321</v>
      </c>
      <c r="G410" s="255" t="s">
        <v>1440</v>
      </c>
    </row>
    <row r="411" spans="1:7" x14ac:dyDescent="0.3">
      <c r="A411" s="245" t="s">
        <v>317</v>
      </c>
      <c r="B411" s="245" t="s">
        <v>20</v>
      </c>
      <c r="C411" s="245" t="s">
        <v>20</v>
      </c>
      <c r="D411" s="245" t="s">
        <v>0</v>
      </c>
      <c r="E411" s="245" t="s">
        <v>5</v>
      </c>
      <c r="F411" s="247" t="s">
        <v>322</v>
      </c>
      <c r="G411" s="255" t="s">
        <v>1441</v>
      </c>
    </row>
    <row r="412" spans="1:7" x14ac:dyDescent="0.3">
      <c r="A412" s="245" t="s">
        <v>317</v>
      </c>
      <c r="B412" s="245" t="s">
        <v>20</v>
      </c>
      <c r="C412" s="245" t="s">
        <v>20</v>
      </c>
      <c r="D412" s="245" t="s">
        <v>0</v>
      </c>
      <c r="E412" s="245" t="s">
        <v>7</v>
      </c>
      <c r="F412" s="247" t="s">
        <v>323</v>
      </c>
      <c r="G412" s="255" t="s">
        <v>1442</v>
      </c>
    </row>
    <row r="413" spans="1:7" x14ac:dyDescent="0.3">
      <c r="A413" s="245" t="s">
        <v>317</v>
      </c>
      <c r="B413" s="245" t="s">
        <v>20</v>
      </c>
      <c r="C413" s="245" t="s">
        <v>20</v>
      </c>
      <c r="D413" s="245" t="s">
        <v>0</v>
      </c>
      <c r="E413" s="245" t="s">
        <v>9</v>
      </c>
      <c r="F413" s="247" t="s">
        <v>324</v>
      </c>
      <c r="G413" s="255" t="s">
        <v>1443</v>
      </c>
    </row>
    <row r="414" spans="1:7" x14ac:dyDescent="0.3">
      <c r="A414" s="245" t="s">
        <v>317</v>
      </c>
      <c r="B414" s="245" t="s">
        <v>20</v>
      </c>
      <c r="C414" s="245" t="s">
        <v>20</v>
      </c>
      <c r="D414" s="245" t="s">
        <v>0</v>
      </c>
      <c r="E414" s="245" t="s">
        <v>10</v>
      </c>
      <c r="F414" s="247" t="s">
        <v>325</v>
      </c>
      <c r="G414" s="255" t="s">
        <v>1441</v>
      </c>
    </row>
    <row r="415" spans="1:7" x14ac:dyDescent="0.3">
      <c r="A415" s="245" t="s">
        <v>317</v>
      </c>
      <c r="B415" s="245" t="s">
        <v>20</v>
      </c>
      <c r="C415" s="245" t="s">
        <v>20</v>
      </c>
      <c r="D415" s="245" t="s">
        <v>0</v>
      </c>
      <c r="E415" s="245" t="s">
        <v>11</v>
      </c>
      <c r="F415" s="247" t="s">
        <v>326</v>
      </c>
      <c r="G415" s="255" t="s">
        <v>1444</v>
      </c>
    </row>
    <row r="416" spans="1:7" x14ac:dyDescent="0.3">
      <c r="A416" s="245" t="s">
        <v>317</v>
      </c>
      <c r="B416" s="245" t="s">
        <v>20</v>
      </c>
      <c r="C416" s="245" t="s">
        <v>20</v>
      </c>
      <c r="D416" s="245" t="s">
        <v>0</v>
      </c>
      <c r="E416" s="245" t="s">
        <v>13</v>
      </c>
      <c r="F416" s="247" t="s">
        <v>327</v>
      </c>
      <c r="G416" s="255" t="s">
        <v>1445</v>
      </c>
    </row>
    <row r="417" spans="1:7" x14ac:dyDescent="0.3">
      <c r="A417" s="245" t="s">
        <v>317</v>
      </c>
      <c r="B417" s="245" t="s">
        <v>20</v>
      </c>
      <c r="C417" s="245" t="s">
        <v>20</v>
      </c>
      <c r="D417" s="245" t="s">
        <v>0</v>
      </c>
      <c r="E417" s="245" t="s">
        <v>15</v>
      </c>
      <c r="F417" s="247" t="s">
        <v>328</v>
      </c>
      <c r="G417" s="255" t="s">
        <v>1427</v>
      </c>
    </row>
    <row r="418" spans="1:7" x14ac:dyDescent="0.3">
      <c r="A418" s="245" t="s">
        <v>317</v>
      </c>
      <c r="B418" s="245" t="s">
        <v>20</v>
      </c>
      <c r="C418" s="245" t="s">
        <v>20</v>
      </c>
      <c r="D418" s="245" t="s">
        <v>0</v>
      </c>
      <c r="E418" s="245" t="s">
        <v>238</v>
      </c>
      <c r="F418" s="247" t="s">
        <v>329</v>
      </c>
      <c r="G418" s="255" t="s">
        <v>1446</v>
      </c>
    </row>
    <row r="419" spans="1:7" x14ac:dyDescent="0.3">
      <c r="A419" s="245" t="s">
        <v>317</v>
      </c>
      <c r="B419" s="245" t="s">
        <v>20</v>
      </c>
      <c r="C419" s="245" t="s">
        <v>20</v>
      </c>
      <c r="D419" s="245" t="s">
        <v>0</v>
      </c>
      <c r="E419" s="245" t="s">
        <v>240</v>
      </c>
      <c r="F419" s="247" t="s">
        <v>330</v>
      </c>
      <c r="G419" s="255" t="s">
        <v>1427</v>
      </c>
    </row>
    <row r="420" spans="1:7" x14ac:dyDescent="0.3">
      <c r="A420" s="245" t="s">
        <v>317</v>
      </c>
      <c r="B420" s="245" t="s">
        <v>20</v>
      </c>
      <c r="C420" s="245" t="s">
        <v>20</v>
      </c>
      <c r="D420" s="245" t="s">
        <v>0</v>
      </c>
      <c r="E420" s="245" t="s">
        <v>331</v>
      </c>
      <c r="F420" s="247" t="s">
        <v>332</v>
      </c>
      <c r="G420" s="255" t="s">
        <v>1427</v>
      </c>
    </row>
    <row r="421" spans="1:7" x14ac:dyDescent="0.3">
      <c r="A421" s="245" t="s">
        <v>317</v>
      </c>
      <c r="B421" s="245" t="s">
        <v>20</v>
      </c>
      <c r="C421" s="245" t="s">
        <v>20</v>
      </c>
      <c r="D421" s="245" t="s">
        <v>0</v>
      </c>
      <c r="E421" s="245" t="s">
        <v>333</v>
      </c>
      <c r="F421" s="247" t="s">
        <v>334</v>
      </c>
      <c r="G421" s="255" t="s">
        <v>1441</v>
      </c>
    </row>
    <row r="422" spans="1:7" x14ac:dyDescent="0.3">
      <c r="A422" s="245" t="s">
        <v>317</v>
      </c>
      <c r="B422" s="245" t="s">
        <v>20</v>
      </c>
      <c r="C422" s="245" t="s">
        <v>20</v>
      </c>
      <c r="D422" s="245" t="s">
        <v>0</v>
      </c>
      <c r="E422" s="245" t="s">
        <v>335</v>
      </c>
      <c r="F422" s="247" t="s">
        <v>336</v>
      </c>
      <c r="G422" s="255" t="s">
        <v>1447</v>
      </c>
    </row>
    <row r="423" spans="1:7" x14ac:dyDescent="0.3">
      <c r="A423" s="245" t="s">
        <v>317</v>
      </c>
      <c r="B423" s="245" t="s">
        <v>20</v>
      </c>
      <c r="C423" s="245" t="s">
        <v>20</v>
      </c>
      <c r="D423" s="245" t="s">
        <v>0</v>
      </c>
      <c r="E423" s="245" t="s">
        <v>337</v>
      </c>
      <c r="F423" s="247" t="s">
        <v>338</v>
      </c>
      <c r="G423" s="255" t="s">
        <v>1448</v>
      </c>
    </row>
    <row r="424" spans="1:7" x14ac:dyDescent="0.3">
      <c r="A424" s="245" t="s">
        <v>317</v>
      </c>
      <c r="B424" s="245" t="s">
        <v>20</v>
      </c>
      <c r="C424" s="245" t="s">
        <v>20</v>
      </c>
      <c r="D424" s="245" t="s">
        <v>0</v>
      </c>
      <c r="E424" s="245" t="s">
        <v>339</v>
      </c>
      <c r="F424" s="247" t="s">
        <v>340</v>
      </c>
      <c r="G424" s="255" t="s">
        <v>1449</v>
      </c>
    </row>
    <row r="425" spans="1:7" x14ac:dyDescent="0.3">
      <c r="A425" s="245" t="s">
        <v>317</v>
      </c>
      <c r="B425" s="245" t="s">
        <v>20</v>
      </c>
      <c r="C425" s="245" t="s">
        <v>20</v>
      </c>
      <c r="D425" s="245" t="s">
        <v>0</v>
      </c>
      <c r="E425" s="245" t="s">
        <v>341</v>
      </c>
      <c r="F425" s="247" t="s">
        <v>342</v>
      </c>
      <c r="G425" s="255" t="s">
        <v>1427</v>
      </c>
    </row>
    <row r="426" spans="1:7" x14ac:dyDescent="0.3">
      <c r="A426" s="245" t="s">
        <v>317</v>
      </c>
      <c r="B426" s="245" t="s">
        <v>20</v>
      </c>
      <c r="C426" s="245" t="s">
        <v>20</v>
      </c>
      <c r="D426" s="245" t="s">
        <v>0</v>
      </c>
      <c r="E426" s="245" t="s">
        <v>343</v>
      </c>
      <c r="F426" s="247" t="s">
        <v>345</v>
      </c>
      <c r="G426" s="255" t="s">
        <v>1450</v>
      </c>
    </row>
    <row r="427" spans="1:7" x14ac:dyDescent="0.3">
      <c r="A427" s="245" t="s">
        <v>317</v>
      </c>
      <c r="B427" s="245" t="s">
        <v>20</v>
      </c>
      <c r="C427" s="245" t="s">
        <v>20</v>
      </c>
      <c r="D427" s="245" t="s">
        <v>0</v>
      </c>
      <c r="E427" s="245" t="s">
        <v>344</v>
      </c>
      <c r="F427" s="247" t="s">
        <v>347</v>
      </c>
      <c r="G427" s="255" t="s">
        <v>1441</v>
      </c>
    </row>
    <row r="428" spans="1:7" x14ac:dyDescent="0.3">
      <c r="A428" s="245" t="s">
        <v>317</v>
      </c>
      <c r="B428" s="245" t="s">
        <v>20</v>
      </c>
      <c r="C428" s="245" t="s">
        <v>20</v>
      </c>
      <c r="D428" s="245" t="s">
        <v>0</v>
      </c>
      <c r="E428" s="245" t="s">
        <v>346</v>
      </c>
      <c r="F428" s="247" t="s">
        <v>349</v>
      </c>
      <c r="G428" s="255" t="s">
        <v>1451</v>
      </c>
    </row>
    <row r="429" spans="1:7" x14ac:dyDescent="0.3">
      <c r="A429" s="245" t="s">
        <v>317</v>
      </c>
      <c r="B429" s="245" t="s">
        <v>20</v>
      </c>
      <c r="C429" s="245" t="s">
        <v>20</v>
      </c>
      <c r="D429" s="245" t="s">
        <v>0</v>
      </c>
      <c r="E429" s="245" t="s">
        <v>348</v>
      </c>
      <c r="F429" s="247" t="s">
        <v>351</v>
      </c>
      <c r="G429" s="255" t="s">
        <v>1452</v>
      </c>
    </row>
    <row r="430" spans="1:7" x14ac:dyDescent="0.3">
      <c r="A430" s="245" t="s">
        <v>317</v>
      </c>
      <c r="B430" s="245" t="s">
        <v>20</v>
      </c>
      <c r="C430" s="245" t="s">
        <v>20</v>
      </c>
      <c r="D430" s="245" t="s">
        <v>0</v>
      </c>
      <c r="E430" s="245" t="s">
        <v>350</v>
      </c>
      <c r="F430" s="247" t="s">
        <v>857</v>
      </c>
      <c r="G430" s="255" t="s">
        <v>1468</v>
      </c>
    </row>
    <row r="431" spans="1:7" x14ac:dyDescent="0.3">
      <c r="A431" s="245" t="s">
        <v>317</v>
      </c>
      <c r="B431" s="245" t="s">
        <v>20</v>
      </c>
      <c r="C431" s="245" t="s">
        <v>20</v>
      </c>
      <c r="D431" s="245" t="s">
        <v>0</v>
      </c>
      <c r="E431" s="245" t="s">
        <v>414</v>
      </c>
      <c r="F431" s="247" t="s">
        <v>858</v>
      </c>
      <c r="G431" s="253" t="s">
        <v>1467</v>
      </c>
    </row>
    <row r="432" spans="1:7" x14ac:dyDescent="0.3">
      <c r="A432" s="245" t="s">
        <v>317</v>
      </c>
      <c r="B432" s="245" t="s">
        <v>20</v>
      </c>
      <c r="C432" s="245" t="s">
        <v>20</v>
      </c>
      <c r="D432" s="245" t="s">
        <v>0</v>
      </c>
      <c r="E432" s="245" t="s">
        <v>43</v>
      </c>
      <c r="F432" s="247" t="s">
        <v>352</v>
      </c>
      <c r="G432" s="255" t="s">
        <v>1453</v>
      </c>
    </row>
    <row r="433" spans="1:7" x14ac:dyDescent="0.3">
      <c r="A433" s="241" t="s">
        <v>317</v>
      </c>
      <c r="B433" s="241" t="s">
        <v>20</v>
      </c>
      <c r="C433" s="241" t="s">
        <v>20</v>
      </c>
      <c r="D433" s="242" t="s">
        <v>2</v>
      </c>
      <c r="E433" s="241"/>
      <c r="F433" s="243" t="s">
        <v>566</v>
      </c>
    </row>
    <row r="434" spans="1:7" x14ac:dyDescent="0.3">
      <c r="A434" s="245" t="s">
        <v>317</v>
      </c>
      <c r="B434" s="245" t="s">
        <v>20</v>
      </c>
      <c r="C434" s="245" t="s">
        <v>20</v>
      </c>
      <c r="D434" s="245" t="s">
        <v>2</v>
      </c>
      <c r="E434" s="245" t="s">
        <v>1</v>
      </c>
      <c r="F434" s="247" t="s">
        <v>890</v>
      </c>
      <c r="G434" s="255" t="s">
        <v>1544</v>
      </c>
    </row>
    <row r="435" spans="1:7" x14ac:dyDescent="0.3">
      <c r="A435" s="245" t="s">
        <v>317</v>
      </c>
      <c r="B435" s="245" t="s">
        <v>20</v>
      </c>
      <c r="C435" s="245" t="s">
        <v>20</v>
      </c>
      <c r="D435" s="245" t="s">
        <v>2</v>
      </c>
      <c r="E435" s="245" t="s">
        <v>3</v>
      </c>
      <c r="F435" s="247" t="s">
        <v>891</v>
      </c>
      <c r="G435" s="255" t="s">
        <v>1545</v>
      </c>
    </row>
    <row r="436" spans="1:7" x14ac:dyDescent="0.3">
      <c r="A436" s="245" t="s">
        <v>317</v>
      </c>
      <c r="B436" s="245" t="s">
        <v>20</v>
      </c>
      <c r="C436" s="245" t="s">
        <v>20</v>
      </c>
      <c r="D436" s="245" t="s">
        <v>2</v>
      </c>
      <c r="E436" s="245" t="s">
        <v>5</v>
      </c>
      <c r="F436" s="247" t="s">
        <v>593</v>
      </c>
      <c r="G436" s="255" t="s">
        <v>1454</v>
      </c>
    </row>
    <row r="437" spans="1:7" x14ac:dyDescent="0.3">
      <c r="A437" s="238" t="s">
        <v>317</v>
      </c>
      <c r="B437" s="238" t="s">
        <v>20</v>
      </c>
      <c r="C437" s="238" t="s">
        <v>33</v>
      </c>
      <c r="D437" s="238"/>
      <c r="E437" s="238"/>
      <c r="F437" s="240" t="s">
        <v>353</v>
      </c>
    </row>
    <row r="438" spans="1:7" x14ac:dyDescent="0.3">
      <c r="A438" s="241" t="s">
        <v>317</v>
      </c>
      <c r="B438" s="241" t="s">
        <v>20</v>
      </c>
      <c r="C438" s="241" t="s">
        <v>33</v>
      </c>
      <c r="D438" s="241" t="s">
        <v>0</v>
      </c>
      <c r="E438" s="241"/>
      <c r="F438" s="243" t="s">
        <v>567</v>
      </c>
    </row>
    <row r="439" spans="1:7" x14ac:dyDescent="0.3">
      <c r="A439" s="245" t="s">
        <v>317</v>
      </c>
      <c r="B439" s="245" t="s">
        <v>20</v>
      </c>
      <c r="C439" s="245" t="s">
        <v>33</v>
      </c>
      <c r="D439" s="245" t="s">
        <v>0</v>
      </c>
      <c r="E439" s="245" t="s">
        <v>1</v>
      </c>
      <c r="F439" s="247" t="s">
        <v>354</v>
      </c>
      <c r="G439" s="255" t="s">
        <v>1439</v>
      </c>
    </row>
    <row r="440" spans="1:7" x14ac:dyDescent="0.3">
      <c r="A440" s="245" t="s">
        <v>317</v>
      </c>
      <c r="B440" s="245" t="s">
        <v>20</v>
      </c>
      <c r="C440" s="245" t="s">
        <v>33</v>
      </c>
      <c r="D440" s="245" t="s">
        <v>0</v>
      </c>
      <c r="E440" s="245" t="s">
        <v>3</v>
      </c>
      <c r="F440" s="247" t="s">
        <v>355</v>
      </c>
      <c r="G440" s="255" t="s">
        <v>1440</v>
      </c>
    </row>
    <row r="441" spans="1:7" x14ac:dyDescent="0.3">
      <c r="A441" s="245" t="s">
        <v>317</v>
      </c>
      <c r="B441" s="245" t="s">
        <v>20</v>
      </c>
      <c r="C441" s="245" t="s">
        <v>33</v>
      </c>
      <c r="D441" s="245" t="s">
        <v>0</v>
      </c>
      <c r="E441" s="245" t="s">
        <v>5</v>
      </c>
      <c r="F441" s="247" t="s">
        <v>356</v>
      </c>
      <c r="G441" s="255" t="s">
        <v>1455</v>
      </c>
    </row>
    <row r="442" spans="1:7" x14ac:dyDescent="0.3">
      <c r="A442" s="245" t="s">
        <v>317</v>
      </c>
      <c r="B442" s="245" t="s">
        <v>20</v>
      </c>
      <c r="C442" s="245" t="s">
        <v>33</v>
      </c>
      <c r="D442" s="245" t="s">
        <v>0</v>
      </c>
      <c r="E442" s="245" t="s">
        <v>7</v>
      </c>
      <c r="F442" s="247" t="s">
        <v>357</v>
      </c>
      <c r="G442" s="255" t="s">
        <v>1442</v>
      </c>
    </row>
    <row r="443" spans="1:7" x14ac:dyDescent="0.3">
      <c r="A443" s="245" t="s">
        <v>317</v>
      </c>
      <c r="B443" s="245" t="s">
        <v>20</v>
      </c>
      <c r="C443" s="245" t="s">
        <v>33</v>
      </c>
      <c r="D443" s="245" t="s">
        <v>0</v>
      </c>
      <c r="E443" s="245" t="s">
        <v>9</v>
      </c>
      <c r="F443" s="247" t="s">
        <v>358</v>
      </c>
      <c r="G443" s="255" t="s">
        <v>1455</v>
      </c>
    </row>
    <row r="444" spans="1:7" x14ac:dyDescent="0.3">
      <c r="A444" s="245" t="s">
        <v>317</v>
      </c>
      <c r="B444" s="245" t="s">
        <v>20</v>
      </c>
      <c r="C444" s="245" t="s">
        <v>33</v>
      </c>
      <c r="D444" s="245" t="s">
        <v>0</v>
      </c>
      <c r="E444" s="245" t="s">
        <v>10</v>
      </c>
      <c r="F444" s="247" t="s">
        <v>359</v>
      </c>
      <c r="G444" s="255" t="s">
        <v>1445</v>
      </c>
    </row>
    <row r="445" spans="1:7" x14ac:dyDescent="0.3">
      <c r="A445" s="245" t="s">
        <v>317</v>
      </c>
      <c r="B445" s="245" t="s">
        <v>20</v>
      </c>
      <c r="C445" s="245" t="s">
        <v>33</v>
      </c>
      <c r="D445" s="245" t="s">
        <v>0</v>
      </c>
      <c r="E445" s="245" t="s">
        <v>11</v>
      </c>
      <c r="F445" s="247" t="s">
        <v>360</v>
      </c>
      <c r="G445" s="255" t="s">
        <v>1456</v>
      </c>
    </row>
    <row r="446" spans="1:7" x14ac:dyDescent="0.3">
      <c r="A446" s="245" t="s">
        <v>317</v>
      </c>
      <c r="B446" s="245" t="s">
        <v>20</v>
      </c>
      <c r="C446" s="245" t="s">
        <v>33</v>
      </c>
      <c r="D446" s="245" t="s">
        <v>0</v>
      </c>
      <c r="E446" s="245" t="s">
        <v>13</v>
      </c>
      <c r="F446" s="247" t="s">
        <v>361</v>
      </c>
      <c r="G446" s="255" t="s">
        <v>1427</v>
      </c>
    </row>
    <row r="447" spans="1:7" x14ac:dyDescent="0.3">
      <c r="A447" s="245" t="s">
        <v>317</v>
      </c>
      <c r="B447" s="245" t="s">
        <v>20</v>
      </c>
      <c r="C447" s="245" t="s">
        <v>33</v>
      </c>
      <c r="D447" s="245" t="s">
        <v>0</v>
      </c>
      <c r="E447" s="245" t="s">
        <v>15</v>
      </c>
      <c r="F447" s="247" t="s">
        <v>362</v>
      </c>
      <c r="G447" s="255" t="s">
        <v>1427</v>
      </c>
    </row>
    <row r="448" spans="1:7" x14ac:dyDescent="0.3">
      <c r="A448" s="245" t="s">
        <v>317</v>
      </c>
      <c r="B448" s="245" t="s">
        <v>20</v>
      </c>
      <c r="C448" s="245" t="s">
        <v>33</v>
      </c>
      <c r="D448" s="245" t="s">
        <v>0</v>
      </c>
      <c r="E448" s="245" t="s">
        <v>238</v>
      </c>
      <c r="F448" s="247" t="s">
        <v>363</v>
      </c>
      <c r="G448" s="255" t="s">
        <v>1457</v>
      </c>
    </row>
    <row r="449" spans="1:7" x14ac:dyDescent="0.3">
      <c r="A449" s="245" t="s">
        <v>317</v>
      </c>
      <c r="B449" s="245" t="s">
        <v>20</v>
      </c>
      <c r="C449" s="245" t="s">
        <v>33</v>
      </c>
      <c r="D449" s="245" t="s">
        <v>0</v>
      </c>
      <c r="E449" s="245" t="s">
        <v>240</v>
      </c>
      <c r="F449" s="247" t="s">
        <v>364</v>
      </c>
      <c r="G449" s="255" t="s">
        <v>1427</v>
      </c>
    </row>
    <row r="450" spans="1:7" x14ac:dyDescent="0.3">
      <c r="A450" s="245" t="s">
        <v>317</v>
      </c>
      <c r="B450" s="245" t="s">
        <v>20</v>
      </c>
      <c r="C450" s="245" t="s">
        <v>33</v>
      </c>
      <c r="D450" s="245" t="s">
        <v>0</v>
      </c>
      <c r="E450" s="245" t="s">
        <v>331</v>
      </c>
      <c r="F450" s="247" t="s">
        <v>365</v>
      </c>
      <c r="G450" s="255" t="s">
        <v>1427</v>
      </c>
    </row>
    <row r="451" spans="1:7" x14ac:dyDescent="0.3">
      <c r="A451" s="245" t="s">
        <v>317</v>
      </c>
      <c r="B451" s="245" t="s">
        <v>20</v>
      </c>
      <c r="C451" s="245" t="s">
        <v>33</v>
      </c>
      <c r="D451" s="245" t="s">
        <v>0</v>
      </c>
      <c r="E451" s="245" t="s">
        <v>333</v>
      </c>
      <c r="F451" s="247" t="s">
        <v>366</v>
      </c>
      <c r="G451" s="255" t="s">
        <v>1450</v>
      </c>
    </row>
    <row r="452" spans="1:7" x14ac:dyDescent="0.3">
      <c r="A452" s="245" t="s">
        <v>317</v>
      </c>
      <c r="B452" s="245" t="s">
        <v>20</v>
      </c>
      <c r="C452" s="245" t="s">
        <v>33</v>
      </c>
      <c r="D452" s="245" t="s">
        <v>0</v>
      </c>
      <c r="E452" s="245" t="s">
        <v>335</v>
      </c>
      <c r="F452" s="247" t="s">
        <v>367</v>
      </c>
      <c r="G452" s="255" t="s">
        <v>1452</v>
      </c>
    </row>
    <row r="453" spans="1:7" x14ac:dyDescent="0.3">
      <c r="A453" s="245" t="s">
        <v>317</v>
      </c>
      <c r="B453" s="245" t="s">
        <v>20</v>
      </c>
      <c r="C453" s="245" t="s">
        <v>33</v>
      </c>
      <c r="D453" s="245" t="s">
        <v>0</v>
      </c>
      <c r="E453" s="245" t="s">
        <v>337</v>
      </c>
      <c r="F453" s="247" t="s">
        <v>368</v>
      </c>
      <c r="G453" s="255" t="s">
        <v>1452</v>
      </c>
    </row>
    <row r="454" spans="1:7" x14ac:dyDescent="0.3">
      <c r="A454" s="245" t="s">
        <v>317</v>
      </c>
      <c r="B454" s="245" t="s">
        <v>20</v>
      </c>
      <c r="C454" s="245" t="s">
        <v>33</v>
      </c>
      <c r="D454" s="245" t="s">
        <v>0</v>
      </c>
      <c r="E454" s="245" t="s">
        <v>339</v>
      </c>
      <c r="F454" s="247" t="s">
        <v>369</v>
      </c>
      <c r="G454" s="255" t="s">
        <v>1457</v>
      </c>
    </row>
    <row r="455" spans="1:7" x14ac:dyDescent="0.3">
      <c r="A455" s="245" t="s">
        <v>317</v>
      </c>
      <c r="B455" s="245" t="s">
        <v>20</v>
      </c>
      <c r="C455" s="245" t="s">
        <v>33</v>
      </c>
      <c r="D455" s="245" t="s">
        <v>0</v>
      </c>
      <c r="E455" s="245" t="s">
        <v>341</v>
      </c>
      <c r="F455" s="247" t="s">
        <v>370</v>
      </c>
      <c r="G455" s="255" t="s">
        <v>1452</v>
      </c>
    </row>
    <row r="456" spans="1:7" x14ac:dyDescent="0.3">
      <c r="A456" s="245" t="s">
        <v>317</v>
      </c>
      <c r="B456" s="245" t="s">
        <v>20</v>
      </c>
      <c r="C456" s="245" t="s">
        <v>33</v>
      </c>
      <c r="D456" s="245" t="s">
        <v>0</v>
      </c>
      <c r="E456" s="245" t="s">
        <v>343</v>
      </c>
      <c r="F456" s="247" t="s">
        <v>371</v>
      </c>
      <c r="G456" s="255" t="s">
        <v>1458</v>
      </c>
    </row>
    <row r="457" spans="1:7" x14ac:dyDescent="0.3">
      <c r="A457" s="245" t="s">
        <v>317</v>
      </c>
      <c r="B457" s="245" t="s">
        <v>20</v>
      </c>
      <c r="C457" s="245" t="s">
        <v>33</v>
      </c>
      <c r="D457" s="245" t="s">
        <v>0</v>
      </c>
      <c r="E457" s="245" t="s">
        <v>344</v>
      </c>
      <c r="F457" s="247" t="s">
        <v>372</v>
      </c>
      <c r="G457" s="255" t="s">
        <v>1451</v>
      </c>
    </row>
    <row r="458" spans="1:7" x14ac:dyDescent="0.3">
      <c r="A458" s="245" t="s">
        <v>317</v>
      </c>
      <c r="B458" s="245" t="s">
        <v>20</v>
      </c>
      <c r="C458" s="245" t="s">
        <v>33</v>
      </c>
      <c r="D458" s="245" t="s">
        <v>0</v>
      </c>
      <c r="E458" s="245" t="s">
        <v>346</v>
      </c>
      <c r="F458" s="247" t="s">
        <v>373</v>
      </c>
      <c r="G458" s="255" t="s">
        <v>1459</v>
      </c>
    </row>
    <row r="459" spans="1:7" x14ac:dyDescent="0.3">
      <c r="A459" s="245" t="s">
        <v>317</v>
      </c>
      <c r="B459" s="245" t="s">
        <v>20</v>
      </c>
      <c r="C459" s="245" t="s">
        <v>33</v>
      </c>
      <c r="D459" s="245" t="s">
        <v>0</v>
      </c>
      <c r="E459" s="245" t="s">
        <v>348</v>
      </c>
      <c r="F459" s="244" t="s">
        <v>374</v>
      </c>
      <c r="G459" s="255" t="s">
        <v>1452</v>
      </c>
    </row>
    <row r="460" spans="1:7" x14ac:dyDescent="0.3">
      <c r="A460" s="245" t="s">
        <v>317</v>
      </c>
      <c r="B460" s="245" t="s">
        <v>20</v>
      </c>
      <c r="C460" s="245" t="s">
        <v>33</v>
      </c>
      <c r="D460" s="245" t="s">
        <v>0</v>
      </c>
      <c r="E460" s="245" t="s">
        <v>350</v>
      </c>
      <c r="F460" s="247" t="s">
        <v>859</v>
      </c>
      <c r="G460" s="255" t="s">
        <v>1468</v>
      </c>
    </row>
    <row r="461" spans="1:7" x14ac:dyDescent="0.3">
      <c r="A461" s="245" t="s">
        <v>317</v>
      </c>
      <c r="B461" s="245" t="s">
        <v>20</v>
      </c>
      <c r="C461" s="245" t="s">
        <v>33</v>
      </c>
      <c r="D461" s="245" t="s">
        <v>0</v>
      </c>
      <c r="E461" s="245" t="s">
        <v>414</v>
      </c>
      <c r="F461" s="247" t="s">
        <v>860</v>
      </c>
      <c r="G461" s="253" t="s">
        <v>1467</v>
      </c>
    </row>
    <row r="462" spans="1:7" x14ac:dyDescent="0.3">
      <c r="A462" s="245" t="s">
        <v>317</v>
      </c>
      <c r="B462" s="245" t="s">
        <v>20</v>
      </c>
      <c r="C462" s="245" t="s">
        <v>33</v>
      </c>
      <c r="D462" s="245" t="s">
        <v>0</v>
      </c>
      <c r="E462" s="245" t="s">
        <v>43</v>
      </c>
      <c r="F462" s="247" t="s">
        <v>375</v>
      </c>
      <c r="G462" s="255" t="s">
        <v>1453</v>
      </c>
    </row>
    <row r="463" spans="1:7" x14ac:dyDescent="0.3">
      <c r="A463" s="241" t="s">
        <v>317</v>
      </c>
      <c r="B463" s="241" t="s">
        <v>20</v>
      </c>
      <c r="C463" s="241" t="s">
        <v>33</v>
      </c>
      <c r="D463" s="241" t="s">
        <v>2</v>
      </c>
      <c r="E463" s="241"/>
      <c r="F463" s="243" t="s">
        <v>568</v>
      </c>
    </row>
    <row r="464" spans="1:7" x14ac:dyDescent="0.3">
      <c r="A464" s="245" t="s">
        <v>317</v>
      </c>
      <c r="B464" s="245" t="s">
        <v>20</v>
      </c>
      <c r="C464" s="245" t="s">
        <v>33</v>
      </c>
      <c r="D464" s="245" t="s">
        <v>2</v>
      </c>
      <c r="E464" s="245" t="s">
        <v>1</v>
      </c>
      <c r="F464" s="247" t="s">
        <v>892</v>
      </c>
      <c r="G464" s="255" t="s">
        <v>1544</v>
      </c>
    </row>
    <row r="465" spans="1:7" x14ac:dyDescent="0.3">
      <c r="A465" s="245" t="s">
        <v>317</v>
      </c>
      <c r="B465" s="245" t="s">
        <v>20</v>
      </c>
      <c r="C465" s="245" t="s">
        <v>33</v>
      </c>
      <c r="D465" s="245" t="s">
        <v>2</v>
      </c>
      <c r="E465" s="245" t="s">
        <v>3</v>
      </c>
      <c r="F465" s="247" t="s">
        <v>893</v>
      </c>
      <c r="G465" s="255" t="s">
        <v>1545</v>
      </c>
    </row>
    <row r="466" spans="1:7" x14ac:dyDescent="0.3">
      <c r="A466" s="245" t="s">
        <v>317</v>
      </c>
      <c r="B466" s="245" t="s">
        <v>20</v>
      </c>
      <c r="C466" s="245" t="s">
        <v>33</v>
      </c>
      <c r="D466" s="245" t="s">
        <v>2</v>
      </c>
      <c r="E466" s="245" t="s">
        <v>5</v>
      </c>
      <c r="F466" s="247" t="s">
        <v>594</v>
      </c>
      <c r="G466" s="255" t="s">
        <v>1454</v>
      </c>
    </row>
    <row r="467" spans="1:7" x14ac:dyDescent="0.3">
      <c r="A467" s="238" t="s">
        <v>317</v>
      </c>
      <c r="B467" s="238" t="s">
        <v>20</v>
      </c>
      <c r="C467" s="238" t="s">
        <v>44</v>
      </c>
      <c r="D467" s="238"/>
      <c r="E467" s="238"/>
      <c r="F467" s="240" t="s">
        <v>376</v>
      </c>
    </row>
    <row r="468" spans="1:7" x14ac:dyDescent="0.3">
      <c r="A468" s="241" t="s">
        <v>317</v>
      </c>
      <c r="B468" s="241" t="s">
        <v>20</v>
      </c>
      <c r="C468" s="241" t="s">
        <v>44</v>
      </c>
      <c r="D468" s="241" t="s">
        <v>0</v>
      </c>
      <c r="E468" s="241"/>
      <c r="F468" s="243" t="s">
        <v>569</v>
      </c>
    </row>
    <row r="469" spans="1:7" x14ac:dyDescent="0.3">
      <c r="A469" s="245" t="s">
        <v>317</v>
      </c>
      <c r="B469" s="245" t="s">
        <v>20</v>
      </c>
      <c r="C469" s="245" t="s">
        <v>44</v>
      </c>
      <c r="D469" s="245" t="s">
        <v>0</v>
      </c>
      <c r="E469" s="245" t="s">
        <v>1</v>
      </c>
      <c r="F469" s="247" t="s">
        <v>377</v>
      </c>
      <c r="G469" s="255" t="s">
        <v>1439</v>
      </c>
    </row>
    <row r="470" spans="1:7" x14ac:dyDescent="0.3">
      <c r="A470" s="245" t="s">
        <v>317</v>
      </c>
      <c r="B470" s="245" t="s">
        <v>20</v>
      </c>
      <c r="C470" s="245" t="s">
        <v>44</v>
      </c>
      <c r="D470" s="245" t="s">
        <v>0</v>
      </c>
      <c r="E470" s="245" t="s">
        <v>3</v>
      </c>
      <c r="F470" s="247" t="s">
        <v>378</v>
      </c>
      <c r="G470" s="255" t="s">
        <v>1440</v>
      </c>
    </row>
    <row r="471" spans="1:7" x14ac:dyDescent="0.3">
      <c r="A471" s="245" t="s">
        <v>317</v>
      </c>
      <c r="B471" s="245" t="s">
        <v>20</v>
      </c>
      <c r="C471" s="245" t="s">
        <v>44</v>
      </c>
      <c r="D471" s="245" t="s">
        <v>0</v>
      </c>
      <c r="E471" s="245" t="s">
        <v>5</v>
      </c>
      <c r="F471" s="247" t="s">
        <v>379</v>
      </c>
      <c r="G471" s="255" t="s">
        <v>1455</v>
      </c>
    </row>
    <row r="472" spans="1:7" x14ac:dyDescent="0.3">
      <c r="A472" s="245" t="s">
        <v>317</v>
      </c>
      <c r="B472" s="245" t="s">
        <v>20</v>
      </c>
      <c r="C472" s="245" t="s">
        <v>44</v>
      </c>
      <c r="D472" s="245" t="s">
        <v>0</v>
      </c>
      <c r="E472" s="245" t="s">
        <v>7</v>
      </c>
      <c r="F472" s="247" t="s">
        <v>380</v>
      </c>
      <c r="G472" s="255" t="s">
        <v>1442</v>
      </c>
    </row>
    <row r="473" spans="1:7" x14ac:dyDescent="0.3">
      <c r="A473" s="245" t="s">
        <v>317</v>
      </c>
      <c r="B473" s="245" t="s">
        <v>20</v>
      </c>
      <c r="C473" s="245" t="s">
        <v>44</v>
      </c>
      <c r="D473" s="245" t="s">
        <v>0</v>
      </c>
      <c r="E473" s="245" t="s">
        <v>9</v>
      </c>
      <c r="F473" s="247" t="s">
        <v>381</v>
      </c>
      <c r="G473" s="255" t="s">
        <v>1457</v>
      </c>
    </row>
    <row r="474" spans="1:7" x14ac:dyDescent="0.3">
      <c r="A474" s="245" t="s">
        <v>317</v>
      </c>
      <c r="B474" s="245" t="s">
        <v>20</v>
      </c>
      <c r="C474" s="245" t="s">
        <v>44</v>
      </c>
      <c r="D474" s="245" t="s">
        <v>0</v>
      </c>
      <c r="E474" s="245" t="s">
        <v>10</v>
      </c>
      <c r="F474" s="247" t="s">
        <v>382</v>
      </c>
      <c r="G474" s="255" t="s">
        <v>1445</v>
      </c>
    </row>
    <row r="475" spans="1:7" x14ac:dyDescent="0.3">
      <c r="A475" s="245" t="s">
        <v>317</v>
      </c>
      <c r="B475" s="245" t="s">
        <v>20</v>
      </c>
      <c r="C475" s="245" t="s">
        <v>44</v>
      </c>
      <c r="D475" s="245" t="s">
        <v>0</v>
      </c>
      <c r="E475" s="245" t="s">
        <v>11</v>
      </c>
      <c r="F475" s="247" t="s">
        <v>383</v>
      </c>
      <c r="G475" s="255" t="s">
        <v>1460</v>
      </c>
    </row>
    <row r="476" spans="1:7" x14ac:dyDescent="0.3">
      <c r="A476" s="245" t="s">
        <v>317</v>
      </c>
      <c r="B476" s="245" t="s">
        <v>20</v>
      </c>
      <c r="C476" s="245" t="s">
        <v>44</v>
      </c>
      <c r="D476" s="245" t="s">
        <v>0</v>
      </c>
      <c r="E476" s="245" t="s">
        <v>13</v>
      </c>
      <c r="F476" s="247" t="s">
        <v>384</v>
      </c>
      <c r="G476" s="255" t="s">
        <v>1427</v>
      </c>
    </row>
    <row r="477" spans="1:7" x14ac:dyDescent="0.3">
      <c r="A477" s="245" t="s">
        <v>317</v>
      </c>
      <c r="B477" s="245" t="s">
        <v>20</v>
      </c>
      <c r="C477" s="245" t="s">
        <v>44</v>
      </c>
      <c r="D477" s="245" t="s">
        <v>0</v>
      </c>
      <c r="E477" s="245" t="s">
        <v>15</v>
      </c>
      <c r="F477" s="247" t="s">
        <v>385</v>
      </c>
      <c r="G477" s="255" t="s">
        <v>1427</v>
      </c>
    </row>
    <row r="478" spans="1:7" x14ac:dyDescent="0.3">
      <c r="A478" s="245" t="s">
        <v>317</v>
      </c>
      <c r="B478" s="245" t="s">
        <v>20</v>
      </c>
      <c r="C478" s="245" t="s">
        <v>44</v>
      </c>
      <c r="D478" s="245" t="s">
        <v>0</v>
      </c>
      <c r="E478" s="245" t="s">
        <v>238</v>
      </c>
      <c r="F478" s="247" t="s">
        <v>386</v>
      </c>
      <c r="G478" s="255" t="s">
        <v>1457</v>
      </c>
    </row>
    <row r="479" spans="1:7" x14ac:dyDescent="0.3">
      <c r="A479" s="245" t="s">
        <v>317</v>
      </c>
      <c r="B479" s="245" t="s">
        <v>20</v>
      </c>
      <c r="C479" s="245" t="s">
        <v>44</v>
      </c>
      <c r="D479" s="245" t="s">
        <v>0</v>
      </c>
      <c r="E479" s="245" t="s">
        <v>240</v>
      </c>
      <c r="F479" s="247" t="s">
        <v>387</v>
      </c>
      <c r="G479" s="255" t="s">
        <v>1427</v>
      </c>
    </row>
    <row r="480" spans="1:7" x14ac:dyDescent="0.3">
      <c r="A480" s="245" t="s">
        <v>317</v>
      </c>
      <c r="B480" s="245" t="s">
        <v>20</v>
      </c>
      <c r="C480" s="245" t="s">
        <v>44</v>
      </c>
      <c r="D480" s="245" t="s">
        <v>0</v>
      </c>
      <c r="E480" s="245" t="s">
        <v>331</v>
      </c>
      <c r="F480" s="247" t="s">
        <v>388</v>
      </c>
      <c r="G480" s="255" t="s">
        <v>1427</v>
      </c>
    </row>
    <row r="481" spans="1:7" x14ac:dyDescent="0.3">
      <c r="A481" s="245" t="s">
        <v>317</v>
      </c>
      <c r="B481" s="245" t="s">
        <v>20</v>
      </c>
      <c r="C481" s="245" t="s">
        <v>44</v>
      </c>
      <c r="D481" s="245" t="s">
        <v>0</v>
      </c>
      <c r="E481" s="245" t="s">
        <v>333</v>
      </c>
      <c r="F481" s="247" t="s">
        <v>389</v>
      </c>
      <c r="G481" s="255" t="s">
        <v>1450</v>
      </c>
    </row>
    <row r="482" spans="1:7" x14ac:dyDescent="0.3">
      <c r="A482" s="245" t="s">
        <v>317</v>
      </c>
      <c r="B482" s="245" t="s">
        <v>20</v>
      </c>
      <c r="C482" s="245" t="s">
        <v>44</v>
      </c>
      <c r="D482" s="245" t="s">
        <v>0</v>
      </c>
      <c r="E482" s="245" t="s">
        <v>335</v>
      </c>
      <c r="F482" s="247" t="s">
        <v>390</v>
      </c>
      <c r="G482" s="255" t="s">
        <v>1458</v>
      </c>
    </row>
    <row r="483" spans="1:7" x14ac:dyDescent="0.3">
      <c r="A483" s="245" t="s">
        <v>317</v>
      </c>
      <c r="B483" s="245" t="s">
        <v>20</v>
      </c>
      <c r="C483" s="245" t="s">
        <v>44</v>
      </c>
      <c r="D483" s="245" t="s">
        <v>0</v>
      </c>
      <c r="E483" s="245" t="s">
        <v>337</v>
      </c>
      <c r="F483" s="247" t="s">
        <v>391</v>
      </c>
      <c r="G483" s="255" t="s">
        <v>1451</v>
      </c>
    </row>
    <row r="484" spans="1:7" x14ac:dyDescent="0.3">
      <c r="A484" s="245" t="s">
        <v>317</v>
      </c>
      <c r="B484" s="245" t="s">
        <v>20</v>
      </c>
      <c r="C484" s="245" t="s">
        <v>44</v>
      </c>
      <c r="D484" s="245" t="s">
        <v>0</v>
      </c>
      <c r="E484" s="245" t="s">
        <v>339</v>
      </c>
      <c r="F484" s="247" t="s">
        <v>598</v>
      </c>
      <c r="G484" s="255" t="s">
        <v>1452</v>
      </c>
    </row>
    <row r="485" spans="1:7" x14ac:dyDescent="0.3">
      <c r="A485" s="245" t="s">
        <v>317</v>
      </c>
      <c r="B485" s="245" t="s">
        <v>20</v>
      </c>
      <c r="C485" s="245" t="s">
        <v>44</v>
      </c>
      <c r="D485" s="245" t="s">
        <v>0</v>
      </c>
      <c r="E485" s="245" t="s">
        <v>341</v>
      </c>
      <c r="F485" s="247" t="s">
        <v>861</v>
      </c>
      <c r="G485" s="255" t="s">
        <v>1468</v>
      </c>
    </row>
    <row r="486" spans="1:7" x14ac:dyDescent="0.3">
      <c r="A486" s="245" t="s">
        <v>317</v>
      </c>
      <c r="B486" s="245" t="s">
        <v>20</v>
      </c>
      <c r="C486" s="245" t="s">
        <v>44</v>
      </c>
      <c r="D486" s="245" t="s">
        <v>0</v>
      </c>
      <c r="E486" s="245" t="s">
        <v>343</v>
      </c>
      <c r="F486" s="247" t="s">
        <v>862</v>
      </c>
      <c r="G486" s="253" t="s">
        <v>1467</v>
      </c>
    </row>
    <row r="487" spans="1:7" x14ac:dyDescent="0.3">
      <c r="A487" s="245" t="s">
        <v>317</v>
      </c>
      <c r="B487" s="245" t="s">
        <v>20</v>
      </c>
      <c r="C487" s="245" t="s">
        <v>44</v>
      </c>
      <c r="D487" s="245" t="s">
        <v>0</v>
      </c>
      <c r="E487" s="245" t="s">
        <v>344</v>
      </c>
      <c r="F487" s="247" t="s">
        <v>863</v>
      </c>
      <c r="G487" s="255" t="s">
        <v>1453</v>
      </c>
    </row>
    <row r="488" spans="1:7" x14ac:dyDescent="0.3">
      <c r="A488" s="245" t="s">
        <v>317</v>
      </c>
      <c r="B488" s="245" t="s">
        <v>20</v>
      </c>
      <c r="C488" s="245" t="s">
        <v>44</v>
      </c>
      <c r="D488" s="245" t="s">
        <v>0</v>
      </c>
      <c r="E488" s="245" t="s">
        <v>43</v>
      </c>
      <c r="F488" s="247" t="s">
        <v>392</v>
      </c>
    </row>
    <row r="489" spans="1:7" x14ac:dyDescent="0.3">
      <c r="A489" s="241" t="s">
        <v>317</v>
      </c>
      <c r="B489" s="241" t="s">
        <v>20</v>
      </c>
      <c r="C489" s="241" t="s">
        <v>44</v>
      </c>
      <c r="D489" s="241" t="s">
        <v>2</v>
      </c>
      <c r="E489" s="241"/>
      <c r="F489" s="243" t="s">
        <v>864</v>
      </c>
    </row>
    <row r="490" spans="1:7" x14ac:dyDescent="0.3">
      <c r="A490" s="245" t="s">
        <v>317</v>
      </c>
      <c r="B490" s="245" t="s">
        <v>20</v>
      </c>
      <c r="C490" s="245" t="s">
        <v>44</v>
      </c>
      <c r="D490" s="245" t="s">
        <v>2</v>
      </c>
      <c r="E490" s="245" t="s">
        <v>1</v>
      </c>
      <c r="F490" s="247" t="s">
        <v>894</v>
      </c>
      <c r="G490" s="255" t="s">
        <v>1544</v>
      </c>
    </row>
    <row r="491" spans="1:7" x14ac:dyDescent="0.3">
      <c r="A491" s="245" t="s">
        <v>317</v>
      </c>
      <c r="B491" s="245" t="s">
        <v>20</v>
      </c>
      <c r="C491" s="245" t="s">
        <v>44</v>
      </c>
      <c r="D491" s="245" t="s">
        <v>2</v>
      </c>
      <c r="E491" s="245" t="s">
        <v>3</v>
      </c>
      <c r="F491" s="247" t="s">
        <v>895</v>
      </c>
      <c r="G491" s="255" t="s">
        <v>1545</v>
      </c>
    </row>
    <row r="492" spans="1:7" x14ac:dyDescent="0.3">
      <c r="A492" s="245" t="s">
        <v>317</v>
      </c>
      <c r="B492" s="245" t="s">
        <v>20</v>
      </c>
      <c r="C492" s="245" t="s">
        <v>44</v>
      </c>
      <c r="D492" s="245" t="s">
        <v>2</v>
      </c>
      <c r="E492" s="245" t="s">
        <v>5</v>
      </c>
      <c r="F492" s="247" t="s">
        <v>571</v>
      </c>
      <c r="G492" s="255" t="s">
        <v>1454</v>
      </c>
    </row>
    <row r="493" spans="1:7" x14ac:dyDescent="0.3">
      <c r="A493" s="238" t="s">
        <v>317</v>
      </c>
      <c r="B493" s="238" t="s">
        <v>20</v>
      </c>
      <c r="C493" s="238" t="s">
        <v>54</v>
      </c>
      <c r="D493" s="238"/>
      <c r="E493" s="238"/>
      <c r="F493" s="240" t="s">
        <v>639</v>
      </c>
    </row>
    <row r="494" spans="1:7" x14ac:dyDescent="0.3">
      <c r="A494" s="241" t="s">
        <v>317</v>
      </c>
      <c r="B494" s="241" t="s">
        <v>20</v>
      </c>
      <c r="C494" s="241" t="s">
        <v>54</v>
      </c>
      <c r="D494" s="242" t="s">
        <v>0</v>
      </c>
      <c r="E494" s="241"/>
      <c r="F494" s="243" t="s">
        <v>640</v>
      </c>
    </row>
    <row r="495" spans="1:7" x14ac:dyDescent="0.3">
      <c r="A495" s="245" t="s">
        <v>317</v>
      </c>
      <c r="B495" s="245" t="s">
        <v>20</v>
      </c>
      <c r="C495" s="245" t="s">
        <v>54</v>
      </c>
      <c r="D495" s="245" t="s">
        <v>0</v>
      </c>
      <c r="E495" s="245" t="s">
        <v>1</v>
      </c>
      <c r="F495" s="247" t="s">
        <v>393</v>
      </c>
      <c r="G495" s="255" t="s">
        <v>1427</v>
      </c>
    </row>
    <row r="496" spans="1:7" x14ac:dyDescent="0.3">
      <c r="A496" s="245" t="s">
        <v>317</v>
      </c>
      <c r="B496" s="245" t="s">
        <v>20</v>
      </c>
      <c r="C496" s="245" t="s">
        <v>54</v>
      </c>
      <c r="D496" s="245" t="s">
        <v>0</v>
      </c>
      <c r="E496" s="245" t="s">
        <v>3</v>
      </c>
      <c r="F496" s="247" t="s">
        <v>394</v>
      </c>
      <c r="G496" s="255" t="s">
        <v>1427</v>
      </c>
    </row>
    <row r="497" spans="1:7" x14ac:dyDescent="0.3">
      <c r="A497" s="245" t="s">
        <v>317</v>
      </c>
      <c r="B497" s="245" t="s">
        <v>20</v>
      </c>
      <c r="C497" s="245" t="s">
        <v>54</v>
      </c>
      <c r="D497" s="245" t="s">
        <v>0</v>
      </c>
      <c r="E497" s="245" t="s">
        <v>5</v>
      </c>
      <c r="F497" s="247" t="s">
        <v>395</v>
      </c>
      <c r="G497" s="255" t="s">
        <v>1440</v>
      </c>
    </row>
    <row r="498" spans="1:7" x14ac:dyDescent="0.3">
      <c r="A498" s="245" t="s">
        <v>317</v>
      </c>
      <c r="B498" s="245" t="s">
        <v>20</v>
      </c>
      <c r="C498" s="245" t="s">
        <v>54</v>
      </c>
      <c r="D498" s="245" t="s">
        <v>0</v>
      </c>
      <c r="E498" s="245" t="s">
        <v>7</v>
      </c>
      <c r="F498" s="247" t="s">
        <v>396</v>
      </c>
      <c r="G498" s="255" t="s">
        <v>1427</v>
      </c>
    </row>
    <row r="499" spans="1:7" x14ac:dyDescent="0.3">
      <c r="A499" s="245" t="s">
        <v>317</v>
      </c>
      <c r="B499" s="245" t="s">
        <v>20</v>
      </c>
      <c r="C499" s="245" t="s">
        <v>54</v>
      </c>
      <c r="D499" s="245" t="s">
        <v>0</v>
      </c>
      <c r="E499" s="245" t="s">
        <v>9</v>
      </c>
      <c r="F499" s="247" t="s">
        <v>397</v>
      </c>
      <c r="G499" s="255" t="s">
        <v>1427</v>
      </c>
    </row>
    <row r="500" spans="1:7" x14ac:dyDescent="0.3">
      <c r="A500" s="245" t="s">
        <v>317</v>
      </c>
      <c r="B500" s="245" t="s">
        <v>20</v>
      </c>
      <c r="C500" s="245" t="s">
        <v>54</v>
      </c>
      <c r="D500" s="245" t="s">
        <v>0</v>
      </c>
      <c r="E500" s="245" t="s">
        <v>10</v>
      </c>
      <c r="F500" s="247" t="s">
        <v>398</v>
      </c>
      <c r="G500" s="255" t="s">
        <v>1445</v>
      </c>
    </row>
    <row r="501" spans="1:7" x14ac:dyDescent="0.3">
      <c r="A501" s="245" t="s">
        <v>317</v>
      </c>
      <c r="B501" s="245" t="s">
        <v>20</v>
      </c>
      <c r="C501" s="245" t="s">
        <v>54</v>
      </c>
      <c r="D501" s="245" t="s">
        <v>0</v>
      </c>
      <c r="E501" s="245" t="s">
        <v>11</v>
      </c>
      <c r="F501" s="247" t="s">
        <v>399</v>
      </c>
      <c r="G501" s="255" t="s">
        <v>1427</v>
      </c>
    </row>
    <row r="502" spans="1:7" x14ac:dyDescent="0.3">
      <c r="A502" s="245" t="s">
        <v>317</v>
      </c>
      <c r="B502" s="245" t="s">
        <v>20</v>
      </c>
      <c r="C502" s="245" t="s">
        <v>54</v>
      </c>
      <c r="D502" s="245" t="s">
        <v>0</v>
      </c>
      <c r="E502" s="245" t="s">
        <v>13</v>
      </c>
      <c r="F502" s="247" t="s">
        <v>400</v>
      </c>
      <c r="G502" s="255" t="s">
        <v>1427</v>
      </c>
    </row>
    <row r="503" spans="1:7" x14ac:dyDescent="0.3">
      <c r="A503" s="245" t="s">
        <v>317</v>
      </c>
      <c r="B503" s="245" t="s">
        <v>20</v>
      </c>
      <c r="C503" s="245" t="s">
        <v>54</v>
      </c>
      <c r="D503" s="245" t="s">
        <v>0</v>
      </c>
      <c r="E503" s="245" t="s">
        <v>15</v>
      </c>
      <c r="F503" s="247" t="s">
        <v>588</v>
      </c>
      <c r="G503" s="255" t="s">
        <v>1427</v>
      </c>
    </row>
    <row r="504" spans="1:7" x14ac:dyDescent="0.3">
      <c r="A504" s="245" t="s">
        <v>317</v>
      </c>
      <c r="B504" s="245" t="s">
        <v>20</v>
      </c>
      <c r="C504" s="245" t="s">
        <v>54</v>
      </c>
      <c r="D504" s="245" t="s">
        <v>0</v>
      </c>
      <c r="E504" s="245" t="s">
        <v>238</v>
      </c>
      <c r="F504" s="247" t="s">
        <v>401</v>
      </c>
      <c r="G504" s="255" t="s">
        <v>1427</v>
      </c>
    </row>
    <row r="505" spans="1:7" x14ac:dyDescent="0.3">
      <c r="A505" s="245" t="s">
        <v>317</v>
      </c>
      <c r="B505" s="245" t="s">
        <v>20</v>
      </c>
      <c r="C505" s="245" t="s">
        <v>54</v>
      </c>
      <c r="D505" s="245" t="s">
        <v>0</v>
      </c>
      <c r="E505" s="245" t="s">
        <v>240</v>
      </c>
      <c r="F505" s="247" t="s">
        <v>402</v>
      </c>
      <c r="G505" s="255" t="s">
        <v>1427</v>
      </c>
    </row>
    <row r="506" spans="1:7" x14ac:dyDescent="0.3">
      <c r="A506" s="245" t="s">
        <v>317</v>
      </c>
      <c r="B506" s="245" t="s">
        <v>20</v>
      </c>
      <c r="C506" s="245" t="s">
        <v>54</v>
      </c>
      <c r="D506" s="245" t="s">
        <v>0</v>
      </c>
      <c r="E506" s="245" t="s">
        <v>331</v>
      </c>
      <c r="F506" s="247" t="s">
        <v>403</v>
      </c>
      <c r="G506" s="255" t="s">
        <v>1427</v>
      </c>
    </row>
    <row r="507" spans="1:7" x14ac:dyDescent="0.3">
      <c r="A507" s="245" t="s">
        <v>317</v>
      </c>
      <c r="B507" s="245" t="s">
        <v>20</v>
      </c>
      <c r="C507" s="245" t="s">
        <v>54</v>
      </c>
      <c r="D507" s="245" t="s">
        <v>0</v>
      </c>
      <c r="E507" s="245" t="s">
        <v>333</v>
      </c>
      <c r="F507" s="247" t="s">
        <v>404</v>
      </c>
      <c r="G507" s="255" t="s">
        <v>1427</v>
      </c>
    </row>
    <row r="508" spans="1:7" x14ac:dyDescent="0.3">
      <c r="A508" s="245" t="s">
        <v>317</v>
      </c>
      <c r="B508" s="245" t="s">
        <v>20</v>
      </c>
      <c r="C508" s="245" t="s">
        <v>54</v>
      </c>
      <c r="D508" s="245" t="s">
        <v>0</v>
      </c>
      <c r="E508" s="245" t="s">
        <v>335</v>
      </c>
      <c r="F508" s="247" t="s">
        <v>405</v>
      </c>
      <c r="G508" s="255" t="s">
        <v>1427</v>
      </c>
    </row>
    <row r="509" spans="1:7" x14ac:dyDescent="0.3">
      <c r="A509" s="245" t="s">
        <v>317</v>
      </c>
      <c r="B509" s="245" t="s">
        <v>20</v>
      </c>
      <c r="C509" s="245" t="s">
        <v>54</v>
      </c>
      <c r="D509" s="245" t="s">
        <v>0</v>
      </c>
      <c r="E509" s="245" t="s">
        <v>337</v>
      </c>
      <c r="F509" s="247" t="s">
        <v>406</v>
      </c>
      <c r="G509" s="255" t="s">
        <v>1427</v>
      </c>
    </row>
    <row r="510" spans="1:7" x14ac:dyDescent="0.3">
      <c r="A510" s="245" t="s">
        <v>317</v>
      </c>
      <c r="B510" s="245" t="s">
        <v>20</v>
      </c>
      <c r="C510" s="245" t="s">
        <v>54</v>
      </c>
      <c r="D510" s="245" t="s">
        <v>0</v>
      </c>
      <c r="E510" s="245" t="s">
        <v>339</v>
      </c>
      <c r="F510" s="247" t="s">
        <v>407</v>
      </c>
      <c r="G510" s="255" t="s">
        <v>1427</v>
      </c>
    </row>
    <row r="511" spans="1:7" x14ac:dyDescent="0.3">
      <c r="A511" s="245" t="s">
        <v>317</v>
      </c>
      <c r="B511" s="245" t="s">
        <v>20</v>
      </c>
      <c r="C511" s="245" t="s">
        <v>54</v>
      </c>
      <c r="D511" s="245" t="s">
        <v>0</v>
      </c>
      <c r="E511" s="245" t="s">
        <v>341</v>
      </c>
      <c r="F511" s="247" t="s">
        <v>408</v>
      </c>
      <c r="G511" s="255" t="s">
        <v>1427</v>
      </c>
    </row>
    <row r="512" spans="1:7" x14ac:dyDescent="0.3">
      <c r="A512" s="245" t="s">
        <v>317</v>
      </c>
      <c r="B512" s="245" t="s">
        <v>20</v>
      </c>
      <c r="C512" s="245" t="s">
        <v>54</v>
      </c>
      <c r="D512" s="245" t="s">
        <v>0</v>
      </c>
      <c r="E512" s="245" t="s">
        <v>343</v>
      </c>
      <c r="F512" s="247" t="s">
        <v>409</v>
      </c>
      <c r="G512" s="255" t="s">
        <v>1427</v>
      </c>
    </row>
    <row r="513" spans="1:7" x14ac:dyDescent="0.3">
      <c r="A513" s="245" t="s">
        <v>317</v>
      </c>
      <c r="B513" s="245" t="s">
        <v>20</v>
      </c>
      <c r="C513" s="245" t="s">
        <v>54</v>
      </c>
      <c r="D513" s="245" t="s">
        <v>0</v>
      </c>
      <c r="E513" s="245" t="s">
        <v>344</v>
      </c>
      <c r="F513" s="247" t="s">
        <v>410</v>
      </c>
      <c r="G513" s="255" t="s">
        <v>1427</v>
      </c>
    </row>
    <row r="514" spans="1:7" x14ac:dyDescent="0.3">
      <c r="A514" s="245" t="s">
        <v>317</v>
      </c>
      <c r="B514" s="245" t="s">
        <v>20</v>
      </c>
      <c r="C514" s="245" t="s">
        <v>54</v>
      </c>
      <c r="D514" s="245" t="s">
        <v>0</v>
      </c>
      <c r="E514" s="245" t="s">
        <v>346</v>
      </c>
      <c r="F514" s="247" t="s">
        <v>411</v>
      </c>
      <c r="G514" s="255" t="s">
        <v>1427</v>
      </c>
    </row>
    <row r="515" spans="1:7" x14ac:dyDescent="0.3">
      <c r="A515" s="245" t="s">
        <v>317</v>
      </c>
      <c r="B515" s="245" t="s">
        <v>20</v>
      </c>
      <c r="C515" s="245" t="s">
        <v>54</v>
      </c>
      <c r="D515" s="245" t="s">
        <v>0</v>
      </c>
      <c r="E515" s="245" t="s">
        <v>348</v>
      </c>
      <c r="F515" s="247" t="s">
        <v>412</v>
      </c>
      <c r="G515" s="255" t="s">
        <v>1427</v>
      </c>
    </row>
    <row r="516" spans="1:7" x14ac:dyDescent="0.3">
      <c r="A516" s="245" t="s">
        <v>317</v>
      </c>
      <c r="B516" s="245" t="s">
        <v>20</v>
      </c>
      <c r="C516" s="245" t="s">
        <v>54</v>
      </c>
      <c r="D516" s="245" t="s">
        <v>0</v>
      </c>
      <c r="E516" s="245" t="s">
        <v>350</v>
      </c>
      <c r="F516" s="247" t="s">
        <v>413</v>
      </c>
      <c r="G516" s="255" t="s">
        <v>1427</v>
      </c>
    </row>
    <row r="517" spans="1:7" x14ac:dyDescent="0.3">
      <c r="A517" s="245" t="s">
        <v>317</v>
      </c>
      <c r="B517" s="245" t="s">
        <v>20</v>
      </c>
      <c r="C517" s="245" t="s">
        <v>54</v>
      </c>
      <c r="D517" s="245" t="s">
        <v>0</v>
      </c>
      <c r="E517" s="245" t="s">
        <v>414</v>
      </c>
      <c r="F517" s="247" t="s">
        <v>415</v>
      </c>
      <c r="G517" s="255" t="s">
        <v>1427</v>
      </c>
    </row>
    <row r="518" spans="1:7" x14ac:dyDescent="0.3">
      <c r="A518" s="245" t="s">
        <v>317</v>
      </c>
      <c r="B518" s="245" t="s">
        <v>20</v>
      </c>
      <c r="C518" s="245" t="s">
        <v>54</v>
      </c>
      <c r="D518" s="245" t="s">
        <v>0</v>
      </c>
      <c r="E518" s="245" t="s">
        <v>416</v>
      </c>
      <c r="F518" s="247" t="s">
        <v>417</v>
      </c>
      <c r="G518" s="255" t="s">
        <v>1427</v>
      </c>
    </row>
    <row r="519" spans="1:7" x14ac:dyDescent="0.3">
      <c r="A519" s="245" t="s">
        <v>317</v>
      </c>
      <c r="B519" s="245" t="s">
        <v>20</v>
      </c>
      <c r="C519" s="245" t="s">
        <v>54</v>
      </c>
      <c r="D519" s="245" t="s">
        <v>0</v>
      </c>
      <c r="E519" s="245" t="s">
        <v>418</v>
      </c>
      <c r="F519" s="247" t="s">
        <v>419</v>
      </c>
      <c r="G519" s="255" t="s">
        <v>1427</v>
      </c>
    </row>
    <row r="520" spans="1:7" x14ac:dyDescent="0.3">
      <c r="A520" s="245" t="s">
        <v>317</v>
      </c>
      <c r="B520" s="245" t="s">
        <v>20</v>
      </c>
      <c r="C520" s="245" t="s">
        <v>54</v>
      </c>
      <c r="D520" s="245" t="s">
        <v>0</v>
      </c>
      <c r="E520" s="245" t="s">
        <v>420</v>
      </c>
      <c r="F520" s="247" t="s">
        <v>421</v>
      </c>
      <c r="G520" s="255" t="s">
        <v>1427</v>
      </c>
    </row>
    <row r="521" spans="1:7" x14ac:dyDescent="0.3">
      <c r="A521" s="245" t="s">
        <v>317</v>
      </c>
      <c r="B521" s="245" t="s">
        <v>20</v>
      </c>
      <c r="C521" s="245" t="s">
        <v>54</v>
      </c>
      <c r="D521" s="245" t="s">
        <v>0</v>
      </c>
      <c r="E521" s="245" t="s">
        <v>422</v>
      </c>
      <c r="F521" s="247" t="s">
        <v>423</v>
      </c>
      <c r="G521" s="255" t="s">
        <v>1427</v>
      </c>
    </row>
    <row r="522" spans="1:7" x14ac:dyDescent="0.3">
      <c r="A522" s="245" t="s">
        <v>317</v>
      </c>
      <c r="B522" s="245" t="s">
        <v>20</v>
      </c>
      <c r="C522" s="245" t="s">
        <v>54</v>
      </c>
      <c r="D522" s="245" t="s">
        <v>0</v>
      </c>
      <c r="E522" s="245" t="s">
        <v>424</v>
      </c>
      <c r="F522" s="247" t="s">
        <v>426</v>
      </c>
      <c r="G522" s="255" t="s">
        <v>1450</v>
      </c>
    </row>
    <row r="523" spans="1:7" x14ac:dyDescent="0.3">
      <c r="A523" s="245" t="s">
        <v>317</v>
      </c>
      <c r="B523" s="245" t="s">
        <v>20</v>
      </c>
      <c r="C523" s="245" t="s">
        <v>54</v>
      </c>
      <c r="D523" s="245" t="s">
        <v>0</v>
      </c>
      <c r="E523" s="245" t="s">
        <v>425</v>
      </c>
      <c r="F523" s="247" t="s">
        <v>428</v>
      </c>
      <c r="G523" s="255" t="s">
        <v>1427</v>
      </c>
    </row>
    <row r="524" spans="1:7" x14ac:dyDescent="0.3">
      <c r="A524" s="245" t="s">
        <v>317</v>
      </c>
      <c r="B524" s="245" t="s">
        <v>20</v>
      </c>
      <c r="C524" s="245" t="s">
        <v>54</v>
      </c>
      <c r="D524" s="245" t="s">
        <v>0</v>
      </c>
      <c r="E524" s="245" t="s">
        <v>427</v>
      </c>
      <c r="F524" s="247" t="s">
        <v>430</v>
      </c>
      <c r="G524" s="255" t="s">
        <v>1461</v>
      </c>
    </row>
    <row r="525" spans="1:7" x14ac:dyDescent="0.3">
      <c r="A525" s="245" t="s">
        <v>317</v>
      </c>
      <c r="B525" s="245" t="s">
        <v>20</v>
      </c>
      <c r="C525" s="245" t="s">
        <v>54</v>
      </c>
      <c r="D525" s="245" t="s">
        <v>0</v>
      </c>
      <c r="E525" s="245" t="s">
        <v>429</v>
      </c>
      <c r="F525" s="247" t="s">
        <v>431</v>
      </c>
      <c r="G525" s="255" t="s">
        <v>1452</v>
      </c>
    </row>
    <row r="526" spans="1:7" x14ac:dyDescent="0.3">
      <c r="A526" s="245" t="s">
        <v>317</v>
      </c>
      <c r="B526" s="245" t="s">
        <v>20</v>
      </c>
      <c r="C526" s="245" t="s">
        <v>54</v>
      </c>
      <c r="D526" s="245" t="s">
        <v>0</v>
      </c>
      <c r="E526" s="245" t="s">
        <v>865</v>
      </c>
      <c r="F526" s="247" t="s">
        <v>866</v>
      </c>
      <c r="G526" s="255" t="s">
        <v>1468</v>
      </c>
    </row>
    <row r="527" spans="1:7" x14ac:dyDescent="0.3">
      <c r="A527" s="245" t="s">
        <v>317</v>
      </c>
      <c r="B527" s="245" t="s">
        <v>20</v>
      </c>
      <c r="C527" s="245" t="s">
        <v>54</v>
      </c>
      <c r="D527" s="245" t="s">
        <v>0</v>
      </c>
      <c r="E527" s="245" t="s">
        <v>867</v>
      </c>
      <c r="F527" s="247" t="s">
        <v>868</v>
      </c>
      <c r="G527" s="253" t="s">
        <v>1467</v>
      </c>
    </row>
    <row r="528" spans="1:7" x14ac:dyDescent="0.3">
      <c r="A528" s="245" t="s">
        <v>317</v>
      </c>
      <c r="B528" s="245" t="s">
        <v>20</v>
      </c>
      <c r="C528" s="245" t="s">
        <v>54</v>
      </c>
      <c r="D528" s="245" t="s">
        <v>0</v>
      </c>
      <c r="E528" s="245" t="s">
        <v>43</v>
      </c>
      <c r="F528" s="247" t="s">
        <v>432</v>
      </c>
      <c r="G528" s="255" t="s">
        <v>1453</v>
      </c>
    </row>
    <row r="529" spans="1:7" x14ac:dyDescent="0.3">
      <c r="A529" s="241" t="s">
        <v>317</v>
      </c>
      <c r="B529" s="241" t="s">
        <v>20</v>
      </c>
      <c r="C529" s="241" t="s">
        <v>54</v>
      </c>
      <c r="D529" s="241" t="s">
        <v>2</v>
      </c>
      <c r="E529" s="241"/>
      <c r="F529" s="243" t="s">
        <v>641</v>
      </c>
    </row>
    <row r="530" spans="1:7" x14ac:dyDescent="0.3">
      <c r="A530" s="245" t="s">
        <v>317</v>
      </c>
      <c r="B530" s="245" t="s">
        <v>20</v>
      </c>
      <c r="C530" s="245" t="s">
        <v>54</v>
      </c>
      <c r="D530" s="245" t="s">
        <v>2</v>
      </c>
      <c r="E530" s="245" t="s">
        <v>1</v>
      </c>
      <c r="F530" s="247" t="s">
        <v>570</v>
      </c>
      <c r="G530" s="255" t="s">
        <v>1454</v>
      </c>
    </row>
    <row r="531" spans="1:7" x14ac:dyDescent="0.3">
      <c r="A531" s="241" t="s">
        <v>317</v>
      </c>
      <c r="B531" s="241" t="s">
        <v>20</v>
      </c>
      <c r="C531" s="241" t="s">
        <v>54</v>
      </c>
      <c r="D531" s="242" t="s">
        <v>4</v>
      </c>
      <c r="E531" s="241"/>
      <c r="F531" s="243" t="s">
        <v>433</v>
      </c>
      <c r="G531" s="255"/>
    </row>
    <row r="532" spans="1:7" x14ac:dyDescent="0.3">
      <c r="A532" s="245" t="s">
        <v>317</v>
      </c>
      <c r="B532" s="245" t="s">
        <v>20</v>
      </c>
      <c r="C532" s="245" t="s">
        <v>54</v>
      </c>
      <c r="D532" s="245" t="s">
        <v>4</v>
      </c>
      <c r="E532" s="233" t="s">
        <v>1</v>
      </c>
      <c r="F532" s="247" t="s">
        <v>434</v>
      </c>
      <c r="G532" s="255" t="s">
        <v>1462</v>
      </c>
    </row>
    <row r="533" spans="1:7" x14ac:dyDescent="0.3">
      <c r="A533" s="245" t="s">
        <v>317</v>
      </c>
      <c r="B533" s="245" t="s">
        <v>20</v>
      </c>
      <c r="C533" s="245" t="s">
        <v>54</v>
      </c>
      <c r="D533" s="245" t="s">
        <v>4</v>
      </c>
      <c r="E533" s="233" t="s">
        <v>3</v>
      </c>
      <c r="F533" s="247" t="s">
        <v>435</v>
      </c>
      <c r="G533" s="255" t="s">
        <v>1463</v>
      </c>
    </row>
    <row r="534" spans="1:7" x14ac:dyDescent="0.3">
      <c r="A534" s="245" t="s">
        <v>317</v>
      </c>
      <c r="B534" s="245" t="s">
        <v>20</v>
      </c>
      <c r="C534" s="245" t="s">
        <v>54</v>
      </c>
      <c r="D534" s="245" t="s">
        <v>4</v>
      </c>
      <c r="E534" s="233" t="s">
        <v>5</v>
      </c>
      <c r="F534" s="247" t="s">
        <v>436</v>
      </c>
      <c r="G534" s="255" t="s">
        <v>1464</v>
      </c>
    </row>
    <row r="535" spans="1:7" x14ac:dyDescent="0.3">
      <c r="A535" s="245" t="s">
        <v>317</v>
      </c>
      <c r="B535" s="245" t="s">
        <v>20</v>
      </c>
      <c r="C535" s="245" t="s">
        <v>54</v>
      </c>
      <c r="D535" s="245" t="s">
        <v>4</v>
      </c>
      <c r="E535" s="233" t="s">
        <v>7</v>
      </c>
      <c r="F535" s="247" t="s">
        <v>869</v>
      </c>
      <c r="G535" s="255" t="s">
        <v>1465</v>
      </c>
    </row>
    <row r="536" spans="1:7" x14ac:dyDescent="0.3">
      <c r="A536" s="238" t="s">
        <v>317</v>
      </c>
      <c r="B536" s="238" t="s">
        <v>20</v>
      </c>
      <c r="C536" s="238" t="s">
        <v>58</v>
      </c>
      <c r="D536" s="238"/>
      <c r="E536" s="238"/>
      <c r="F536" s="240" t="s">
        <v>437</v>
      </c>
    </row>
    <row r="537" spans="1:7" x14ac:dyDescent="0.3">
      <c r="A537" s="241" t="s">
        <v>317</v>
      </c>
      <c r="B537" s="241" t="s">
        <v>20</v>
      </c>
      <c r="C537" s="241" t="s">
        <v>58</v>
      </c>
      <c r="D537" s="242" t="s">
        <v>0</v>
      </c>
      <c r="E537" s="241"/>
      <c r="F537" s="243" t="s">
        <v>572</v>
      </c>
    </row>
    <row r="538" spans="1:7" x14ac:dyDescent="0.3">
      <c r="A538" s="245" t="s">
        <v>317</v>
      </c>
      <c r="B538" s="245" t="s">
        <v>20</v>
      </c>
      <c r="C538" s="245" t="s">
        <v>58</v>
      </c>
      <c r="D538" s="245" t="s">
        <v>0</v>
      </c>
      <c r="E538" s="245" t="s">
        <v>1</v>
      </c>
      <c r="F538" s="247" t="s">
        <v>438</v>
      </c>
      <c r="G538" s="255" t="s">
        <v>1427</v>
      </c>
    </row>
    <row r="539" spans="1:7" x14ac:dyDescent="0.3">
      <c r="A539" s="245" t="s">
        <v>317</v>
      </c>
      <c r="B539" s="245" t="s">
        <v>20</v>
      </c>
      <c r="C539" s="245" t="s">
        <v>58</v>
      </c>
      <c r="D539" s="245" t="s">
        <v>0</v>
      </c>
      <c r="E539" s="245" t="s">
        <v>3</v>
      </c>
      <c r="F539" s="247" t="s">
        <v>439</v>
      </c>
      <c r="G539" s="255" t="s">
        <v>1427</v>
      </c>
    </row>
    <row r="540" spans="1:7" x14ac:dyDescent="0.3">
      <c r="A540" s="245" t="s">
        <v>317</v>
      </c>
      <c r="B540" s="245" t="s">
        <v>20</v>
      </c>
      <c r="C540" s="245" t="s">
        <v>58</v>
      </c>
      <c r="D540" s="245" t="s">
        <v>0</v>
      </c>
      <c r="E540" s="245" t="s">
        <v>5</v>
      </c>
      <c r="F540" s="247" t="s">
        <v>440</v>
      </c>
      <c r="G540" s="255" t="s">
        <v>1466</v>
      </c>
    </row>
    <row r="541" spans="1:7" x14ac:dyDescent="0.3">
      <c r="A541" s="245" t="s">
        <v>317</v>
      </c>
      <c r="B541" s="245" t="s">
        <v>20</v>
      </c>
      <c r="C541" s="245" t="s">
        <v>58</v>
      </c>
      <c r="D541" s="245" t="s">
        <v>0</v>
      </c>
      <c r="E541" s="245" t="s">
        <v>7</v>
      </c>
      <c r="F541" s="247" t="s">
        <v>441</v>
      </c>
      <c r="G541" s="255" t="s">
        <v>1427</v>
      </c>
    </row>
    <row r="542" spans="1:7" x14ac:dyDescent="0.3">
      <c r="A542" s="245" t="s">
        <v>317</v>
      </c>
      <c r="B542" s="245" t="s">
        <v>20</v>
      </c>
      <c r="C542" s="245" t="s">
        <v>58</v>
      </c>
      <c r="D542" s="245" t="s">
        <v>0</v>
      </c>
      <c r="E542" s="245" t="s">
        <v>9</v>
      </c>
      <c r="F542" s="247" t="s">
        <v>442</v>
      </c>
      <c r="G542" s="255" t="s">
        <v>1427</v>
      </c>
    </row>
    <row r="543" spans="1:7" x14ac:dyDescent="0.3">
      <c r="A543" s="245" t="s">
        <v>317</v>
      </c>
      <c r="B543" s="245" t="s">
        <v>20</v>
      </c>
      <c r="C543" s="245" t="s">
        <v>58</v>
      </c>
      <c r="D543" s="245" t="s">
        <v>0</v>
      </c>
      <c r="E543" s="245" t="s">
        <v>10</v>
      </c>
      <c r="F543" s="247" t="s">
        <v>443</v>
      </c>
      <c r="G543" s="255" t="s">
        <v>1467</v>
      </c>
    </row>
    <row r="544" spans="1:7" x14ac:dyDescent="0.3">
      <c r="A544" s="245" t="s">
        <v>317</v>
      </c>
      <c r="B544" s="245" t="s">
        <v>20</v>
      </c>
      <c r="C544" s="245" t="s">
        <v>58</v>
      </c>
      <c r="D544" s="245" t="s">
        <v>0</v>
      </c>
      <c r="E544" s="245" t="s">
        <v>11</v>
      </c>
      <c r="F544" s="247" t="s">
        <v>870</v>
      </c>
      <c r="G544" s="255" t="s">
        <v>1427</v>
      </c>
    </row>
    <row r="545" spans="1:7" x14ac:dyDescent="0.3">
      <c r="A545" s="245" t="s">
        <v>317</v>
      </c>
      <c r="B545" s="245" t="s">
        <v>20</v>
      </c>
      <c r="C545" s="245" t="s">
        <v>58</v>
      </c>
      <c r="D545" s="245" t="s">
        <v>0</v>
      </c>
      <c r="E545" s="245" t="s">
        <v>13</v>
      </c>
      <c r="F545" s="247" t="s">
        <v>444</v>
      </c>
      <c r="G545" s="255" t="s">
        <v>1427</v>
      </c>
    </row>
    <row r="546" spans="1:7" x14ac:dyDescent="0.3">
      <c r="A546" s="245" t="s">
        <v>317</v>
      </c>
      <c r="B546" s="245" t="s">
        <v>20</v>
      </c>
      <c r="C546" s="245" t="s">
        <v>58</v>
      </c>
      <c r="D546" s="245" t="s">
        <v>0</v>
      </c>
      <c r="E546" s="245" t="s">
        <v>15</v>
      </c>
      <c r="F546" s="247" t="s">
        <v>445</v>
      </c>
      <c r="G546" s="255" t="s">
        <v>1427</v>
      </c>
    </row>
    <row r="547" spans="1:7" x14ac:dyDescent="0.3">
      <c r="A547" s="245" t="s">
        <v>317</v>
      </c>
      <c r="B547" s="245" t="s">
        <v>20</v>
      </c>
      <c r="C547" s="245" t="s">
        <v>58</v>
      </c>
      <c r="D547" s="245" t="s">
        <v>0</v>
      </c>
      <c r="E547" s="245" t="s">
        <v>238</v>
      </c>
      <c r="F547" s="247" t="s">
        <v>446</v>
      </c>
      <c r="G547" s="255" t="s">
        <v>1427</v>
      </c>
    </row>
    <row r="548" spans="1:7" x14ac:dyDescent="0.3">
      <c r="A548" s="245" t="s">
        <v>317</v>
      </c>
      <c r="B548" s="245" t="s">
        <v>20</v>
      </c>
      <c r="C548" s="245" t="s">
        <v>58</v>
      </c>
      <c r="D548" s="245" t="s">
        <v>0</v>
      </c>
      <c r="E548" s="245" t="s">
        <v>240</v>
      </c>
      <c r="F548" s="247" t="s">
        <v>871</v>
      </c>
      <c r="G548" s="255" t="s">
        <v>1427</v>
      </c>
    </row>
    <row r="549" spans="1:7" x14ac:dyDescent="0.3">
      <c r="A549" s="245" t="s">
        <v>317</v>
      </c>
      <c r="B549" s="245" t="s">
        <v>20</v>
      </c>
      <c r="C549" s="245" t="s">
        <v>58</v>
      </c>
      <c r="D549" s="245" t="s">
        <v>0</v>
      </c>
      <c r="E549" s="245" t="s">
        <v>331</v>
      </c>
      <c r="F549" s="247" t="s">
        <v>447</v>
      </c>
      <c r="G549" s="255" t="s">
        <v>1427</v>
      </c>
    </row>
    <row r="550" spans="1:7" x14ac:dyDescent="0.3">
      <c r="A550" s="245" t="s">
        <v>317</v>
      </c>
      <c r="B550" s="245" t="s">
        <v>20</v>
      </c>
      <c r="C550" s="245" t="s">
        <v>58</v>
      </c>
      <c r="D550" s="245" t="s">
        <v>0</v>
      </c>
      <c r="E550" s="245" t="s">
        <v>333</v>
      </c>
      <c r="F550" s="247" t="s">
        <v>448</v>
      </c>
      <c r="G550" s="255" t="s">
        <v>1427</v>
      </c>
    </row>
    <row r="551" spans="1:7" x14ac:dyDescent="0.3">
      <c r="A551" s="245" t="s">
        <v>317</v>
      </c>
      <c r="B551" s="245" t="s">
        <v>20</v>
      </c>
      <c r="C551" s="245" t="s">
        <v>58</v>
      </c>
      <c r="D551" s="245" t="s">
        <v>0</v>
      </c>
      <c r="E551" s="245" t="s">
        <v>335</v>
      </c>
      <c r="F551" s="247" t="s">
        <v>449</v>
      </c>
      <c r="G551" s="255" t="s">
        <v>1427</v>
      </c>
    </row>
    <row r="552" spans="1:7" x14ac:dyDescent="0.3">
      <c r="A552" s="245" t="s">
        <v>317</v>
      </c>
      <c r="B552" s="245" t="s">
        <v>20</v>
      </c>
      <c r="C552" s="245" t="s">
        <v>58</v>
      </c>
      <c r="D552" s="245" t="s">
        <v>0</v>
      </c>
      <c r="E552" s="245" t="s">
        <v>337</v>
      </c>
      <c r="F552" s="247" t="s">
        <v>450</v>
      </c>
      <c r="G552" s="255" t="s">
        <v>1427</v>
      </c>
    </row>
    <row r="553" spans="1:7" x14ac:dyDescent="0.3">
      <c r="A553" s="245" t="s">
        <v>317</v>
      </c>
      <c r="B553" s="245" t="s">
        <v>20</v>
      </c>
      <c r="C553" s="245" t="s">
        <v>58</v>
      </c>
      <c r="D553" s="245" t="s">
        <v>0</v>
      </c>
      <c r="E553" s="245" t="s">
        <v>339</v>
      </c>
      <c r="F553" s="247" t="s">
        <v>451</v>
      </c>
      <c r="G553" s="255" t="s">
        <v>1427</v>
      </c>
    </row>
    <row r="554" spans="1:7" x14ac:dyDescent="0.3">
      <c r="A554" s="245" t="s">
        <v>317</v>
      </c>
      <c r="B554" s="245" t="s">
        <v>20</v>
      </c>
      <c r="C554" s="245" t="s">
        <v>58</v>
      </c>
      <c r="D554" s="245" t="s">
        <v>0</v>
      </c>
      <c r="E554" s="245" t="s">
        <v>341</v>
      </c>
      <c r="F554" s="247" t="s">
        <v>452</v>
      </c>
      <c r="G554" s="255" t="s">
        <v>1427</v>
      </c>
    </row>
    <row r="555" spans="1:7" x14ac:dyDescent="0.3">
      <c r="A555" s="245" t="s">
        <v>317</v>
      </c>
      <c r="B555" s="245" t="s">
        <v>20</v>
      </c>
      <c r="C555" s="245" t="s">
        <v>58</v>
      </c>
      <c r="D555" s="245" t="s">
        <v>0</v>
      </c>
      <c r="E555" s="245" t="s">
        <v>343</v>
      </c>
      <c r="F555" s="247" t="s">
        <v>872</v>
      </c>
      <c r="G555" s="255" t="s">
        <v>1468</v>
      </c>
    </row>
    <row r="556" spans="1:7" x14ac:dyDescent="0.3">
      <c r="A556" s="245" t="s">
        <v>317</v>
      </c>
      <c r="B556" s="245" t="s">
        <v>20</v>
      </c>
      <c r="C556" s="245" t="s">
        <v>58</v>
      </c>
      <c r="D556" s="245" t="s">
        <v>0</v>
      </c>
      <c r="E556" s="245" t="s">
        <v>344</v>
      </c>
      <c r="F556" s="247" t="s">
        <v>453</v>
      </c>
      <c r="G556" s="255" t="s">
        <v>1427</v>
      </c>
    </row>
    <row r="557" spans="1:7" x14ac:dyDescent="0.3">
      <c r="A557" s="245" t="s">
        <v>317</v>
      </c>
      <c r="B557" s="245" t="s">
        <v>20</v>
      </c>
      <c r="C557" s="245" t="s">
        <v>58</v>
      </c>
      <c r="D557" s="245" t="s">
        <v>0</v>
      </c>
      <c r="E557" s="245" t="s">
        <v>346</v>
      </c>
      <c r="F557" s="247" t="s">
        <v>454</v>
      </c>
      <c r="G557" s="255" t="s">
        <v>1452</v>
      </c>
    </row>
    <row r="558" spans="1:7" x14ac:dyDescent="0.3">
      <c r="A558" s="245" t="s">
        <v>317</v>
      </c>
      <c r="B558" s="245" t="s">
        <v>20</v>
      </c>
      <c r="C558" s="245" t="s">
        <v>58</v>
      </c>
      <c r="D558" s="245" t="s">
        <v>0</v>
      </c>
      <c r="E558" s="245" t="s">
        <v>348</v>
      </c>
      <c r="F558" s="247" t="s">
        <v>873</v>
      </c>
      <c r="G558" s="253" t="s">
        <v>1546</v>
      </c>
    </row>
    <row r="559" spans="1:7" x14ac:dyDescent="0.3">
      <c r="A559" s="245" t="s">
        <v>317</v>
      </c>
      <c r="B559" s="245" t="s">
        <v>20</v>
      </c>
      <c r="C559" s="245" t="s">
        <v>58</v>
      </c>
      <c r="D559" s="245" t="s">
        <v>0</v>
      </c>
      <c r="E559" s="245" t="s">
        <v>350</v>
      </c>
      <c r="F559" s="247" t="s">
        <v>874</v>
      </c>
      <c r="G559" s="255" t="s">
        <v>1427</v>
      </c>
    </row>
    <row r="560" spans="1:7" x14ac:dyDescent="0.3">
      <c r="A560" s="245" t="s">
        <v>317</v>
      </c>
      <c r="B560" s="245" t="s">
        <v>20</v>
      </c>
      <c r="C560" s="245" t="s">
        <v>58</v>
      </c>
      <c r="D560" s="245" t="s">
        <v>0</v>
      </c>
      <c r="E560" s="245" t="s">
        <v>43</v>
      </c>
      <c r="F560" s="247" t="s">
        <v>455</v>
      </c>
      <c r="G560" s="255" t="s">
        <v>1453</v>
      </c>
    </row>
    <row r="561" spans="1:7" x14ac:dyDescent="0.3">
      <c r="A561" s="241" t="s">
        <v>317</v>
      </c>
      <c r="B561" s="241" t="s">
        <v>20</v>
      </c>
      <c r="C561" s="241" t="s">
        <v>58</v>
      </c>
      <c r="D561" s="241" t="s">
        <v>2</v>
      </c>
      <c r="E561" s="241"/>
      <c r="F561" s="243" t="s">
        <v>576</v>
      </c>
    </row>
    <row r="562" spans="1:7" x14ac:dyDescent="0.3">
      <c r="A562" s="245" t="s">
        <v>317</v>
      </c>
      <c r="B562" s="245" t="s">
        <v>20</v>
      </c>
      <c r="C562" s="245" t="s">
        <v>58</v>
      </c>
      <c r="D562" s="245" t="s">
        <v>2</v>
      </c>
      <c r="E562" s="245" t="s">
        <v>1</v>
      </c>
      <c r="F562" s="247" t="s">
        <v>577</v>
      </c>
      <c r="G562" s="255" t="s">
        <v>1454</v>
      </c>
    </row>
    <row r="563" spans="1:7" x14ac:dyDescent="0.3">
      <c r="A563" s="238" t="s">
        <v>317</v>
      </c>
      <c r="B563" s="238" t="s">
        <v>20</v>
      </c>
      <c r="C563" s="238" t="s">
        <v>224</v>
      </c>
      <c r="D563" s="238"/>
      <c r="E563" s="238"/>
      <c r="F563" s="240" t="s">
        <v>456</v>
      </c>
    </row>
    <row r="564" spans="1:7" x14ac:dyDescent="0.3">
      <c r="A564" s="241" t="s">
        <v>317</v>
      </c>
      <c r="B564" s="241" t="s">
        <v>20</v>
      </c>
      <c r="C564" s="241" t="s">
        <v>224</v>
      </c>
      <c r="D564" s="241" t="s">
        <v>0</v>
      </c>
      <c r="E564" s="241"/>
      <c r="F564" s="243" t="s">
        <v>573</v>
      </c>
    </row>
    <row r="565" spans="1:7" x14ac:dyDescent="0.3">
      <c r="A565" s="245" t="s">
        <v>317</v>
      </c>
      <c r="B565" s="245" t="s">
        <v>20</v>
      </c>
      <c r="C565" s="245" t="s">
        <v>224</v>
      </c>
      <c r="D565" s="245" t="s">
        <v>0</v>
      </c>
      <c r="E565" s="245" t="s">
        <v>1</v>
      </c>
      <c r="F565" s="247" t="s">
        <v>457</v>
      </c>
      <c r="G565" s="255" t="s">
        <v>1469</v>
      </c>
    </row>
    <row r="566" spans="1:7" x14ac:dyDescent="0.3">
      <c r="A566" s="245" t="s">
        <v>317</v>
      </c>
      <c r="B566" s="245" t="s">
        <v>20</v>
      </c>
      <c r="C566" s="245" t="s">
        <v>224</v>
      </c>
      <c r="D566" s="245" t="s">
        <v>0</v>
      </c>
      <c r="E566" s="245" t="s">
        <v>3</v>
      </c>
      <c r="F566" s="247" t="s">
        <v>458</v>
      </c>
      <c r="G566" s="255" t="s">
        <v>1466</v>
      </c>
    </row>
    <row r="567" spans="1:7" x14ac:dyDescent="0.3">
      <c r="A567" s="245" t="s">
        <v>317</v>
      </c>
      <c r="B567" s="245" t="s">
        <v>20</v>
      </c>
      <c r="C567" s="245" t="s">
        <v>224</v>
      </c>
      <c r="D567" s="245" t="s">
        <v>0</v>
      </c>
      <c r="E567" s="245" t="s">
        <v>5</v>
      </c>
      <c r="F567" s="247" t="s">
        <v>459</v>
      </c>
      <c r="G567" s="255" t="s">
        <v>1470</v>
      </c>
    </row>
    <row r="568" spans="1:7" x14ac:dyDescent="0.3">
      <c r="A568" s="245" t="s">
        <v>317</v>
      </c>
      <c r="B568" s="245" t="s">
        <v>20</v>
      </c>
      <c r="C568" s="245" t="s">
        <v>224</v>
      </c>
      <c r="D568" s="245" t="s">
        <v>0</v>
      </c>
      <c r="E568" s="245" t="s">
        <v>7</v>
      </c>
      <c r="F568" s="247" t="s">
        <v>460</v>
      </c>
      <c r="G568" s="255" t="s">
        <v>1471</v>
      </c>
    </row>
    <row r="569" spans="1:7" x14ac:dyDescent="0.3">
      <c r="A569" s="245" t="s">
        <v>317</v>
      </c>
      <c r="B569" s="245" t="s">
        <v>20</v>
      </c>
      <c r="C569" s="245" t="s">
        <v>224</v>
      </c>
      <c r="D569" s="245" t="s">
        <v>0</v>
      </c>
      <c r="E569" s="245" t="s">
        <v>9</v>
      </c>
      <c r="F569" s="247" t="s">
        <v>461</v>
      </c>
      <c r="G569" s="255" t="s">
        <v>1472</v>
      </c>
    </row>
    <row r="570" spans="1:7" x14ac:dyDescent="0.3">
      <c r="A570" s="245" t="s">
        <v>317</v>
      </c>
      <c r="B570" s="245" t="s">
        <v>20</v>
      </c>
      <c r="C570" s="245" t="s">
        <v>224</v>
      </c>
      <c r="D570" s="245" t="s">
        <v>0</v>
      </c>
      <c r="E570" s="245" t="s">
        <v>10</v>
      </c>
      <c r="F570" s="247" t="s">
        <v>462</v>
      </c>
      <c r="G570" s="255" t="s">
        <v>1473</v>
      </c>
    </row>
    <row r="571" spans="1:7" x14ac:dyDescent="0.3">
      <c r="A571" s="245" t="s">
        <v>317</v>
      </c>
      <c r="B571" s="245" t="s">
        <v>20</v>
      </c>
      <c r="C571" s="245" t="s">
        <v>224</v>
      </c>
      <c r="D571" s="245" t="s">
        <v>0</v>
      </c>
      <c r="E571" s="245" t="s">
        <v>11</v>
      </c>
      <c r="F571" s="247" t="s">
        <v>463</v>
      </c>
      <c r="G571" s="255" t="s">
        <v>1474</v>
      </c>
    </row>
    <row r="572" spans="1:7" x14ac:dyDescent="0.3">
      <c r="A572" s="245" t="s">
        <v>317</v>
      </c>
      <c r="B572" s="245" t="s">
        <v>20</v>
      </c>
      <c r="C572" s="245" t="s">
        <v>224</v>
      </c>
      <c r="D572" s="245" t="s">
        <v>0</v>
      </c>
      <c r="E572" s="245" t="s">
        <v>13</v>
      </c>
      <c r="F572" s="247" t="s">
        <v>464</v>
      </c>
      <c r="G572" s="255" t="s">
        <v>1467</v>
      </c>
    </row>
    <row r="573" spans="1:7" x14ac:dyDescent="0.3">
      <c r="A573" s="245" t="s">
        <v>317</v>
      </c>
      <c r="B573" s="245" t="s">
        <v>20</v>
      </c>
      <c r="C573" s="245" t="s">
        <v>224</v>
      </c>
      <c r="D573" s="245" t="s">
        <v>0</v>
      </c>
      <c r="E573" s="245" t="s">
        <v>15</v>
      </c>
      <c r="F573" s="247" t="s">
        <v>465</v>
      </c>
      <c r="G573" s="255" t="s">
        <v>1475</v>
      </c>
    </row>
    <row r="574" spans="1:7" x14ac:dyDescent="0.3">
      <c r="A574" s="245" t="s">
        <v>317</v>
      </c>
      <c r="B574" s="245" t="s">
        <v>20</v>
      </c>
      <c r="C574" s="245" t="s">
        <v>224</v>
      </c>
      <c r="D574" s="245" t="s">
        <v>0</v>
      </c>
      <c r="E574" s="245" t="s">
        <v>238</v>
      </c>
      <c r="F574" s="247" t="s">
        <v>466</v>
      </c>
      <c r="G574" s="255" t="s">
        <v>1476</v>
      </c>
    </row>
    <row r="575" spans="1:7" x14ac:dyDescent="0.3">
      <c r="A575" s="245" t="s">
        <v>317</v>
      </c>
      <c r="B575" s="245" t="s">
        <v>20</v>
      </c>
      <c r="C575" s="245" t="s">
        <v>224</v>
      </c>
      <c r="D575" s="245" t="s">
        <v>0</v>
      </c>
      <c r="E575" s="245" t="s">
        <v>240</v>
      </c>
      <c r="F575" s="247" t="s">
        <v>467</v>
      </c>
      <c r="G575" s="255" t="s">
        <v>1427</v>
      </c>
    </row>
    <row r="576" spans="1:7" x14ac:dyDescent="0.3">
      <c r="A576" s="245" t="s">
        <v>317</v>
      </c>
      <c r="B576" s="245" t="s">
        <v>20</v>
      </c>
      <c r="C576" s="245" t="s">
        <v>224</v>
      </c>
      <c r="D576" s="245" t="s">
        <v>0</v>
      </c>
      <c r="E576" s="245" t="s">
        <v>331</v>
      </c>
      <c r="F576" s="247" t="s">
        <v>468</v>
      </c>
      <c r="G576" s="255" t="s">
        <v>1451</v>
      </c>
    </row>
    <row r="577" spans="1:7" x14ac:dyDescent="0.3">
      <c r="A577" s="245" t="s">
        <v>317</v>
      </c>
      <c r="B577" s="245" t="s">
        <v>20</v>
      </c>
      <c r="C577" s="245" t="s">
        <v>224</v>
      </c>
      <c r="D577" s="245" t="s">
        <v>0</v>
      </c>
      <c r="E577" s="245" t="s">
        <v>333</v>
      </c>
      <c r="F577" s="247" t="s">
        <v>875</v>
      </c>
      <c r="G577" s="255" t="s">
        <v>1427</v>
      </c>
    </row>
    <row r="578" spans="1:7" x14ac:dyDescent="0.3">
      <c r="A578" s="245" t="s">
        <v>317</v>
      </c>
      <c r="B578" s="245" t="s">
        <v>20</v>
      </c>
      <c r="C578" s="245" t="s">
        <v>224</v>
      </c>
      <c r="D578" s="245" t="s">
        <v>0</v>
      </c>
      <c r="E578" s="245" t="s">
        <v>335</v>
      </c>
      <c r="F578" s="247" t="s">
        <v>469</v>
      </c>
      <c r="G578" s="255" t="s">
        <v>1477</v>
      </c>
    </row>
    <row r="579" spans="1:7" x14ac:dyDescent="0.3">
      <c r="A579" s="245" t="s">
        <v>317</v>
      </c>
      <c r="B579" s="245" t="s">
        <v>20</v>
      </c>
      <c r="C579" s="245" t="s">
        <v>224</v>
      </c>
      <c r="D579" s="245" t="s">
        <v>0</v>
      </c>
      <c r="E579" s="245" t="s">
        <v>337</v>
      </c>
      <c r="F579" s="247" t="s">
        <v>470</v>
      </c>
      <c r="G579" s="255" t="s">
        <v>1427</v>
      </c>
    </row>
    <row r="580" spans="1:7" x14ac:dyDescent="0.3">
      <c r="A580" s="245" t="s">
        <v>317</v>
      </c>
      <c r="B580" s="245" t="s">
        <v>20</v>
      </c>
      <c r="C580" s="245" t="s">
        <v>224</v>
      </c>
      <c r="D580" s="245" t="s">
        <v>0</v>
      </c>
      <c r="E580" s="245" t="s">
        <v>339</v>
      </c>
      <c r="F580" s="247" t="s">
        <v>471</v>
      </c>
      <c r="G580" s="255" t="s">
        <v>1478</v>
      </c>
    </row>
    <row r="581" spans="1:7" x14ac:dyDescent="0.3">
      <c r="A581" s="245" t="s">
        <v>317</v>
      </c>
      <c r="B581" s="245" t="s">
        <v>20</v>
      </c>
      <c r="C581" s="245" t="s">
        <v>224</v>
      </c>
      <c r="D581" s="245" t="s">
        <v>0</v>
      </c>
      <c r="E581" s="245" t="s">
        <v>341</v>
      </c>
      <c r="F581" s="247" t="s">
        <v>472</v>
      </c>
      <c r="G581" s="255" t="s">
        <v>1479</v>
      </c>
    </row>
    <row r="582" spans="1:7" x14ac:dyDescent="0.3">
      <c r="A582" s="245" t="s">
        <v>317</v>
      </c>
      <c r="B582" s="245" t="s">
        <v>20</v>
      </c>
      <c r="C582" s="245" t="s">
        <v>224</v>
      </c>
      <c r="D582" s="245" t="s">
        <v>0</v>
      </c>
      <c r="E582" s="245" t="s">
        <v>343</v>
      </c>
      <c r="F582" s="247" t="s">
        <v>473</v>
      </c>
      <c r="G582" s="255" t="s">
        <v>1480</v>
      </c>
    </row>
    <row r="583" spans="1:7" x14ac:dyDescent="0.3">
      <c r="A583" s="245" t="s">
        <v>317</v>
      </c>
      <c r="B583" s="245" t="s">
        <v>20</v>
      </c>
      <c r="C583" s="245" t="s">
        <v>224</v>
      </c>
      <c r="D583" s="245" t="s">
        <v>0</v>
      </c>
      <c r="E583" s="245" t="s">
        <v>344</v>
      </c>
      <c r="F583" s="247" t="s">
        <v>474</v>
      </c>
      <c r="G583" s="255" t="s">
        <v>1427</v>
      </c>
    </row>
    <row r="584" spans="1:7" x14ac:dyDescent="0.3">
      <c r="A584" s="245" t="s">
        <v>317</v>
      </c>
      <c r="B584" s="245" t="s">
        <v>20</v>
      </c>
      <c r="C584" s="245" t="s">
        <v>224</v>
      </c>
      <c r="D584" s="245" t="s">
        <v>0</v>
      </c>
      <c r="E584" s="245" t="s">
        <v>346</v>
      </c>
      <c r="F584" s="247" t="s">
        <v>475</v>
      </c>
      <c r="G584" s="255" t="s">
        <v>1427</v>
      </c>
    </row>
    <row r="585" spans="1:7" x14ac:dyDescent="0.3">
      <c r="A585" s="245" t="s">
        <v>317</v>
      </c>
      <c r="B585" s="245" t="s">
        <v>20</v>
      </c>
      <c r="C585" s="245" t="s">
        <v>224</v>
      </c>
      <c r="D585" s="245" t="s">
        <v>0</v>
      </c>
      <c r="E585" s="245" t="s">
        <v>348</v>
      </c>
      <c r="F585" s="247" t="s">
        <v>876</v>
      </c>
      <c r="G585" s="255" t="s">
        <v>1468</v>
      </c>
    </row>
    <row r="586" spans="1:7" x14ac:dyDescent="0.3">
      <c r="A586" s="245" t="s">
        <v>317</v>
      </c>
      <c r="B586" s="245" t="s">
        <v>20</v>
      </c>
      <c r="C586" s="245" t="s">
        <v>224</v>
      </c>
      <c r="D586" s="245" t="s">
        <v>0</v>
      </c>
      <c r="E586" s="245" t="s">
        <v>350</v>
      </c>
      <c r="F586" s="247" t="s">
        <v>476</v>
      </c>
      <c r="G586" s="255" t="s">
        <v>1427</v>
      </c>
    </row>
    <row r="587" spans="1:7" x14ac:dyDescent="0.3">
      <c r="A587" s="245" t="s">
        <v>317</v>
      </c>
      <c r="B587" s="245" t="s">
        <v>20</v>
      </c>
      <c r="C587" s="245" t="s">
        <v>224</v>
      </c>
      <c r="D587" s="245" t="s">
        <v>0</v>
      </c>
      <c r="E587" s="245" t="s">
        <v>414</v>
      </c>
      <c r="F587" s="247" t="s">
        <v>477</v>
      </c>
      <c r="G587" s="255" t="s">
        <v>1481</v>
      </c>
    </row>
    <row r="588" spans="1:7" x14ac:dyDescent="0.3">
      <c r="A588" s="245" t="s">
        <v>317</v>
      </c>
      <c r="B588" s="245" t="s">
        <v>20</v>
      </c>
      <c r="C588" s="245" t="s">
        <v>224</v>
      </c>
      <c r="D588" s="245" t="s">
        <v>0</v>
      </c>
      <c r="E588" s="245" t="s">
        <v>416</v>
      </c>
      <c r="F588" s="244" t="s">
        <v>478</v>
      </c>
      <c r="G588" s="255" t="s">
        <v>1427</v>
      </c>
    </row>
    <row r="589" spans="1:7" x14ac:dyDescent="0.3">
      <c r="A589" s="245" t="s">
        <v>317</v>
      </c>
      <c r="B589" s="245" t="s">
        <v>20</v>
      </c>
      <c r="C589" s="245" t="s">
        <v>224</v>
      </c>
      <c r="D589" s="245" t="s">
        <v>0</v>
      </c>
      <c r="E589" s="245" t="s">
        <v>418</v>
      </c>
      <c r="F589" s="244" t="s">
        <v>772</v>
      </c>
      <c r="G589" s="255" t="s">
        <v>1427</v>
      </c>
    </row>
    <row r="590" spans="1:7" x14ac:dyDescent="0.3">
      <c r="A590" s="245" t="s">
        <v>317</v>
      </c>
      <c r="B590" s="245" t="s">
        <v>20</v>
      </c>
      <c r="C590" s="245" t="s">
        <v>224</v>
      </c>
      <c r="D590" s="245" t="s">
        <v>0</v>
      </c>
      <c r="E590" s="245" t="s">
        <v>420</v>
      </c>
      <c r="F590" s="244" t="s">
        <v>773</v>
      </c>
      <c r="G590" s="255" t="s">
        <v>1427</v>
      </c>
    </row>
    <row r="591" spans="1:7" x14ac:dyDescent="0.3">
      <c r="A591" s="245" t="s">
        <v>317</v>
      </c>
      <c r="B591" s="245" t="s">
        <v>20</v>
      </c>
      <c r="C591" s="245" t="s">
        <v>224</v>
      </c>
      <c r="D591" s="245" t="s">
        <v>0</v>
      </c>
      <c r="E591" s="245" t="s">
        <v>422</v>
      </c>
      <c r="F591" s="247" t="s">
        <v>774</v>
      </c>
      <c r="G591" s="255" t="s">
        <v>1482</v>
      </c>
    </row>
    <row r="592" spans="1:7" x14ac:dyDescent="0.3">
      <c r="A592" s="245" t="s">
        <v>317</v>
      </c>
      <c r="B592" s="245" t="s">
        <v>20</v>
      </c>
      <c r="C592" s="245" t="s">
        <v>224</v>
      </c>
      <c r="D592" s="245" t="s">
        <v>0</v>
      </c>
      <c r="E592" s="245" t="s">
        <v>43</v>
      </c>
      <c r="F592" s="247" t="s">
        <v>479</v>
      </c>
      <c r="G592" s="255" t="s">
        <v>1427</v>
      </c>
    </row>
    <row r="593" spans="1:7" x14ac:dyDescent="0.3">
      <c r="A593" s="241" t="s">
        <v>317</v>
      </c>
      <c r="B593" s="241" t="s">
        <v>20</v>
      </c>
      <c r="C593" s="241" t="s">
        <v>224</v>
      </c>
      <c r="D593" s="241" t="s">
        <v>2</v>
      </c>
      <c r="E593" s="241"/>
      <c r="F593" s="243" t="s">
        <v>574</v>
      </c>
    </row>
    <row r="594" spans="1:7" x14ac:dyDescent="0.3">
      <c r="A594" s="245" t="s">
        <v>317</v>
      </c>
      <c r="B594" s="245" t="s">
        <v>20</v>
      </c>
      <c r="C594" s="245" t="s">
        <v>224</v>
      </c>
      <c r="D594" s="245" t="s">
        <v>2</v>
      </c>
      <c r="E594" s="245" t="s">
        <v>1</v>
      </c>
      <c r="F594" s="247" t="s">
        <v>575</v>
      </c>
      <c r="G594" s="255" t="s">
        <v>1454</v>
      </c>
    </row>
    <row r="595" spans="1:7" x14ac:dyDescent="0.3">
      <c r="A595" s="234" t="s">
        <v>480</v>
      </c>
      <c r="B595" s="234"/>
      <c r="C595" s="234"/>
      <c r="D595" s="234"/>
      <c r="E595" s="234"/>
      <c r="F595" s="235" t="s">
        <v>481</v>
      </c>
    </row>
    <row r="596" spans="1:7" x14ac:dyDescent="0.3">
      <c r="A596" s="236" t="s">
        <v>480</v>
      </c>
      <c r="B596" s="236" t="s">
        <v>20</v>
      </c>
      <c r="C596" s="236"/>
      <c r="D596" s="236"/>
      <c r="E596" s="236"/>
      <c r="F596" s="237" t="s">
        <v>560</v>
      </c>
    </row>
    <row r="597" spans="1:7" x14ac:dyDescent="0.3">
      <c r="A597" s="238" t="s">
        <v>480</v>
      </c>
      <c r="B597" s="238" t="s">
        <v>20</v>
      </c>
      <c r="C597" s="238" t="s">
        <v>20</v>
      </c>
      <c r="D597" s="238"/>
      <c r="E597" s="238"/>
      <c r="F597" s="240" t="s">
        <v>483</v>
      </c>
    </row>
    <row r="598" spans="1:7" x14ac:dyDescent="0.3">
      <c r="A598" s="241" t="s">
        <v>480</v>
      </c>
      <c r="B598" s="241" t="s">
        <v>20</v>
      </c>
      <c r="C598" s="241" t="s">
        <v>20</v>
      </c>
      <c r="D598" s="241" t="s">
        <v>0</v>
      </c>
      <c r="E598" s="241"/>
      <c r="F598" s="243" t="s">
        <v>482</v>
      </c>
    </row>
    <row r="599" spans="1:7" x14ac:dyDescent="0.3">
      <c r="A599" s="245" t="s">
        <v>480</v>
      </c>
      <c r="B599" s="245" t="s">
        <v>20</v>
      </c>
      <c r="C599" s="245" t="s">
        <v>20</v>
      </c>
      <c r="D599" s="245" t="s">
        <v>0</v>
      </c>
      <c r="E599" s="252" t="s">
        <v>1</v>
      </c>
      <c r="F599" s="247" t="s">
        <v>589</v>
      </c>
      <c r="G599" s="255" t="s">
        <v>1485</v>
      </c>
    </row>
    <row r="600" spans="1:7" x14ac:dyDescent="0.3">
      <c r="A600" s="245" t="s">
        <v>480</v>
      </c>
      <c r="B600" s="245" t="s">
        <v>20</v>
      </c>
      <c r="C600" s="245" t="s">
        <v>20</v>
      </c>
      <c r="D600" s="245" t="s">
        <v>0</v>
      </c>
      <c r="E600" s="252" t="s">
        <v>3</v>
      </c>
      <c r="F600" s="247" t="s">
        <v>485</v>
      </c>
      <c r="G600" s="255" t="s">
        <v>1486</v>
      </c>
    </row>
    <row r="601" spans="1:7" x14ac:dyDescent="0.3">
      <c r="A601" s="245" t="s">
        <v>480</v>
      </c>
      <c r="B601" s="245" t="s">
        <v>20</v>
      </c>
      <c r="C601" s="245" t="s">
        <v>20</v>
      </c>
      <c r="D601" s="245" t="s">
        <v>0</v>
      </c>
      <c r="E601" s="252" t="s">
        <v>5</v>
      </c>
      <c r="F601" s="247" t="s">
        <v>484</v>
      </c>
      <c r="G601" s="253" t="s">
        <v>1483</v>
      </c>
    </row>
    <row r="602" spans="1:7" x14ac:dyDescent="0.3">
      <c r="A602" s="245" t="s">
        <v>480</v>
      </c>
      <c r="B602" s="245" t="s">
        <v>20</v>
      </c>
      <c r="C602" s="245" t="s">
        <v>20</v>
      </c>
      <c r="D602" s="245" t="s">
        <v>0</v>
      </c>
      <c r="E602" s="252" t="s">
        <v>7</v>
      </c>
      <c r="F602" s="247" t="s">
        <v>488</v>
      </c>
      <c r="G602" s="253" t="s">
        <v>1484</v>
      </c>
    </row>
    <row r="603" spans="1:7" x14ac:dyDescent="0.3">
      <c r="A603" s="245" t="s">
        <v>480</v>
      </c>
      <c r="B603" s="245" t="s">
        <v>20</v>
      </c>
      <c r="C603" s="245" t="s">
        <v>20</v>
      </c>
      <c r="D603" s="245" t="s">
        <v>0</v>
      </c>
      <c r="E603" s="233">
        <v>999</v>
      </c>
      <c r="F603" s="247" t="s">
        <v>486</v>
      </c>
      <c r="G603" s="255" t="s">
        <v>1453</v>
      </c>
    </row>
    <row r="604" spans="1:7" x14ac:dyDescent="0.3">
      <c r="A604" s="238" t="s">
        <v>480</v>
      </c>
      <c r="B604" s="238" t="s">
        <v>20</v>
      </c>
      <c r="C604" s="238" t="s">
        <v>33</v>
      </c>
      <c r="D604" s="238"/>
      <c r="E604" s="238"/>
      <c r="F604" s="240" t="s">
        <v>487</v>
      </c>
    </row>
    <row r="605" spans="1:7" x14ac:dyDescent="0.3">
      <c r="A605" s="241" t="s">
        <v>480</v>
      </c>
      <c r="B605" s="241" t="s">
        <v>20</v>
      </c>
      <c r="C605" s="241" t="s">
        <v>33</v>
      </c>
      <c r="D605" s="241" t="s">
        <v>0</v>
      </c>
      <c r="E605" s="241"/>
      <c r="F605" s="243" t="s">
        <v>561</v>
      </c>
    </row>
    <row r="606" spans="1:7" x14ac:dyDescent="0.3">
      <c r="A606" s="245" t="s">
        <v>480</v>
      </c>
      <c r="B606" s="245" t="s">
        <v>20</v>
      </c>
      <c r="C606" s="245" t="s">
        <v>33</v>
      </c>
      <c r="D606" s="245" t="s">
        <v>0</v>
      </c>
      <c r="E606" s="252" t="s">
        <v>1</v>
      </c>
      <c r="F606" s="247" t="s">
        <v>489</v>
      </c>
      <c r="G606" s="253" t="s">
        <v>1487</v>
      </c>
    </row>
    <row r="607" spans="1:7" x14ac:dyDescent="0.3">
      <c r="A607" s="245" t="s">
        <v>480</v>
      </c>
      <c r="B607" s="245" t="s">
        <v>20</v>
      </c>
      <c r="C607" s="245" t="s">
        <v>33</v>
      </c>
      <c r="D607" s="245" t="s">
        <v>0</v>
      </c>
      <c r="E607" s="252" t="s">
        <v>3</v>
      </c>
      <c r="F607" s="247" t="s">
        <v>490</v>
      </c>
      <c r="G607" s="253" t="s">
        <v>1488</v>
      </c>
    </row>
    <row r="608" spans="1:7" x14ac:dyDescent="0.3">
      <c r="A608" s="245" t="s">
        <v>480</v>
      </c>
      <c r="B608" s="245" t="s">
        <v>20</v>
      </c>
      <c r="C608" s="245" t="s">
        <v>33</v>
      </c>
      <c r="D608" s="245" t="s">
        <v>0</v>
      </c>
      <c r="E608" s="252" t="s">
        <v>5</v>
      </c>
      <c r="F608" s="247" t="s">
        <v>491</v>
      </c>
      <c r="G608" s="253" t="s">
        <v>1547</v>
      </c>
    </row>
    <row r="609" spans="1:7" x14ac:dyDescent="0.3">
      <c r="A609" s="245" t="s">
        <v>480</v>
      </c>
      <c r="B609" s="245" t="s">
        <v>20</v>
      </c>
      <c r="C609" s="245" t="s">
        <v>33</v>
      </c>
      <c r="D609" s="245" t="s">
        <v>0</v>
      </c>
      <c r="E609" s="252" t="s">
        <v>7</v>
      </c>
      <c r="F609" s="247" t="s">
        <v>492</v>
      </c>
      <c r="G609" s="253" t="s">
        <v>1489</v>
      </c>
    </row>
    <row r="610" spans="1:7" x14ac:dyDescent="0.3">
      <c r="A610" s="245" t="s">
        <v>480</v>
      </c>
      <c r="B610" s="245" t="s">
        <v>20</v>
      </c>
      <c r="C610" s="245" t="s">
        <v>33</v>
      </c>
      <c r="D610" s="245" t="s">
        <v>0</v>
      </c>
      <c r="E610" s="252" t="s">
        <v>9</v>
      </c>
      <c r="F610" s="247" t="s">
        <v>914</v>
      </c>
      <c r="G610" s="253" t="s">
        <v>1490</v>
      </c>
    </row>
    <row r="611" spans="1:7" x14ac:dyDescent="0.3">
      <c r="A611" s="245" t="s">
        <v>480</v>
      </c>
      <c r="B611" s="245" t="s">
        <v>20</v>
      </c>
      <c r="C611" s="245" t="s">
        <v>33</v>
      </c>
      <c r="D611" s="245" t="s">
        <v>0</v>
      </c>
      <c r="E611" s="252" t="s">
        <v>10</v>
      </c>
      <c r="F611" s="247" t="s">
        <v>494</v>
      </c>
      <c r="G611" s="253" t="s">
        <v>1548</v>
      </c>
    </row>
    <row r="612" spans="1:7" x14ac:dyDescent="0.3">
      <c r="A612" s="245" t="s">
        <v>480</v>
      </c>
      <c r="B612" s="245" t="s">
        <v>20</v>
      </c>
      <c r="C612" s="245" t="s">
        <v>33</v>
      </c>
      <c r="D612" s="245" t="s">
        <v>0</v>
      </c>
      <c r="E612" s="252" t="s">
        <v>11</v>
      </c>
      <c r="F612" s="247" t="s">
        <v>549</v>
      </c>
      <c r="G612" s="253" t="s">
        <v>1491</v>
      </c>
    </row>
    <row r="613" spans="1:7" x14ac:dyDescent="0.3">
      <c r="A613" s="245" t="s">
        <v>480</v>
      </c>
      <c r="B613" s="245" t="s">
        <v>20</v>
      </c>
      <c r="C613" s="245" t="s">
        <v>33</v>
      </c>
      <c r="D613" s="245" t="s">
        <v>0</v>
      </c>
      <c r="E613" s="233">
        <v>999</v>
      </c>
      <c r="F613" s="247" t="s">
        <v>495</v>
      </c>
      <c r="G613" s="255" t="s">
        <v>1453</v>
      </c>
    </row>
    <row r="614" spans="1:7" x14ac:dyDescent="0.3">
      <c r="A614" s="241" t="s">
        <v>480</v>
      </c>
      <c r="B614" s="241" t="s">
        <v>20</v>
      </c>
      <c r="C614" s="241" t="s">
        <v>33</v>
      </c>
      <c r="D614" s="241" t="s">
        <v>2</v>
      </c>
      <c r="E614" s="241"/>
      <c r="F614" s="243" t="s">
        <v>562</v>
      </c>
    </row>
    <row r="615" spans="1:7" x14ac:dyDescent="0.3">
      <c r="A615" s="245" t="s">
        <v>480</v>
      </c>
      <c r="B615" s="245" t="s">
        <v>20</v>
      </c>
      <c r="C615" s="245" t="s">
        <v>33</v>
      </c>
      <c r="D615" s="245" t="s">
        <v>2</v>
      </c>
      <c r="E615" s="233" t="s">
        <v>1</v>
      </c>
      <c r="F615" s="247" t="s">
        <v>496</v>
      </c>
      <c r="G615" s="255" t="s">
        <v>1492</v>
      </c>
    </row>
    <row r="616" spans="1:7" x14ac:dyDescent="0.3">
      <c r="A616" s="245" t="s">
        <v>480</v>
      </c>
      <c r="B616" s="245" t="s">
        <v>20</v>
      </c>
      <c r="C616" s="245" t="s">
        <v>33</v>
      </c>
      <c r="D616" s="245" t="s">
        <v>2</v>
      </c>
      <c r="E616" s="233" t="s">
        <v>3</v>
      </c>
      <c r="F616" s="247" t="s">
        <v>497</v>
      </c>
      <c r="G616" s="255" t="s">
        <v>1492</v>
      </c>
    </row>
    <row r="617" spans="1:7" x14ac:dyDescent="0.3">
      <c r="A617" s="245" t="s">
        <v>480</v>
      </c>
      <c r="B617" s="245" t="s">
        <v>20</v>
      </c>
      <c r="C617" s="245" t="s">
        <v>33</v>
      </c>
      <c r="D617" s="245" t="s">
        <v>2</v>
      </c>
      <c r="E617" s="233" t="s">
        <v>5</v>
      </c>
      <c r="F617" s="247" t="s">
        <v>498</v>
      </c>
      <c r="G617" s="255" t="s">
        <v>1492</v>
      </c>
    </row>
    <row r="618" spans="1:7" x14ac:dyDescent="0.3">
      <c r="A618" s="241" t="s">
        <v>480</v>
      </c>
      <c r="B618" s="241" t="s">
        <v>20</v>
      </c>
      <c r="C618" s="241" t="s">
        <v>33</v>
      </c>
      <c r="D618" s="241" t="s">
        <v>4</v>
      </c>
      <c r="E618" s="241"/>
      <c r="F618" s="243" t="s">
        <v>583</v>
      </c>
    </row>
    <row r="619" spans="1:7" x14ac:dyDescent="0.3">
      <c r="A619" s="245" t="s">
        <v>480</v>
      </c>
      <c r="B619" s="245" t="s">
        <v>20</v>
      </c>
      <c r="C619" s="245" t="s">
        <v>33</v>
      </c>
      <c r="D619" s="245" t="s">
        <v>4</v>
      </c>
      <c r="E619" s="233" t="s">
        <v>1</v>
      </c>
      <c r="F619" s="247" t="s">
        <v>499</v>
      </c>
      <c r="G619" s="255" t="s">
        <v>1493</v>
      </c>
    </row>
    <row r="620" spans="1:7" x14ac:dyDescent="0.3">
      <c r="A620" s="245" t="s">
        <v>480</v>
      </c>
      <c r="B620" s="245" t="s">
        <v>20</v>
      </c>
      <c r="C620" s="245" t="s">
        <v>33</v>
      </c>
      <c r="D620" s="245" t="s">
        <v>4</v>
      </c>
      <c r="E620" s="233" t="s">
        <v>3</v>
      </c>
      <c r="F620" s="247" t="s">
        <v>500</v>
      </c>
      <c r="G620" s="255" t="s">
        <v>1493</v>
      </c>
    </row>
    <row r="621" spans="1:7" x14ac:dyDescent="0.3">
      <c r="A621" s="245" t="s">
        <v>480</v>
      </c>
      <c r="B621" s="245" t="s">
        <v>20</v>
      </c>
      <c r="C621" s="245" t="s">
        <v>33</v>
      </c>
      <c r="D621" s="245" t="s">
        <v>4</v>
      </c>
      <c r="E621" s="233" t="s">
        <v>5</v>
      </c>
      <c r="F621" s="247" t="s">
        <v>501</v>
      </c>
      <c r="G621" s="255" t="s">
        <v>1494</v>
      </c>
    </row>
    <row r="622" spans="1:7" x14ac:dyDescent="0.3">
      <c r="A622" s="236" t="s">
        <v>480</v>
      </c>
      <c r="B622" s="236" t="s">
        <v>33</v>
      </c>
      <c r="C622" s="236"/>
      <c r="D622" s="236"/>
      <c r="E622" s="236"/>
      <c r="F622" s="237" t="s">
        <v>506</v>
      </c>
    </row>
    <row r="623" spans="1:7" x14ac:dyDescent="0.3">
      <c r="A623" s="238" t="s">
        <v>480</v>
      </c>
      <c r="B623" s="238" t="s">
        <v>33</v>
      </c>
      <c r="C623" s="238" t="s">
        <v>20</v>
      </c>
      <c r="D623" s="238"/>
      <c r="E623" s="238"/>
      <c r="F623" s="240" t="s">
        <v>507</v>
      </c>
    </row>
    <row r="624" spans="1:7" x14ac:dyDescent="0.3">
      <c r="A624" s="241" t="s">
        <v>480</v>
      </c>
      <c r="B624" s="241" t="s">
        <v>33</v>
      </c>
      <c r="C624" s="241" t="s">
        <v>20</v>
      </c>
      <c r="D624" s="241" t="s">
        <v>0</v>
      </c>
      <c r="E624" s="241"/>
      <c r="F624" s="243" t="s">
        <v>581</v>
      </c>
    </row>
    <row r="625" spans="1:7" x14ac:dyDescent="0.3">
      <c r="A625" s="245" t="s">
        <v>480</v>
      </c>
      <c r="B625" s="245" t="s">
        <v>33</v>
      </c>
      <c r="C625" s="245" t="s">
        <v>20</v>
      </c>
      <c r="D625" s="245" t="s">
        <v>0</v>
      </c>
      <c r="E625" s="245" t="s">
        <v>1</v>
      </c>
      <c r="F625" s="247" t="s">
        <v>508</v>
      </c>
      <c r="G625" s="255" t="s">
        <v>1498</v>
      </c>
    </row>
    <row r="626" spans="1:7" x14ac:dyDescent="0.3">
      <c r="A626" s="245" t="s">
        <v>480</v>
      </c>
      <c r="B626" s="245" t="s">
        <v>33</v>
      </c>
      <c r="C626" s="245" t="s">
        <v>20</v>
      </c>
      <c r="D626" s="245" t="s">
        <v>0</v>
      </c>
      <c r="E626" s="245" t="s">
        <v>3</v>
      </c>
      <c r="F626" s="247" t="s">
        <v>510</v>
      </c>
      <c r="G626" s="255" t="s">
        <v>1499</v>
      </c>
    </row>
    <row r="627" spans="1:7" x14ac:dyDescent="0.3">
      <c r="A627" s="245" t="s">
        <v>480</v>
      </c>
      <c r="B627" s="245" t="s">
        <v>33</v>
      </c>
      <c r="C627" s="245" t="s">
        <v>20</v>
      </c>
      <c r="D627" s="245" t="s">
        <v>0</v>
      </c>
      <c r="E627" s="245" t="s">
        <v>5</v>
      </c>
      <c r="F627" s="247" t="s">
        <v>546</v>
      </c>
      <c r="G627" s="255" t="s">
        <v>1500</v>
      </c>
    </row>
    <row r="628" spans="1:7" x14ac:dyDescent="0.3">
      <c r="A628" s="245" t="s">
        <v>480</v>
      </c>
      <c r="B628" s="245" t="s">
        <v>33</v>
      </c>
      <c r="C628" s="245" t="s">
        <v>20</v>
      </c>
      <c r="D628" s="245" t="s">
        <v>0</v>
      </c>
      <c r="E628" s="245" t="s">
        <v>7</v>
      </c>
      <c r="F628" s="247" t="s">
        <v>511</v>
      </c>
      <c r="G628" s="255" t="s">
        <v>1501</v>
      </c>
    </row>
    <row r="629" spans="1:7" x14ac:dyDescent="0.3">
      <c r="A629" s="245" t="s">
        <v>480</v>
      </c>
      <c r="B629" s="245" t="s">
        <v>33</v>
      </c>
      <c r="C629" s="245" t="s">
        <v>20</v>
      </c>
      <c r="D629" s="245" t="s">
        <v>0</v>
      </c>
      <c r="E629" s="245" t="s">
        <v>9</v>
      </c>
      <c r="F629" s="247" t="s">
        <v>513</v>
      </c>
      <c r="G629" s="255" t="s">
        <v>1502</v>
      </c>
    </row>
    <row r="630" spans="1:7" x14ac:dyDescent="0.3">
      <c r="A630" s="245" t="s">
        <v>480</v>
      </c>
      <c r="B630" s="245" t="s">
        <v>33</v>
      </c>
      <c r="C630" s="245" t="s">
        <v>20</v>
      </c>
      <c r="D630" s="245" t="s">
        <v>0</v>
      </c>
      <c r="E630" s="245" t="s">
        <v>43</v>
      </c>
      <c r="F630" s="247" t="s">
        <v>512</v>
      </c>
      <c r="G630" s="255" t="s">
        <v>1501</v>
      </c>
    </row>
    <row r="631" spans="1:7" x14ac:dyDescent="0.3">
      <c r="A631" s="238" t="s">
        <v>480</v>
      </c>
      <c r="B631" s="238" t="s">
        <v>33</v>
      </c>
      <c r="C631" s="238" t="s">
        <v>33</v>
      </c>
      <c r="D631" s="238"/>
      <c r="E631" s="238"/>
      <c r="F631" s="240" t="s">
        <v>515</v>
      </c>
    </row>
    <row r="632" spans="1:7" x14ac:dyDescent="0.3">
      <c r="A632" s="241" t="s">
        <v>480</v>
      </c>
      <c r="B632" s="241" t="s">
        <v>33</v>
      </c>
      <c r="C632" s="241" t="s">
        <v>33</v>
      </c>
      <c r="D632" s="241" t="s">
        <v>0</v>
      </c>
      <c r="E632" s="241"/>
      <c r="F632" s="243" t="s">
        <v>516</v>
      </c>
    </row>
    <row r="633" spans="1:7" x14ac:dyDescent="0.3">
      <c r="A633" s="245" t="s">
        <v>480</v>
      </c>
      <c r="B633" s="245" t="s">
        <v>33</v>
      </c>
      <c r="C633" s="245" t="s">
        <v>33</v>
      </c>
      <c r="D633" s="245" t="s">
        <v>0</v>
      </c>
      <c r="E633" s="233" t="s">
        <v>1</v>
      </c>
      <c r="F633" s="247" t="s">
        <v>517</v>
      </c>
      <c r="G633" s="255" t="s">
        <v>1501</v>
      </c>
    </row>
    <row r="634" spans="1:7" x14ac:dyDescent="0.3">
      <c r="A634" s="245" t="s">
        <v>480</v>
      </c>
      <c r="B634" s="245" t="s">
        <v>33</v>
      </c>
      <c r="C634" s="245" t="s">
        <v>33</v>
      </c>
      <c r="D634" s="245" t="s">
        <v>0</v>
      </c>
      <c r="E634" s="233" t="s">
        <v>3</v>
      </c>
      <c r="F634" s="247" t="s">
        <v>518</v>
      </c>
      <c r="G634" s="255" t="s">
        <v>1503</v>
      </c>
    </row>
    <row r="635" spans="1:7" x14ac:dyDescent="0.3">
      <c r="A635" s="245" t="s">
        <v>480</v>
      </c>
      <c r="B635" s="245" t="s">
        <v>33</v>
      </c>
      <c r="C635" s="245" t="s">
        <v>33</v>
      </c>
      <c r="D635" s="245" t="s">
        <v>0</v>
      </c>
      <c r="E635" s="233" t="s">
        <v>5</v>
      </c>
      <c r="F635" s="247" t="s">
        <v>519</v>
      </c>
      <c r="G635" s="255" t="s">
        <v>1503</v>
      </c>
    </row>
    <row r="636" spans="1:7" x14ac:dyDescent="0.3">
      <c r="A636" s="245" t="s">
        <v>480</v>
      </c>
      <c r="B636" s="245" t="s">
        <v>33</v>
      </c>
      <c r="C636" s="245" t="s">
        <v>33</v>
      </c>
      <c r="D636" s="245" t="s">
        <v>0</v>
      </c>
      <c r="E636" s="233" t="s">
        <v>7</v>
      </c>
      <c r="F636" s="247" t="s">
        <v>520</v>
      </c>
      <c r="G636" s="255" t="s">
        <v>1503</v>
      </c>
    </row>
    <row r="637" spans="1:7" x14ac:dyDescent="0.3">
      <c r="A637" s="245" t="s">
        <v>480</v>
      </c>
      <c r="B637" s="245" t="s">
        <v>33</v>
      </c>
      <c r="C637" s="245" t="s">
        <v>33</v>
      </c>
      <c r="D637" s="245" t="s">
        <v>0</v>
      </c>
      <c r="E637" s="233">
        <v>999</v>
      </c>
      <c r="F637" s="247" t="s">
        <v>547</v>
      </c>
      <c r="G637" s="255" t="s">
        <v>1503</v>
      </c>
    </row>
    <row r="638" spans="1:7" x14ac:dyDescent="0.3">
      <c r="A638" s="241" t="s">
        <v>480</v>
      </c>
      <c r="B638" s="241" t="s">
        <v>33</v>
      </c>
      <c r="C638" s="241" t="s">
        <v>33</v>
      </c>
      <c r="D638" s="242" t="s">
        <v>2</v>
      </c>
      <c r="E638" s="241"/>
      <c r="F638" s="243" t="s">
        <v>521</v>
      </c>
    </row>
    <row r="639" spans="1:7" x14ac:dyDescent="0.3">
      <c r="A639" s="245" t="s">
        <v>480</v>
      </c>
      <c r="B639" s="245" t="s">
        <v>33</v>
      </c>
      <c r="C639" s="245" t="s">
        <v>33</v>
      </c>
      <c r="D639" s="245" t="s">
        <v>2</v>
      </c>
      <c r="E639" s="245" t="s">
        <v>1</v>
      </c>
      <c r="F639" s="247" t="s">
        <v>877</v>
      </c>
      <c r="G639" s="255" t="s">
        <v>1504</v>
      </c>
    </row>
    <row r="640" spans="1:7" x14ac:dyDescent="0.3">
      <c r="A640" s="236" t="s">
        <v>480</v>
      </c>
      <c r="B640" s="236" t="s">
        <v>44</v>
      </c>
      <c r="C640" s="236"/>
      <c r="D640" s="236"/>
      <c r="E640" s="236"/>
      <c r="F640" s="237" t="s">
        <v>1554</v>
      </c>
      <c r="G640" s="255"/>
    </row>
    <row r="641" spans="1:7" x14ac:dyDescent="0.3">
      <c r="A641" s="238" t="s">
        <v>480</v>
      </c>
      <c r="B641" s="238" t="s">
        <v>44</v>
      </c>
      <c r="C641" s="238" t="s">
        <v>20</v>
      </c>
      <c r="D641" s="238"/>
      <c r="E641" s="238"/>
      <c r="F641" s="240" t="s">
        <v>1555</v>
      </c>
      <c r="G641" s="255"/>
    </row>
    <row r="642" spans="1:7" x14ac:dyDescent="0.3">
      <c r="A642" s="241" t="s">
        <v>480</v>
      </c>
      <c r="B642" s="241" t="s">
        <v>44</v>
      </c>
      <c r="C642" s="241" t="s">
        <v>20</v>
      </c>
      <c r="D642" s="241" t="s">
        <v>0</v>
      </c>
      <c r="E642" s="241"/>
      <c r="F642" s="243" t="s">
        <v>502</v>
      </c>
    </row>
    <row r="643" spans="1:7" x14ac:dyDescent="0.3">
      <c r="A643" s="245" t="s">
        <v>480</v>
      </c>
      <c r="B643" s="245" t="s">
        <v>44</v>
      </c>
      <c r="C643" s="245" t="s">
        <v>20</v>
      </c>
      <c r="D643" s="245" t="s">
        <v>0</v>
      </c>
      <c r="E643" s="233" t="s">
        <v>1</v>
      </c>
      <c r="F643" s="247" t="s">
        <v>503</v>
      </c>
      <c r="G643" s="255" t="s">
        <v>1495</v>
      </c>
    </row>
    <row r="644" spans="1:7" x14ac:dyDescent="0.3">
      <c r="A644" s="245" t="s">
        <v>480</v>
      </c>
      <c r="B644" s="245" t="s">
        <v>44</v>
      </c>
      <c r="C644" s="245" t="s">
        <v>20</v>
      </c>
      <c r="D644" s="245" t="s">
        <v>0</v>
      </c>
      <c r="E644" s="233" t="s">
        <v>3</v>
      </c>
      <c r="F644" s="247" t="s">
        <v>504</v>
      </c>
      <c r="G644" s="255" t="s">
        <v>1496</v>
      </c>
    </row>
    <row r="645" spans="1:7" x14ac:dyDescent="0.3">
      <c r="A645" s="245" t="s">
        <v>480</v>
      </c>
      <c r="B645" s="245" t="s">
        <v>44</v>
      </c>
      <c r="C645" s="245" t="s">
        <v>20</v>
      </c>
      <c r="D645" s="245" t="s">
        <v>0</v>
      </c>
      <c r="E645" s="233" t="s">
        <v>5</v>
      </c>
      <c r="F645" s="247" t="s">
        <v>505</v>
      </c>
      <c r="G645" s="255" t="s">
        <v>1497</v>
      </c>
    </row>
    <row r="646" spans="1:7" x14ac:dyDescent="0.3">
      <c r="A646" s="236" t="s">
        <v>480</v>
      </c>
      <c r="B646" s="236" t="s">
        <v>54</v>
      </c>
      <c r="C646" s="236"/>
      <c r="D646" s="236"/>
      <c r="E646" s="236"/>
      <c r="F646" s="237" t="s">
        <v>553</v>
      </c>
    </row>
    <row r="647" spans="1:7" x14ac:dyDescent="0.3">
      <c r="A647" s="238" t="s">
        <v>480</v>
      </c>
      <c r="B647" s="238" t="s">
        <v>54</v>
      </c>
      <c r="C647" s="238" t="s">
        <v>20</v>
      </c>
      <c r="D647" s="238"/>
      <c r="E647" s="238"/>
      <c r="F647" s="240" t="s">
        <v>554</v>
      </c>
    </row>
    <row r="648" spans="1:7" x14ac:dyDescent="0.3">
      <c r="A648" s="241" t="s">
        <v>480</v>
      </c>
      <c r="B648" s="241" t="s">
        <v>54</v>
      </c>
      <c r="C648" s="241" t="s">
        <v>20</v>
      </c>
      <c r="D648" s="241" t="s">
        <v>0</v>
      </c>
      <c r="E648" s="241"/>
      <c r="F648" s="248" t="s">
        <v>555</v>
      </c>
    </row>
    <row r="649" spans="1:7" x14ac:dyDescent="0.3">
      <c r="A649" s="245" t="s">
        <v>480</v>
      </c>
      <c r="B649" s="245" t="s">
        <v>54</v>
      </c>
      <c r="C649" s="245" t="s">
        <v>20</v>
      </c>
      <c r="D649" s="245" t="s">
        <v>0</v>
      </c>
      <c r="E649" s="245" t="s">
        <v>1</v>
      </c>
      <c r="F649" s="247" t="s">
        <v>523</v>
      </c>
      <c r="G649" s="255" t="s">
        <v>1549</v>
      </c>
    </row>
    <row r="652" spans="1:7" x14ac:dyDescent="0.3">
      <c r="G652" s="258" t="s">
        <v>1505</v>
      </c>
    </row>
    <row r="653" spans="1:7" x14ac:dyDescent="0.3">
      <c r="G653" s="258" t="s">
        <v>1506</v>
      </c>
    </row>
    <row r="654" spans="1:7" x14ac:dyDescent="0.3">
      <c r="G654" s="258" t="s">
        <v>1507</v>
      </c>
    </row>
    <row r="655" spans="1:7" x14ac:dyDescent="0.3">
      <c r="G655" s="255" t="s">
        <v>1508</v>
      </c>
    </row>
    <row r="656" spans="1:7" x14ac:dyDescent="0.3">
      <c r="G656" s="255" t="s">
        <v>1509</v>
      </c>
    </row>
    <row r="657" spans="7:7" x14ac:dyDescent="0.3">
      <c r="G657" s="255" t="s">
        <v>1510</v>
      </c>
    </row>
    <row r="659" spans="7:7" x14ac:dyDescent="0.3">
      <c r="G659" s="253" t="s">
        <v>1511</v>
      </c>
    </row>
  </sheetData>
  <autoFilter ref="A3:F649" xr:uid="{00000000-0009-0000-0000-00000B000000}"/>
  <mergeCells count="2">
    <mergeCell ref="A1:E2"/>
    <mergeCell ref="F1:F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12"/>
  <sheetViews>
    <sheetView workbookViewId="0">
      <selection activeCell="N25" sqref="N24:N25"/>
    </sheetView>
  </sheetViews>
  <sheetFormatPr defaultColWidth="9.08984375" defaultRowHeight="13" x14ac:dyDescent="0.35"/>
  <cols>
    <col min="1" max="1" width="9.08984375" style="259"/>
    <col min="2" max="4" width="2" style="259" bestFit="1" customWidth="1"/>
    <col min="5" max="5" width="3" style="259" bestFit="1" customWidth="1"/>
    <col min="6" max="6" width="4" style="259" bestFit="1" customWidth="1"/>
    <col min="7" max="7" width="42.36328125" style="259" bestFit="1" customWidth="1"/>
    <col min="8" max="8" width="9.08984375" style="260"/>
    <col min="9" max="11" width="2" style="259" bestFit="1" customWidth="1"/>
    <col min="12" max="12" width="3" style="259" bestFit="1" customWidth="1"/>
    <col min="13" max="13" width="4" style="259" bestFit="1" customWidth="1"/>
    <col min="14" max="14" width="42.36328125" style="259" bestFit="1" customWidth="1"/>
    <col min="15" max="16384" width="9.08984375" style="259"/>
  </cols>
  <sheetData>
    <row r="2" spans="2:14" x14ac:dyDescent="0.35">
      <c r="B2" s="249"/>
      <c r="C2" s="249"/>
      <c r="D2" s="249"/>
      <c r="E2" s="249"/>
      <c r="F2" s="249"/>
      <c r="G2" s="249"/>
      <c r="H2" s="233"/>
      <c r="I2" s="358" t="s">
        <v>1565</v>
      </c>
      <c r="J2" s="358"/>
      <c r="K2" s="358"/>
      <c r="L2" s="358"/>
      <c r="M2" s="358"/>
      <c r="N2" s="249"/>
    </row>
    <row r="3" spans="2:14" x14ac:dyDescent="0.35">
      <c r="B3" s="249"/>
      <c r="C3" s="249"/>
      <c r="D3" s="249"/>
      <c r="E3" s="249"/>
      <c r="F3" s="249"/>
      <c r="G3" s="249"/>
      <c r="H3" s="233" t="s">
        <v>1563</v>
      </c>
      <c r="I3" s="236" t="s">
        <v>480</v>
      </c>
      <c r="J3" s="236" t="s">
        <v>44</v>
      </c>
      <c r="K3" s="236"/>
      <c r="L3" s="236"/>
      <c r="M3" s="236"/>
      <c r="N3" s="237" t="s">
        <v>1554</v>
      </c>
    </row>
    <row r="4" spans="2:14" x14ac:dyDescent="0.35">
      <c r="B4" s="358" t="s">
        <v>1564</v>
      </c>
      <c r="C4" s="358"/>
      <c r="D4" s="358"/>
      <c r="E4" s="358"/>
      <c r="F4" s="358"/>
      <c r="G4" s="249"/>
      <c r="H4" s="233" t="s">
        <v>1563</v>
      </c>
      <c r="I4" s="238" t="s">
        <v>480</v>
      </c>
      <c r="J4" s="238" t="s">
        <v>44</v>
      </c>
      <c r="K4" s="238" t="s">
        <v>20</v>
      </c>
      <c r="L4" s="238"/>
      <c r="M4" s="238"/>
      <c r="N4" s="240" t="s">
        <v>1555</v>
      </c>
    </row>
    <row r="5" spans="2:14" x14ac:dyDescent="0.35">
      <c r="B5" s="241" t="s">
        <v>480</v>
      </c>
      <c r="C5" s="241" t="s">
        <v>20</v>
      </c>
      <c r="D5" s="241" t="s">
        <v>33</v>
      </c>
      <c r="E5" s="241" t="s">
        <v>6</v>
      </c>
      <c r="F5" s="241"/>
      <c r="G5" s="243" t="s">
        <v>502</v>
      </c>
      <c r="H5" s="233" t="s">
        <v>1562</v>
      </c>
      <c r="I5" s="241" t="s">
        <v>480</v>
      </c>
      <c r="J5" s="241" t="s">
        <v>44</v>
      </c>
      <c r="K5" s="241" t="s">
        <v>20</v>
      </c>
      <c r="L5" s="241" t="s">
        <v>0</v>
      </c>
      <c r="M5" s="241"/>
      <c r="N5" s="248" t="s">
        <v>502</v>
      </c>
    </row>
    <row r="6" spans="2:14" x14ac:dyDescent="0.35">
      <c r="B6" s="245" t="s">
        <v>480</v>
      </c>
      <c r="C6" s="245" t="s">
        <v>20</v>
      </c>
      <c r="D6" s="245" t="s">
        <v>33</v>
      </c>
      <c r="E6" s="245" t="s">
        <v>6</v>
      </c>
      <c r="F6" s="233" t="s">
        <v>1</v>
      </c>
      <c r="G6" s="247" t="s">
        <v>503</v>
      </c>
      <c r="H6" s="233" t="s">
        <v>1562</v>
      </c>
      <c r="I6" s="245" t="s">
        <v>480</v>
      </c>
      <c r="J6" s="245" t="s">
        <v>44</v>
      </c>
      <c r="K6" s="245" t="s">
        <v>20</v>
      </c>
      <c r="L6" s="245" t="s">
        <v>0</v>
      </c>
      <c r="M6" s="233" t="s">
        <v>1</v>
      </c>
      <c r="N6" s="247" t="s">
        <v>503</v>
      </c>
    </row>
    <row r="7" spans="2:14" x14ac:dyDescent="0.35">
      <c r="B7" s="245" t="s">
        <v>480</v>
      </c>
      <c r="C7" s="245" t="s">
        <v>20</v>
      </c>
      <c r="D7" s="245" t="s">
        <v>33</v>
      </c>
      <c r="E7" s="245" t="s">
        <v>6</v>
      </c>
      <c r="F7" s="233" t="s">
        <v>3</v>
      </c>
      <c r="G7" s="247" t="s">
        <v>504</v>
      </c>
      <c r="H7" s="233" t="s">
        <v>1562</v>
      </c>
      <c r="I7" s="245" t="s">
        <v>480</v>
      </c>
      <c r="J7" s="245" t="s">
        <v>44</v>
      </c>
      <c r="K7" s="245" t="s">
        <v>20</v>
      </c>
      <c r="L7" s="245" t="s">
        <v>0</v>
      </c>
      <c r="M7" s="233" t="s">
        <v>3</v>
      </c>
      <c r="N7" s="247" t="s">
        <v>504</v>
      </c>
    </row>
    <row r="8" spans="2:14" x14ac:dyDescent="0.35">
      <c r="B8" s="245" t="s">
        <v>480</v>
      </c>
      <c r="C8" s="245" t="s">
        <v>20</v>
      </c>
      <c r="D8" s="245" t="s">
        <v>33</v>
      </c>
      <c r="E8" s="245" t="s">
        <v>6</v>
      </c>
      <c r="F8" s="233" t="s">
        <v>5</v>
      </c>
      <c r="G8" s="247" t="s">
        <v>505</v>
      </c>
      <c r="H8" s="233" t="s">
        <v>1562</v>
      </c>
      <c r="I8" s="245" t="s">
        <v>480</v>
      </c>
      <c r="J8" s="245" t="s">
        <v>44</v>
      </c>
      <c r="K8" s="245" t="s">
        <v>20</v>
      </c>
      <c r="L8" s="245" t="s">
        <v>0</v>
      </c>
      <c r="M8" s="233" t="s">
        <v>5</v>
      </c>
      <c r="N8" s="247" t="s">
        <v>505</v>
      </c>
    </row>
    <row r="9" spans="2:14" x14ac:dyDescent="0.35">
      <c r="B9" s="236" t="s">
        <v>480</v>
      </c>
      <c r="C9" s="236" t="s">
        <v>44</v>
      </c>
      <c r="D9" s="236"/>
      <c r="E9" s="236"/>
      <c r="F9" s="236"/>
      <c r="G9" s="237" t="s">
        <v>553</v>
      </c>
      <c r="H9" s="233" t="s">
        <v>1562</v>
      </c>
      <c r="I9" s="236" t="s">
        <v>480</v>
      </c>
      <c r="J9" s="236" t="s">
        <v>54</v>
      </c>
      <c r="K9" s="236"/>
      <c r="L9" s="236"/>
      <c r="M9" s="236"/>
      <c r="N9" s="237" t="s">
        <v>553</v>
      </c>
    </row>
    <row r="10" spans="2:14" x14ac:dyDescent="0.35">
      <c r="B10" s="238" t="s">
        <v>480</v>
      </c>
      <c r="C10" s="238" t="s">
        <v>44</v>
      </c>
      <c r="D10" s="238" t="s">
        <v>20</v>
      </c>
      <c r="E10" s="238"/>
      <c r="F10" s="238"/>
      <c r="G10" s="240" t="s">
        <v>554</v>
      </c>
      <c r="H10" s="233" t="s">
        <v>1562</v>
      </c>
      <c r="I10" s="238" t="s">
        <v>480</v>
      </c>
      <c r="J10" s="238" t="s">
        <v>54</v>
      </c>
      <c r="K10" s="238" t="s">
        <v>20</v>
      </c>
      <c r="L10" s="238"/>
      <c r="M10" s="238"/>
      <c r="N10" s="240" t="s">
        <v>554</v>
      </c>
    </row>
    <row r="11" spans="2:14" x14ac:dyDescent="0.35">
      <c r="B11" s="241" t="s">
        <v>480</v>
      </c>
      <c r="C11" s="241" t="s">
        <v>44</v>
      </c>
      <c r="D11" s="241" t="s">
        <v>20</v>
      </c>
      <c r="E11" s="241" t="s">
        <v>0</v>
      </c>
      <c r="F11" s="241"/>
      <c r="G11" s="248" t="s">
        <v>555</v>
      </c>
      <c r="H11" s="233" t="s">
        <v>1562</v>
      </c>
      <c r="I11" s="241" t="s">
        <v>480</v>
      </c>
      <c r="J11" s="241" t="s">
        <v>54</v>
      </c>
      <c r="K11" s="241" t="s">
        <v>20</v>
      </c>
      <c r="L11" s="241" t="s">
        <v>0</v>
      </c>
      <c r="M11" s="241"/>
      <c r="N11" s="248" t="s">
        <v>555</v>
      </c>
    </row>
    <row r="12" spans="2:14" x14ac:dyDescent="0.35">
      <c r="B12" s="245" t="s">
        <v>480</v>
      </c>
      <c r="C12" s="245" t="s">
        <v>44</v>
      </c>
      <c r="D12" s="245" t="s">
        <v>20</v>
      </c>
      <c r="E12" s="245" t="s">
        <v>0</v>
      </c>
      <c r="F12" s="245" t="s">
        <v>1</v>
      </c>
      <c r="G12" s="247" t="s">
        <v>523</v>
      </c>
      <c r="H12" s="233" t="s">
        <v>1562</v>
      </c>
      <c r="I12" s="245" t="s">
        <v>480</v>
      </c>
      <c r="J12" s="245" t="s">
        <v>54</v>
      </c>
      <c r="K12" s="245" t="s">
        <v>20</v>
      </c>
      <c r="L12" s="245" t="s">
        <v>0</v>
      </c>
      <c r="M12" s="245" t="s">
        <v>1</v>
      </c>
      <c r="N12" s="247" t="s">
        <v>523</v>
      </c>
    </row>
  </sheetData>
  <mergeCells count="2">
    <mergeCell ref="B4:F4"/>
    <mergeCell ref="I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COA</vt:lpstr>
      <vt:lpstr>COA (2)</vt:lpstr>
      <vt:lpstr>Prepaid Exp</vt:lpstr>
      <vt:lpstr>Inventory</vt:lpstr>
      <vt:lpstr>FA</vt:lpstr>
      <vt:lpstr>CF WS</vt:lpstr>
      <vt:lpstr>AR</vt:lpstr>
      <vt:lpstr>AP</vt:lpstr>
      <vt:lpstr>PL Summary</vt:lpstr>
      <vt:lpstr>PL Detail</vt:lpstr>
      <vt:lpstr>presentasi COA</vt:lpstr>
      <vt:lpstr>perubahan 11.11.14</vt:lpstr>
      <vt:lpstr>COA!Print_Area</vt:lpstr>
      <vt:lpstr>'COA (2)'!Print_Area</vt:lpstr>
      <vt:lpstr>'PL Detail'!Print_Area</vt:lpstr>
      <vt:lpstr>'PL Summary'!Print_Area</vt:lpstr>
      <vt:lpstr>'presentasi COA'!Print_Area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Whiz6</dc:creator>
  <cp:lastModifiedBy>user</cp:lastModifiedBy>
  <cp:lastPrinted>2016-09-05T09:48:35Z</cp:lastPrinted>
  <dcterms:created xsi:type="dcterms:W3CDTF">2013-10-28T02:23:11Z</dcterms:created>
  <dcterms:modified xsi:type="dcterms:W3CDTF">2026-10-05T05:39:26Z</dcterms:modified>
</cp:coreProperties>
</file>